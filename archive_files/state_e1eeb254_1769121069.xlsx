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archive_files\"/>
    </mc:Choice>
  </mc:AlternateContent>
  <xr:revisionPtr revIDLastSave="0" documentId="8_{C193DBD5-A411-4E76-ACD0-70A1FFECC65D}" xr6:coauthVersionLast="47" xr6:coauthVersionMax="47" xr10:uidLastSave="{00000000-0000-0000-0000-000000000000}"/>
  <bookViews>
    <workbookView xWindow="5070" yWindow="5520" windowWidth="43200" windowHeight="23655" xr2:uid="{B16E20EC-9534-48F6-8820-BF09B78083A8}"/>
  </bookViews>
  <sheets>
    <sheet name="04.02 - 10.02" sheetId="2" r:id="rId1"/>
  </sheets>
  <externalReferences>
    <externalReference r:id="rId2"/>
  </externalReferences>
  <definedNames>
    <definedName name="_Excel_BuiltIn__FilterDatabase_1_1_1 1">#REF!</definedName>
    <definedName name="_Excel_BuiltIn__FilterDatabase_1_1_1_1_1 1">#REF!</definedName>
    <definedName name="_Excel_BuiltIn__FilterDatabase_2_1 1">#REF!</definedName>
    <definedName name="_Excel_BuiltIn__FilterDatabase_3_1_1 1">#REF!</definedName>
    <definedName name="_Excel_BuiltIn__FilterDatabase_3_1_1_1 1">#REF!</definedName>
    <definedName name="_Excel_BuiltIn__FilterDatabase_4 1">#REF!</definedName>
    <definedName name="_Excel_BuiltIn__FilterDatabase_5 1">#REF!</definedName>
    <definedName name="_Excel_BuiltIn__FilterDatabase_5_1 1">#REF!</definedName>
    <definedName name="_Excel_BuiltIn__FilterDatabase_6 1">#REF!</definedName>
    <definedName name="_xlnm._FilterDatabase" localSheetId="0" hidden="1">'04.02 - 10.02'!$6:$6</definedName>
    <definedName name="COL_STAV_SKLADU">'04.02 - 10.02'!$O$6</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2">#REF!</definedName>
    <definedName name="Excel_BuiltIn__FilterDatabase_2_1">#REF!</definedName>
    <definedName name="Excel_BuiltIn__FilterDatabase_2_1_1">#REF!</definedName>
    <definedName name="Excel_BuiltIn__FilterDatabase_3_1">#REF!</definedName>
    <definedName name="Excel_BuiltIn__FilterDatabase_3_1_1">#REF!</definedName>
    <definedName name="Excel_BuiltIn__FilterDatabase_3_1_1_1">#REF!</definedName>
    <definedName name="Excel_BuiltIn__FilterDatabase_3_1_1_1_1">#REF!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1_1_1">#REF!</definedName>
    <definedName name="Excel_BuiltIn__FilterDatabase_5">#REF!</definedName>
    <definedName name="Excel_BuiltIn__FilterDatabase_5_1">#REF!</definedName>
    <definedName name="Excel_BuiltIn__FilterDatabase_5_1_1">#REF!</definedName>
    <definedName name="Excel_BuiltIn__FilterDatabase_5_1_1_1">#REF!</definedName>
    <definedName name="Excel_BuiltIn__FilterDatabase_6">#REF!</definedName>
    <definedName name="Excel_BuiltIn__FilterDatabase_6_1">#REF!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FilterDatabase">#REF!</definedName>
    <definedName name="Excel_BuiltIn_FilterDatabase1">#REF!</definedName>
    <definedName name="Excel_BuiltIn_FilterDatase_3">#REF!</definedName>
    <definedName name="excl01">[1]data!$A$1:$A$94</definedName>
    <definedName name="exclusive01">[1]data!$A$1:$A$93</definedName>
    <definedName name="KUR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65034B2B-3A13-4C38-BC70-1EC33ACEBB4D}">
      <text>
        <r>
          <rPr>
            <b/>
            <sz val="9"/>
            <color indexed="81"/>
            <rFont val="Tahoma"/>
            <family val="2"/>
            <charset val="238"/>
          </rPr>
          <t>X g, kg
X ml, L
od X - do X</t>
        </r>
      </text>
    </comment>
    <comment ref="G6" authorId="0" shapeId="0" xr:uid="{974954A2-F3BD-4C58-B111-AAB7012D5192}">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<sst xmlns="http://schemas.openxmlformats.org/spreadsheetml/2006/main" count="6051" uniqueCount="2625">
  <si>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</si>
  <si>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</si>
  <si>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</si>
  <si>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</si>
  <si>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</si>
  <si>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</si>
  <si>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</si>
  <si>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</si>
  <si>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</si>
  <si>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</si>
  <si>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</si>
  <si>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</si>
  <si>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</si>
  <si>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</si>
  <si>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</si>
  <si>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</si>
  <si>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</si>
  <si>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</si>
  <si>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</si>
  <si>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</si>
  <si>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</si>
  <si>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</si>
  <si>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</si>
  <si>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</si>
  <si>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</si>
  <si>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</si>
  <si>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</si>
  <si>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</si>
  <si>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</si>
  <si>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</si>
  <si>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</si>
  <si>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</si>
  <si>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</si>
  <si>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</si>
  <si>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</si>
  <si>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</si>
  <si>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</si>
  <si>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do not edit here</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</si>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</sst>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charset val="238"/>
      <scheme val="minor"/>
    </font>
    <font>
      <b/>
      <sz val="14"/>
      <color indexed="12"/>
      <name val="Arial CE"/>
      <family val="2"/>
      <charset val="238"/>
    </font>
    <font>
      <b/>
      <sz val="10"/>
      <color indexed="12"/>
      <name val="Arial CE"/>
      <family val="2"/>
      <charset val="238"/>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3" fillId="0" borderId="0"/>
    <xf numFmtId="0" fontId="14" fillId="0" borderId="0"/>
  </cellStyleXfs>
  <cellXfs count="352">
    <xf numFmtId="0" fontId="0" fillId="0" borderId="0" xfId="0"/>
    <xf numFmtId="49" fontId="4" fillId="0" borderId="0" xfId="1" applyNumberFormat="1" applyFont="1" applyAlignment="1">
      <alignment horizontal="center" vertical="center"/>
    </xf>
    <xf numFmtId="1" fontId="5" fillId="2" borderId="0" xfId="1" applyNumberFormat="1" applyFont="1" applyFill="1" applyAlignment="1">
      <alignment horizontal="left" vertical="center"/>
    </xf>
    <xf numFmtId="0" fontId="6" fillId="2" borderId="0" xfId="1" applyFont="1" applyFill="1" applyAlignment="1">
      <alignment horizontal="center" vertical="center"/>
    </xf>
    <xf numFmtId="0" fontId="4" fillId="2" borderId="0" xfId="1" applyFont="1" applyFill="1" applyAlignment="1">
      <alignment horizontal="left" vertical="center"/>
    </xf>
    <xf numFmtId="0" fontId="6" fillId="2" borderId="0" xfId="1" applyFont="1" applyFill="1" applyAlignment="1">
      <alignment horizontal="left" vertical="center"/>
    </xf>
    <xf numFmtId="0" fontId="4" fillId="2" borderId="0" xfId="1" applyFont="1" applyFill="1" applyAlignment="1">
      <alignment horizontal="center" vertical="center"/>
    </xf>
    <xf numFmtId="2" fontId="7" fillId="3" borderId="0" xfId="1" applyNumberFormat="1" applyFont="1" applyFill="1" applyAlignment="1">
      <alignment horizontal="center" vertical="center"/>
    </xf>
    <xf numFmtId="49" fontId="3" fillId="3" borderId="0" xfId="1" applyNumberFormat="1" applyFill="1" applyAlignment="1">
      <alignment horizontal="center" vertical="center"/>
    </xf>
    <xf numFmtId="0" fontId="3" fillId="3" borderId="0" xfId="1" applyFill="1" applyAlignment="1">
      <alignment horizontal="left" vertical="center" wrapText="1"/>
    </xf>
    <xf numFmtId="49" fontId="3" fillId="3" borderId="0" xfId="1" applyNumberFormat="1" applyFill="1" applyAlignment="1">
      <alignment horizontal="center" vertical="center" wrapText="1"/>
    </xf>
    <xf numFmtId="0" fontId="3" fillId="3" borderId="0" xfId="1" applyFill="1" applyAlignment="1">
      <alignment horizontal="center" vertical="center" wrapText="1"/>
    </xf>
    <xf numFmtId="1" fontId="3" fillId="3" borderId="0" xfId="1" applyNumberFormat="1" applyFill="1" applyAlignment="1">
      <alignment horizontal="center" vertical="center" wrapText="1"/>
    </xf>
    <xf numFmtId="1" fontId="3" fillId="3" borderId="0" xfId="1" applyNumberFormat="1" applyFill="1" applyAlignment="1">
      <alignment horizontal="center" vertical="center"/>
    </xf>
    <xf numFmtId="2" fontId="3" fillId="3" borderId="0" xfId="1" applyNumberFormat="1" applyFill="1" applyAlignment="1">
      <alignment horizontal="center" vertical="center"/>
    </xf>
    <xf numFmtId="0" fontId="8" fillId="3" borderId="0" xfId="1" applyFont="1" applyFill="1" applyAlignment="1">
      <alignment horizontal="center" vertical="center" wrapText="1"/>
    </xf>
    <xf numFmtId="0" fontId="3" fillId="3" borderId="0" xfId="1" applyFill="1" applyAlignment="1">
      <alignment horizontal="left" vertical="center"/>
    </xf>
    <xf numFmtId="0" fontId="9" fillId="3" borderId="0" xfId="1" applyFont="1" applyFill="1" applyAlignment="1">
      <alignment horizontal="center" vertical="center"/>
    </xf>
    <xf numFmtId="0" fontId="3" fillId="3" borderId="0" xfId="1" applyFill="1" applyAlignment="1">
      <alignment horizontal="center" vertical="center"/>
    </xf>
    <xf numFmtId="1" fontId="10" fillId="3" borderId="0" xfId="1" applyNumberFormat="1" applyFont="1" applyFill="1" applyAlignment="1">
      <alignment horizontal="center" vertical="center"/>
    </xf>
    <xf numFmtId="0" fontId="3" fillId="4" borderId="0" xfId="1" applyFill="1" applyAlignment="1">
      <alignment vertical="center"/>
    </xf>
    <xf numFmtId="0" fontId="3" fillId="0" borderId="0" xfId="1" applyAlignment="1">
      <alignment horizontal="center" vertical="center"/>
    </xf>
    <xf numFmtId="0" fontId="3" fillId="0" borderId="0" xfId="1" applyAlignment="1">
      <alignment vertical="center"/>
    </xf>
    <xf numFmtId="0" fontId="3" fillId="0" borderId="0" xfId="1" applyAlignment="1">
      <alignment horizontal="left" vertical="center"/>
    </xf>
    <xf numFmtId="0" fontId="3" fillId="3" borderId="0" xfId="1" applyFill="1" applyAlignment="1">
      <alignment vertical="center"/>
    </xf>
    <xf numFmtId="49" fontId="3" fillId="0" borderId="0" xfId="1" applyNumberFormat="1" applyAlignment="1">
      <alignment horizontal="center" vertical="center"/>
    </xf>
    <xf numFmtId="1" fontId="9" fillId="2" borderId="1" xfId="1" applyNumberFormat="1" applyFont="1" applyFill="1" applyBorder="1" applyAlignment="1">
      <alignment horizontal="left" vertical="center"/>
    </xf>
    <xf numFmtId="0" fontId="11" fillId="0" borderId="1" xfId="1" applyFont="1" applyBorder="1" applyAlignment="1">
      <alignment horizontal="center" vertical="center"/>
    </xf>
    <xf numFmtId="0" fontId="12" fillId="2" borderId="0" xfId="1" applyFont="1" applyFill="1" applyAlignment="1">
      <alignment horizontal="left" vertical="center"/>
    </xf>
    <xf numFmtId="0" fontId="3" fillId="2" borderId="0" xfId="1" applyFill="1" applyAlignment="1">
      <alignment horizontal="left" vertical="center"/>
    </xf>
    <xf numFmtId="0" fontId="10" fillId="2" borderId="0" xfId="1" applyFont="1" applyFill="1" applyAlignment="1">
      <alignment horizontal="left" vertical="center"/>
    </xf>
    <xf numFmtId="0" fontId="3" fillId="2" borderId="0" xfId="1" applyFill="1" applyAlignment="1">
      <alignment horizontal="center" vertical="center"/>
    </xf>
    <xf numFmtId="2" fontId="9" fillId="3" borderId="0" xfId="1" applyNumberFormat="1" applyFont="1" applyFill="1" applyAlignment="1">
      <alignment horizontal="center" vertical="center"/>
    </xf>
    <xf numFmtId="0" fontId="9" fillId="3" borderId="0" xfId="1" applyFont="1" applyFill="1" applyAlignment="1">
      <alignment horizontal="center" vertical="center" wrapText="1"/>
    </xf>
    <xf numFmtId="2" fontId="3" fillId="3" borderId="0" xfId="1" applyNumberFormat="1" applyFill="1" applyAlignment="1">
      <alignment horizontal="center" vertical="center" wrapText="1"/>
    </xf>
    <xf numFmtId="1" fontId="3" fillId="2" borderId="0" xfId="1" applyNumberFormat="1" applyFill="1" applyAlignment="1">
      <alignment horizontal="left" vertical="center"/>
    </xf>
    <xf numFmtId="0" fontId="10" fillId="2" borderId="0" xfId="1" applyFont="1" applyFill="1" applyAlignment="1">
      <alignment horizontal="center" vertical="center"/>
    </xf>
    <xf numFmtId="0" fontId="3" fillId="5" borderId="1" xfId="1" applyFill="1" applyBorder="1" applyAlignment="1">
      <alignment horizontal="left" vertical="center"/>
    </xf>
    <xf numFmtId="14" fontId="10" fillId="0" borderId="1" xfId="1" applyNumberFormat="1" applyFont="1" applyBorder="1" applyAlignment="1">
      <alignment horizontal="left" vertical="center"/>
    </xf>
    <xf numFmtId="0" fontId="13" fillId="6" borderId="1" xfId="1" applyFont="1" applyFill="1" applyBorder="1" applyAlignment="1">
      <alignment horizontal="center" vertical="center" wrapText="1"/>
    </xf>
    <xf numFmtId="0" fontId="9" fillId="6" borderId="2" xfId="1" applyFont="1" applyFill="1" applyBorder="1" applyAlignment="1">
      <alignment horizontal="center" vertical="center" shrinkToFit="1"/>
    </xf>
    <xf numFmtId="0" fontId="9" fillId="6" borderId="3" xfId="1" applyFont="1" applyFill="1" applyBorder="1" applyAlignment="1">
      <alignment horizontal="center" vertical="center" shrinkToFit="1"/>
    </xf>
    <xf numFmtId="0" fontId="15" fillId="3" borderId="0" xfId="2" applyFont="1" applyFill="1" applyAlignment="1">
      <alignment horizontal="center" vertical="center"/>
    </xf>
    <xf numFmtId="1" fontId="3" fillId="7" borderId="1" xfId="1" applyNumberFormat="1" applyFill="1" applyBorder="1" applyAlignment="1">
      <alignment horizontal="center" vertical="center" wrapText="1"/>
    </xf>
    <xf numFmtId="1" fontId="9" fillId="0" borderId="1" xfId="1" applyNumberFormat="1" applyFont="1" applyBorder="1" applyAlignment="1">
      <alignment horizontal="center" vertical="center" wrapText="1"/>
    </xf>
    <xf numFmtId="1" fontId="9" fillId="3" borderId="0" xfId="1" applyNumberFormat="1" applyFont="1" applyFill="1" applyAlignment="1">
      <alignment horizontal="center" vertical="center"/>
    </xf>
    <xf numFmtId="1" fontId="9" fillId="3" borderId="0" xfId="1" applyNumberFormat="1" applyFont="1" applyFill="1" applyAlignment="1">
      <alignment horizontal="center" vertical="center" wrapText="1"/>
    </xf>
    <xf numFmtId="0" fontId="16" fillId="6" borderId="1" xfId="1" applyFont="1" applyFill="1" applyBorder="1" applyAlignment="1">
      <alignment horizontal="center" vertical="center" wrapText="1"/>
    </xf>
    <xf numFmtId="0" fontId="17" fillId="6" borderId="2" xfId="1" applyFont="1" applyFill="1" applyBorder="1" applyAlignment="1">
      <alignment horizontal="center" vertical="center" shrinkToFit="1"/>
    </xf>
    <xf numFmtId="0" fontId="17" fillId="6" borderId="3" xfId="1" applyFont="1" applyFill="1" applyBorder="1" applyAlignment="1">
      <alignment horizontal="center" vertical="center" shrinkToFit="1"/>
    </xf>
    <xf numFmtId="49" fontId="18" fillId="8" borderId="1" xfId="1" applyNumberFormat="1" applyFont="1" applyFill="1" applyBorder="1" applyAlignment="1">
      <alignment horizontal="center" vertical="center" shrinkToFit="1"/>
    </xf>
    <xf numFmtId="1" fontId="3" fillId="0" borderId="1" xfId="1" applyNumberFormat="1" applyBorder="1" applyAlignment="1">
      <alignment horizontal="center" vertical="center" wrapText="1"/>
    </xf>
    <xf numFmtId="1" fontId="3" fillId="0" borderId="1" xfId="1" quotePrefix="1" applyNumberFormat="1" applyBorder="1" applyAlignment="1">
      <alignment horizontal="center" vertical="center" wrapText="1"/>
    </xf>
    <xf numFmtId="1" fontId="3" fillId="3" borderId="4" xfId="1" applyNumberFormat="1" applyFill="1" applyBorder="1" applyAlignment="1">
      <alignment horizontal="center" vertical="center" wrapText="1"/>
    </xf>
    <xf numFmtId="2" fontId="18" fillId="8" borderId="1" xfId="1" applyNumberFormat="1" applyFont="1" applyFill="1" applyBorder="1" applyAlignment="1">
      <alignment horizontal="center" vertical="center" shrinkToFit="1"/>
    </xf>
    <xf numFmtId="0" fontId="17" fillId="6"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49" fontId="3" fillId="0" borderId="5" xfId="1" applyNumberFormat="1" applyBorder="1" applyAlignment="1">
      <alignment horizontal="center" vertical="center" wrapText="1"/>
    </xf>
    <xf numFmtId="1" fontId="3" fillId="9" borderId="5" xfId="1" applyNumberFormat="1" applyFill="1" applyBorder="1" applyAlignment="1">
      <alignment horizontal="left" vertical="center" wrapText="1"/>
    </xf>
    <xf numFmtId="0" fontId="10" fillId="10" borderId="5" xfId="1" applyFont="1" applyFill="1" applyBorder="1" applyAlignment="1">
      <alignment horizontal="center" vertical="center" wrapText="1"/>
    </xf>
    <xf numFmtId="0" fontId="3" fillId="9" borderId="5" xfId="1" applyFill="1" applyBorder="1" applyAlignment="1">
      <alignment horizontal="left" vertical="center" wrapText="1"/>
    </xf>
    <xf numFmtId="0" fontId="10" fillId="9" borderId="5" xfId="1" applyFont="1" applyFill="1" applyBorder="1" applyAlignment="1">
      <alignment horizontal="left" vertical="center" wrapText="1"/>
    </xf>
    <xf numFmtId="0" fontId="3" fillId="9" borderId="5" xfId="1" applyFill="1" applyBorder="1" applyAlignment="1">
      <alignment horizontal="center" vertical="center" wrapText="1"/>
    </xf>
    <xf numFmtId="2" fontId="9" fillId="9" borderId="5" xfId="1" applyNumberFormat="1" applyFont="1" applyFill="1" applyBorder="1" applyAlignment="1">
      <alignment horizontal="center" vertical="center" wrapText="1"/>
    </xf>
    <xf numFmtId="2" fontId="9" fillId="11" borderId="6" xfId="1" applyNumberFormat="1" applyFont="1" applyFill="1" applyBorder="1" applyAlignment="1">
      <alignment horizontal="center" vertical="center"/>
    </xf>
    <xf numFmtId="49" fontId="3" fillId="9" borderId="5" xfId="1" applyNumberFormat="1" applyFill="1" applyBorder="1" applyAlignment="1">
      <alignment horizontal="center" vertical="center" wrapText="1"/>
    </xf>
    <xf numFmtId="1" fontId="3" fillId="9" borderId="6" xfId="1" applyNumberFormat="1" applyFill="1" applyBorder="1" applyAlignment="1">
      <alignment horizontal="center" vertical="center" wrapText="1"/>
    </xf>
    <xf numFmtId="1" fontId="3" fillId="9" borderId="5" xfId="1" applyNumberFormat="1" applyFill="1" applyBorder="1" applyAlignment="1">
      <alignment horizontal="center" vertical="center" wrapText="1"/>
    </xf>
    <xf numFmtId="2" fontId="9" fillId="11" borderId="6" xfId="1" applyNumberFormat="1" applyFont="1" applyFill="1" applyBorder="1" applyAlignment="1">
      <alignment horizontal="center" vertical="center" wrapText="1"/>
    </xf>
    <xf numFmtId="14" fontId="8" fillId="9" borderId="6" xfId="1" applyNumberFormat="1" applyFont="1" applyFill="1" applyBorder="1" applyAlignment="1">
      <alignment horizontal="center" vertical="center" wrapText="1"/>
    </xf>
    <xf numFmtId="14" fontId="3" fillId="9" borderId="6" xfId="1" applyNumberFormat="1" applyFill="1" applyBorder="1" applyAlignment="1">
      <alignment horizontal="center" vertical="center" wrapText="1"/>
    </xf>
    <xf numFmtId="0" fontId="9" fillId="11" borderId="5" xfId="1" applyFont="1" applyFill="1" applyBorder="1" applyAlignment="1">
      <alignment horizontal="center" vertical="center" wrapText="1"/>
    </xf>
    <xf numFmtId="1" fontId="3" fillId="9" borderId="7" xfId="1" applyNumberFormat="1" applyFill="1" applyBorder="1" applyAlignment="1">
      <alignment horizontal="center" vertical="center" wrapText="1"/>
    </xf>
    <xf numFmtId="0" fontId="3" fillId="4" borderId="0" xfId="1" applyFill="1" applyAlignment="1">
      <alignment vertical="center" wrapText="1"/>
    </xf>
    <xf numFmtId="0" fontId="17" fillId="8" borderId="1" xfId="1" applyFont="1" applyFill="1" applyBorder="1" applyAlignment="1">
      <alignment horizontal="center" vertical="center" wrapText="1"/>
    </xf>
    <xf numFmtId="0" fontId="3" fillId="0" borderId="0" xfId="1" applyAlignment="1">
      <alignment vertical="center" wrapText="1"/>
    </xf>
    <xf numFmtId="0" fontId="9" fillId="12" borderId="0" xfId="1" applyFont="1" applyFill="1" applyAlignment="1">
      <alignment horizontal="left" vertical="center" wrapText="1"/>
    </xf>
    <xf numFmtId="0" fontId="3" fillId="0" borderId="0" xfId="1" applyAlignment="1">
      <alignment horizontal="center" vertical="center" wrapText="1"/>
    </xf>
    <xf numFmtId="0" fontId="19" fillId="13" borderId="0" xfId="1" applyFont="1" applyFill="1" applyAlignment="1">
      <alignment vertical="center" wrapText="1"/>
    </xf>
    <xf numFmtId="0" fontId="3" fillId="0" borderId="8" xfId="1" applyBorder="1" applyAlignment="1">
      <alignment horizontal="center" vertical="center"/>
    </xf>
    <xf numFmtId="1" fontId="3" fillId="0" borderId="0" xfId="1" quotePrefix="1" applyNumberFormat="1" applyAlignment="1">
      <alignment horizontal="left" vertical="center"/>
    </xf>
    <xf numFmtId="0" fontId="10" fillId="0" borderId="0" xfId="1" applyFont="1" applyAlignment="1">
      <alignment horizontal="center" vertical="center"/>
    </xf>
    <xf numFmtId="0" fontId="10" fillId="0" borderId="0" xfId="1" applyFont="1" applyAlignment="1">
      <alignment horizontal="left" vertical="center"/>
    </xf>
    <xf numFmtId="2" fontId="9" fillId="0" borderId="9" xfId="1" applyNumberFormat="1" applyFont="1" applyBorder="1" applyAlignment="1">
      <alignment horizontal="center" vertical="center"/>
    </xf>
    <xf numFmtId="2" fontId="3" fillId="0" borderId="0" xfId="1" applyNumberFormat="1" applyAlignment="1">
      <alignment horizontal="center" vertical="center"/>
    </xf>
    <xf numFmtId="0" fontId="3" fillId="0" borderId="0" xfId="1" quotePrefix="1" applyAlignment="1" applyProtection="1">
      <alignment horizontal="center" vertical="center"/>
      <protection locked="0"/>
    </xf>
    <xf numFmtId="0" fontId="3" fillId="0" borderId="0" xfId="1" quotePrefix="1" applyAlignment="1">
      <alignment horizontal="center" vertical="center"/>
    </xf>
    <xf numFmtId="1" fontId="3" fillId="0" borderId="0" xfId="1" applyNumberFormat="1" applyAlignment="1">
      <alignment horizontal="center" vertical="center"/>
    </xf>
    <xf numFmtId="1" fontId="3" fillId="14" borderId="10" xfId="1" applyNumberFormat="1" applyFill="1" applyBorder="1" applyAlignment="1">
      <alignment horizontal="center" vertical="center"/>
    </xf>
    <xf numFmtId="1" fontId="3" fillId="0" borderId="11" xfId="1" applyNumberFormat="1" applyBorder="1" applyAlignment="1">
      <alignment horizontal="center" vertical="center" wrapText="1"/>
    </xf>
    <xf numFmtId="1" fontId="3" fillId="0" borderId="10" xfId="1" applyNumberFormat="1" applyBorder="1" applyAlignment="1">
      <alignment horizontal="center" vertical="center"/>
    </xf>
    <xf numFmtId="2" fontId="3" fillId="0" borderId="11" xfId="1" applyNumberFormat="1" applyBorder="1" applyAlignment="1">
      <alignment horizontal="center" vertical="center"/>
    </xf>
    <xf numFmtId="0" fontId="8" fillId="15" borderId="12" xfId="1" applyFont="1" applyFill="1" applyBorder="1" applyAlignment="1">
      <alignment horizontal="center" vertical="center"/>
    </xf>
    <xf numFmtId="0" fontId="3" fillId="16" borderId="12" xfId="1" applyFill="1" applyBorder="1" applyAlignment="1">
      <alignment horizontal="center" vertical="center"/>
    </xf>
    <xf numFmtId="0" fontId="3" fillId="17" borderId="12" xfId="1" applyFill="1" applyBorder="1" applyAlignment="1">
      <alignment horizontal="center" vertical="center"/>
    </xf>
    <xf numFmtId="0" fontId="20" fillId="17" borderId="12" xfId="1" applyFont="1" applyFill="1" applyBorder="1" applyAlignment="1">
      <alignment horizontal="center" vertical="center"/>
    </xf>
    <xf numFmtId="0" fontId="3" fillId="2" borderId="10" xfId="1" applyFill="1" applyBorder="1" applyAlignment="1">
      <alignment horizontal="center" vertical="center"/>
    </xf>
    <xf numFmtId="1" fontId="10" fillId="2" borderId="10" xfId="1" applyNumberFormat="1" applyFont="1" applyFill="1" applyBorder="1" applyAlignment="1">
      <alignment horizontal="center" vertical="center"/>
    </xf>
    <xf numFmtId="2" fontId="3" fillId="0" borderId="0" xfId="1" applyNumberFormat="1" applyAlignment="1">
      <alignment vertical="center"/>
    </xf>
    <xf numFmtId="2" fontId="9" fillId="0" borderId="13" xfId="1" applyNumberFormat="1" applyFont="1" applyBorder="1" applyAlignment="1">
      <alignment horizontal="center" vertical="center"/>
    </xf>
    <xf numFmtId="1" fontId="3" fillId="14" borderId="14" xfId="1" applyNumberFormat="1" applyFill="1" applyBorder="1" applyAlignment="1">
      <alignment horizontal="center" vertical="center"/>
    </xf>
    <xf numFmtId="1" fontId="3" fillId="0" borderId="15" xfId="1" applyNumberFormat="1" applyBorder="1" applyAlignment="1">
      <alignment horizontal="center" vertical="center" wrapText="1"/>
    </xf>
    <xf numFmtId="1" fontId="3" fillId="0" borderId="14" xfId="1" applyNumberFormat="1" applyBorder="1" applyAlignment="1">
      <alignment horizontal="center" vertical="center"/>
    </xf>
    <xf numFmtId="2" fontId="3" fillId="0" borderId="15" xfId="1" applyNumberFormat="1" applyBorder="1" applyAlignment="1">
      <alignment horizontal="center" vertical="center"/>
    </xf>
    <xf numFmtId="0" fontId="8" fillId="15" borderId="1" xfId="1" applyFont="1" applyFill="1" applyBorder="1" applyAlignment="1">
      <alignment horizontal="center" vertical="center"/>
    </xf>
    <xf numFmtId="0" fontId="3" fillId="16" borderId="1" xfId="1" applyFill="1" applyBorder="1" applyAlignment="1">
      <alignment horizontal="center" vertical="center"/>
    </xf>
    <xf numFmtId="0" fontId="3" fillId="17" borderId="1" xfId="1" applyFill="1" applyBorder="1" applyAlignment="1">
      <alignment horizontal="center" vertical="center"/>
    </xf>
    <xf numFmtId="0" fontId="20" fillId="17" borderId="1" xfId="1" applyFont="1" applyFill="1" applyBorder="1" applyAlignment="1">
      <alignment horizontal="center" vertical="center"/>
    </xf>
    <xf numFmtId="0" fontId="3" fillId="2" borderId="14" xfId="1" applyFill="1" applyBorder="1" applyAlignment="1">
      <alignment horizontal="center" vertical="center"/>
    </xf>
    <xf numFmtId="1" fontId="10" fillId="2" borderId="14" xfId="1" applyNumberFormat="1" applyFont="1" applyFill="1" applyBorder="1" applyAlignment="1">
      <alignment horizontal="center" vertical="center"/>
    </xf>
    <xf numFmtId="0" fontId="3" fillId="0" borderId="0" xfId="1" applyAlignment="1">
      <alignment horizontal="left" vertical="center" wrapText="1"/>
    </xf>
    <xf numFmtId="0" fontId="3" fillId="2" borderId="0" xfId="1" applyFill="1" applyAlignment="1">
      <alignment vertical="center" wrapText="1"/>
    </xf>
    <xf numFmtId="0" fontId="3" fillId="16" borderId="3" xfId="1" applyFill="1" applyBorder="1" applyAlignment="1">
      <alignment horizontal="center" vertical="center"/>
    </xf>
    <xf numFmtId="0" fontId="3" fillId="2" borderId="16" xfId="1" applyFill="1" applyBorder="1" applyAlignment="1">
      <alignment horizontal="center" vertical="center"/>
    </xf>
    <xf numFmtId="1" fontId="10" fillId="2" borderId="16" xfId="1" applyNumberFormat="1" applyFont="1" applyFill="1" applyBorder="1" applyAlignment="1">
      <alignment horizontal="center" vertical="center"/>
    </xf>
    <xf numFmtId="0" fontId="3" fillId="0" borderId="17" xfId="1" applyBorder="1" applyAlignment="1">
      <alignment vertical="center"/>
    </xf>
    <xf numFmtId="0" fontId="3" fillId="3" borderId="1" xfId="1" applyFill="1" applyBorder="1" applyAlignment="1">
      <alignment horizontal="center" vertical="center"/>
    </xf>
    <xf numFmtId="1" fontId="10" fillId="3" borderId="1" xfId="1" applyNumberFormat="1" applyFont="1" applyFill="1" applyBorder="1" applyAlignment="1">
      <alignment horizontal="center" vertical="center"/>
    </xf>
    <xf numFmtId="1" fontId="3" fillId="0" borderId="18" xfId="1" applyNumberFormat="1" applyBorder="1" applyAlignment="1">
      <alignment horizontal="center" vertical="center"/>
    </xf>
    <xf numFmtId="1" fontId="3" fillId="18" borderId="19" xfId="1" applyNumberFormat="1" applyFill="1" applyBorder="1" applyAlignment="1">
      <alignment horizontal="center" vertical="center"/>
    </xf>
    <xf numFmtId="1" fontId="3" fillId="0" borderId="20" xfId="1" applyNumberFormat="1" applyBorder="1" applyAlignment="1">
      <alignment horizontal="center" vertical="center"/>
    </xf>
    <xf numFmtId="1" fontId="3" fillId="0" borderId="21" xfId="1" applyNumberFormat="1" applyBorder="1" applyAlignment="1">
      <alignment horizontal="center" vertical="center"/>
    </xf>
    <xf numFmtId="2" fontId="3" fillId="0" borderId="22" xfId="1" applyNumberFormat="1" applyBorder="1" applyAlignment="1">
      <alignment horizontal="center" vertical="center"/>
    </xf>
    <xf numFmtId="0" fontId="8" fillId="15" borderId="23" xfId="1" applyFont="1" applyFill="1" applyBorder="1" applyAlignment="1">
      <alignment horizontal="center" vertical="center"/>
    </xf>
    <xf numFmtId="0" fontId="3" fillId="16" borderId="24" xfId="1" applyFill="1" applyBorder="1" applyAlignment="1">
      <alignment horizontal="center" vertical="center"/>
    </xf>
    <xf numFmtId="0" fontId="3" fillId="17" borderId="23" xfId="1" applyFill="1" applyBorder="1" applyAlignment="1">
      <alignment horizontal="center" vertical="center"/>
    </xf>
    <xf numFmtId="0" fontId="20" fillId="17" borderId="23" xfId="1" applyFont="1" applyFill="1" applyBorder="1" applyAlignment="1">
      <alignment horizontal="center" vertical="center"/>
    </xf>
    <xf numFmtId="1" fontId="3" fillId="0" borderId="25" xfId="1" quotePrefix="1" applyNumberFormat="1" applyBorder="1" applyAlignment="1">
      <alignment horizontal="left" vertical="center"/>
    </xf>
    <xf numFmtId="0" fontId="10" fillId="0" borderId="25" xfId="1" applyFont="1" applyBorder="1" applyAlignment="1">
      <alignment horizontal="center" vertical="center"/>
    </xf>
    <xf numFmtId="0" fontId="3" fillId="0" borderId="25" xfId="1" applyBorder="1" applyAlignment="1">
      <alignment horizontal="left" vertical="center"/>
    </xf>
    <xf numFmtId="0" fontId="10" fillId="0" borderId="25" xfId="1" applyFont="1" applyBorder="1" applyAlignment="1" applyProtection="1">
      <alignment horizontal="left" vertical="center"/>
      <protection locked="0"/>
    </xf>
    <xf numFmtId="0" fontId="3" fillId="0" borderId="25" xfId="1" applyBorder="1" applyAlignment="1" applyProtection="1">
      <alignment horizontal="center" vertical="center"/>
      <protection locked="0"/>
    </xf>
    <xf numFmtId="0" fontId="3" fillId="0" borderId="25" xfId="1" applyBorder="1" applyAlignment="1">
      <alignment horizontal="center" vertical="center"/>
    </xf>
    <xf numFmtId="0" fontId="3" fillId="0" borderId="25" xfId="1" quotePrefix="1" applyBorder="1" applyAlignment="1">
      <alignment horizontal="center" vertical="center"/>
    </xf>
    <xf numFmtId="1" fontId="3" fillId="0" borderId="25" xfId="1" applyNumberFormat="1" applyBorder="1" applyAlignment="1">
      <alignment horizontal="center" vertical="center"/>
    </xf>
    <xf numFmtId="1" fontId="3" fillId="14" borderId="26" xfId="1" applyNumberFormat="1" applyFill="1" applyBorder="1" applyAlignment="1">
      <alignment horizontal="center" vertical="center"/>
    </xf>
    <xf numFmtId="1" fontId="3" fillId="0" borderId="11" xfId="1" applyNumberFormat="1" applyBorder="1" applyAlignment="1">
      <alignment horizontal="center" vertical="center"/>
    </xf>
    <xf numFmtId="1" fontId="3" fillId="0" borderId="26" xfId="1" applyNumberFormat="1" applyBorder="1" applyAlignment="1">
      <alignment horizontal="center" vertical="center"/>
    </xf>
    <xf numFmtId="2" fontId="3" fillId="0" borderId="27" xfId="1" applyNumberFormat="1" applyBorder="1" applyAlignment="1">
      <alignment horizontal="center" vertical="center"/>
    </xf>
    <xf numFmtId="0" fontId="8" fillId="2" borderId="12" xfId="1" applyFont="1" applyFill="1" applyBorder="1" applyAlignment="1">
      <alignment horizontal="center" vertical="center"/>
    </xf>
    <xf numFmtId="0" fontId="3" fillId="16" borderId="28" xfId="1" applyFill="1" applyBorder="1" applyAlignment="1">
      <alignment horizontal="center" vertical="center"/>
    </xf>
    <xf numFmtId="0" fontId="10" fillId="0" borderId="0" xfId="1" applyFont="1" applyAlignment="1" applyProtection="1">
      <alignment horizontal="left" vertical="center"/>
      <protection locked="0"/>
    </xf>
    <xf numFmtId="49" fontId="3" fillId="0" borderId="0" xfId="1" quotePrefix="1" applyNumberFormat="1" applyAlignment="1">
      <alignment horizontal="center" vertical="center"/>
    </xf>
    <xf numFmtId="1" fontId="3" fillId="0" borderId="15" xfId="1" applyNumberFormat="1" applyBorder="1" applyAlignment="1">
      <alignment horizontal="center" vertical="center"/>
    </xf>
    <xf numFmtId="0" fontId="8" fillId="2" borderId="1" xfId="1" applyFont="1" applyFill="1" applyBorder="1" applyAlignment="1">
      <alignment horizontal="center" vertical="center"/>
    </xf>
    <xf numFmtId="2" fontId="3" fillId="0" borderId="29" xfId="1" applyNumberFormat="1" applyBorder="1" applyAlignment="1">
      <alignment horizontal="center" vertical="center"/>
    </xf>
    <xf numFmtId="2" fontId="3" fillId="0" borderId="30" xfId="1" applyNumberFormat="1" applyBorder="1" applyAlignment="1">
      <alignment horizontal="center" vertical="center"/>
    </xf>
    <xf numFmtId="1" fontId="10" fillId="0" borderId="0" xfId="1" applyNumberFormat="1" applyFont="1" applyAlignment="1">
      <alignment horizontal="center" vertical="center"/>
    </xf>
    <xf numFmtId="49" fontId="3" fillId="0" borderId="8" xfId="1" applyNumberFormat="1" applyBorder="1" applyAlignment="1" applyProtection="1">
      <alignment horizontal="center" vertical="center"/>
      <protection locked="0"/>
    </xf>
    <xf numFmtId="1" fontId="3" fillId="0" borderId="0" xfId="1" quotePrefix="1" applyNumberFormat="1" applyAlignment="1" applyProtection="1">
      <alignment horizontal="left" vertical="center"/>
      <protection locked="0"/>
    </xf>
    <xf numFmtId="0" fontId="10" fillId="0" borderId="0" xfId="1" applyFont="1" applyAlignment="1" applyProtection="1">
      <alignment horizontal="center" vertical="center"/>
      <protection locked="0"/>
    </xf>
    <xf numFmtId="0" fontId="3" fillId="0" borderId="0" xfId="1" applyAlignment="1" applyProtection="1">
      <alignment horizontal="left" vertical="center"/>
      <protection locked="0"/>
    </xf>
    <xf numFmtId="2" fontId="3" fillId="0" borderId="0" xfId="1" applyNumberFormat="1" applyAlignment="1" applyProtection="1">
      <alignment horizontal="center" vertical="center"/>
      <protection locked="0"/>
    </xf>
    <xf numFmtId="4" fontId="3" fillId="0" borderId="0" xfId="1" applyNumberFormat="1" applyAlignment="1" applyProtection="1">
      <alignment horizontal="left" vertical="center"/>
      <protection locked="0"/>
    </xf>
    <xf numFmtId="1" fontId="3" fillId="0" borderId="5" xfId="1" applyNumberFormat="1" applyBorder="1" applyAlignment="1">
      <alignment horizontal="center" vertical="center"/>
    </xf>
    <xf numFmtId="0" fontId="8" fillId="2" borderId="23" xfId="1" applyFont="1" applyFill="1" applyBorder="1" applyAlignment="1">
      <alignment horizontal="center" vertical="center"/>
    </xf>
    <xf numFmtId="0" fontId="20" fillId="17" borderId="31" xfId="1" applyFont="1" applyFill="1" applyBorder="1" applyAlignment="1">
      <alignment horizontal="center" vertical="center"/>
    </xf>
    <xf numFmtId="0" fontId="3" fillId="0" borderId="32" xfId="1" applyBorder="1" applyAlignment="1">
      <alignment horizontal="center" vertical="center"/>
    </xf>
    <xf numFmtId="2" fontId="3" fillId="0" borderId="25" xfId="1" applyNumberFormat="1" applyBorder="1" applyAlignment="1">
      <alignment horizontal="center" vertical="center"/>
    </xf>
    <xf numFmtId="49" fontId="3" fillId="0" borderId="25" xfId="1" quotePrefix="1" applyNumberFormat="1" applyBorder="1" applyAlignment="1">
      <alignment horizontal="center" vertical="center"/>
    </xf>
    <xf numFmtId="0" fontId="3" fillId="2" borderId="19" xfId="1" applyFill="1" applyBorder="1" applyAlignment="1">
      <alignment horizontal="center" vertical="center"/>
    </xf>
    <xf numFmtId="1" fontId="10" fillId="2" borderId="19" xfId="1" applyNumberFormat="1" applyFont="1" applyFill="1" applyBorder="1" applyAlignment="1">
      <alignment horizontal="center" vertical="center"/>
    </xf>
    <xf numFmtId="2" fontId="9" fillId="0" borderId="33" xfId="1" applyNumberFormat="1" applyFont="1" applyBorder="1" applyAlignment="1">
      <alignment horizontal="center" vertical="center"/>
    </xf>
    <xf numFmtId="1" fontId="3" fillId="0" borderId="34" xfId="1" quotePrefix="1" applyNumberFormat="1" applyBorder="1" applyAlignment="1">
      <alignment horizontal="left" vertical="center"/>
    </xf>
    <xf numFmtId="0" fontId="10" fillId="0" borderId="34" xfId="1" applyFont="1" applyBorder="1" applyAlignment="1">
      <alignment horizontal="center" vertical="center"/>
    </xf>
    <xf numFmtId="0" fontId="3" fillId="0" borderId="34" xfId="1" applyBorder="1" applyAlignment="1">
      <alignment horizontal="left" vertical="center"/>
    </xf>
    <xf numFmtId="0" fontId="10" fillId="0" borderId="34" xfId="1" applyFont="1" applyBorder="1" applyAlignment="1">
      <alignment horizontal="left" vertical="center"/>
    </xf>
    <xf numFmtId="0" fontId="3" fillId="0" borderId="34" xfId="1" applyBorder="1" applyAlignment="1">
      <alignment horizontal="center" vertical="center"/>
    </xf>
    <xf numFmtId="2" fontId="9" fillId="0" borderId="35" xfId="1" applyNumberFormat="1" applyFont="1" applyBorder="1" applyAlignment="1">
      <alignment horizontal="center" vertical="center"/>
    </xf>
    <xf numFmtId="0" fontId="3" fillId="0" borderId="34" xfId="1" quotePrefix="1" applyBorder="1" applyAlignment="1">
      <alignment horizontal="center" vertical="center"/>
    </xf>
    <xf numFmtId="1" fontId="3" fillId="0" borderId="34" xfId="1" applyNumberFormat="1" applyBorder="1" applyAlignment="1">
      <alignment horizontal="center" vertical="center"/>
    </xf>
    <xf numFmtId="2" fontId="3" fillId="0" borderId="34" xfId="1" applyNumberFormat="1" applyBorder="1" applyAlignment="1">
      <alignment horizontal="center" vertical="center"/>
    </xf>
    <xf numFmtId="0" fontId="8" fillId="0" borderId="34" xfId="1" applyFont="1" applyBorder="1" applyAlignment="1">
      <alignment horizontal="center" vertical="center"/>
    </xf>
    <xf numFmtId="2" fontId="20" fillId="0" borderId="34" xfId="1" applyNumberFormat="1" applyFont="1" applyBorder="1" applyAlignment="1">
      <alignment horizontal="center" vertical="center"/>
    </xf>
    <xf numFmtId="1" fontId="10" fillId="0" borderId="34" xfId="1" applyNumberFormat="1" applyFont="1" applyBorder="1" applyAlignment="1">
      <alignment horizontal="center" vertical="center"/>
    </xf>
    <xf numFmtId="1" fontId="3" fillId="19" borderId="0" xfId="1" applyNumberFormat="1" applyFill="1" applyAlignment="1">
      <alignment horizontal="left" vertical="center"/>
    </xf>
    <xf numFmtId="0" fontId="10" fillId="19" borderId="0" xfId="1" applyFont="1" applyFill="1" applyAlignment="1">
      <alignment horizontal="center" vertical="center"/>
    </xf>
    <xf numFmtId="1" fontId="21" fillId="19" borderId="0" xfId="1" applyNumberFormat="1" applyFont="1" applyFill="1" applyAlignment="1">
      <alignment horizontal="left" vertical="center"/>
    </xf>
    <xf numFmtId="0" fontId="3" fillId="19" borderId="0" xfId="1" applyFill="1" applyAlignment="1">
      <alignment horizontal="left" vertical="center"/>
    </xf>
    <xf numFmtId="0" fontId="10" fillId="19" borderId="0" xfId="1" applyFont="1" applyFill="1" applyAlignment="1">
      <alignment horizontal="left" vertical="center"/>
    </xf>
    <xf numFmtId="0" fontId="3" fillId="19" borderId="0" xfId="1" applyFill="1" applyAlignment="1">
      <alignment horizontal="center" vertical="center"/>
    </xf>
    <xf numFmtId="2" fontId="9" fillId="19" borderId="0" xfId="1" applyNumberFormat="1" applyFont="1" applyFill="1" applyAlignment="1">
      <alignment horizontal="center" vertical="center"/>
    </xf>
    <xf numFmtId="0" fontId="3" fillId="19" borderId="0" xfId="1" quotePrefix="1" applyFill="1" applyAlignment="1">
      <alignment horizontal="center" vertical="center"/>
    </xf>
    <xf numFmtId="1" fontId="3" fillId="19" borderId="0" xfId="1" applyNumberFormat="1" applyFill="1" applyAlignment="1">
      <alignment horizontal="center" vertical="center"/>
    </xf>
    <xf numFmtId="1" fontId="3" fillId="19" borderId="36" xfId="1" applyNumberFormat="1" applyFill="1" applyBorder="1" applyAlignment="1">
      <alignment horizontal="center" vertical="center"/>
    </xf>
    <xf numFmtId="2" fontId="3" fillId="19" borderId="36" xfId="1" applyNumberFormat="1" applyFill="1" applyBorder="1" applyAlignment="1">
      <alignment horizontal="center" vertical="center"/>
    </xf>
    <xf numFmtId="0" fontId="8" fillId="19" borderId="36" xfId="1" applyFont="1" applyFill="1" applyBorder="1" applyAlignment="1">
      <alignment horizontal="center" vertical="center"/>
    </xf>
    <xf numFmtId="0" fontId="17" fillId="8" borderId="37" xfId="1" applyFont="1" applyFill="1" applyBorder="1" applyAlignment="1">
      <alignment horizontal="center" vertical="center"/>
    </xf>
    <xf numFmtId="0" fontId="3" fillId="19" borderId="36" xfId="1" applyFill="1" applyBorder="1" applyAlignment="1">
      <alignment horizontal="center" vertical="center"/>
    </xf>
    <xf numFmtId="2" fontId="20" fillId="19" borderId="36" xfId="1" applyNumberFormat="1" applyFont="1" applyFill="1" applyBorder="1" applyAlignment="1">
      <alignment horizontal="center" vertical="center"/>
    </xf>
    <xf numFmtId="1" fontId="10" fillId="19" borderId="36" xfId="1" applyNumberFormat="1" applyFont="1" applyFill="1" applyBorder="1" applyAlignment="1">
      <alignment horizontal="center" vertical="center"/>
    </xf>
    <xf numFmtId="2" fontId="9" fillId="0" borderId="38" xfId="1" applyNumberFormat="1" applyFont="1" applyBorder="1" applyAlignment="1">
      <alignment horizontal="center" vertical="center"/>
    </xf>
    <xf numFmtId="1" fontId="3" fillId="0" borderId="36" xfId="1" quotePrefix="1" applyNumberFormat="1" applyBorder="1" applyAlignment="1">
      <alignment horizontal="left" vertical="center"/>
    </xf>
    <xf numFmtId="0" fontId="10" fillId="0" borderId="36" xfId="1" applyFont="1" applyBorder="1" applyAlignment="1">
      <alignment horizontal="center" vertical="center"/>
    </xf>
    <xf numFmtId="0" fontId="3" fillId="0" borderId="36" xfId="1" applyBorder="1" applyAlignment="1">
      <alignment horizontal="left" vertical="center"/>
    </xf>
    <xf numFmtId="0" fontId="10" fillId="0" borderId="36" xfId="1" applyFont="1" applyBorder="1" applyAlignment="1" applyProtection="1">
      <alignment horizontal="left" vertical="center"/>
      <protection locked="0"/>
    </xf>
    <xf numFmtId="0" fontId="3" fillId="0" borderId="36" xfId="1" applyBorder="1" applyAlignment="1">
      <alignment horizontal="center" vertical="center"/>
    </xf>
    <xf numFmtId="2" fontId="3" fillId="0" borderId="36" xfId="1" applyNumberFormat="1" applyBorder="1" applyAlignment="1">
      <alignment horizontal="center" vertical="center"/>
    </xf>
    <xf numFmtId="0" fontId="3" fillId="0" borderId="36" xfId="1" quotePrefix="1" applyBorder="1" applyAlignment="1">
      <alignment horizontal="center" vertical="center"/>
    </xf>
    <xf numFmtId="1" fontId="3" fillId="0" borderId="39" xfId="1" applyNumberFormat="1" applyBorder="1" applyAlignment="1">
      <alignment horizontal="center" vertical="center"/>
    </xf>
    <xf numFmtId="1" fontId="3" fillId="14" borderId="40" xfId="1" applyNumberFormat="1" applyFill="1" applyBorder="1" applyAlignment="1">
      <alignment horizontal="center" vertical="center"/>
    </xf>
    <xf numFmtId="1" fontId="3" fillId="0" borderId="41" xfId="1" applyNumberFormat="1" applyBorder="1" applyAlignment="1">
      <alignment horizontal="center" vertical="center"/>
    </xf>
    <xf numFmtId="1" fontId="3" fillId="0" borderId="40" xfId="1" applyNumberFormat="1" applyBorder="1" applyAlignment="1">
      <alignment horizontal="center" vertical="center"/>
    </xf>
    <xf numFmtId="2" fontId="3" fillId="0" borderId="41" xfId="1" applyNumberFormat="1" applyBorder="1" applyAlignment="1">
      <alignment horizontal="center" vertical="center"/>
    </xf>
    <xf numFmtId="2" fontId="9" fillId="0" borderId="42" xfId="1" applyNumberFormat="1" applyFont="1" applyBorder="1" applyAlignment="1">
      <alignment horizontal="center" vertical="center"/>
    </xf>
    <xf numFmtId="1" fontId="3" fillId="18" borderId="28" xfId="1" applyNumberFormat="1" applyFill="1" applyBorder="1" applyAlignment="1">
      <alignment horizontal="center" vertical="center"/>
    </xf>
    <xf numFmtId="1" fontId="3" fillId="0" borderId="12" xfId="1" applyNumberFormat="1" applyBorder="1" applyAlignment="1">
      <alignment horizontal="center" vertical="center"/>
    </xf>
    <xf numFmtId="2" fontId="3" fillId="0" borderId="12" xfId="1" applyNumberFormat="1" applyBorder="1" applyAlignment="1">
      <alignment horizontal="center" vertical="center"/>
    </xf>
    <xf numFmtId="0" fontId="8" fillId="20" borderId="12" xfId="1" applyFont="1" applyFill="1" applyBorder="1" applyAlignment="1">
      <alignment horizontal="center" vertical="center" wrapText="1"/>
    </xf>
    <xf numFmtId="1" fontId="3" fillId="0" borderId="43" xfId="1" quotePrefix="1" applyNumberFormat="1" applyBorder="1" applyAlignment="1">
      <alignment horizontal="left" vertical="center"/>
    </xf>
    <xf numFmtId="0" fontId="10" fillId="0" borderId="43" xfId="1" applyFont="1" applyBorder="1" applyAlignment="1">
      <alignment horizontal="center" vertical="center"/>
    </xf>
    <xf numFmtId="0" fontId="3" fillId="0" borderId="43" xfId="1" applyBorder="1" applyAlignment="1">
      <alignment horizontal="left" vertical="center"/>
    </xf>
    <xf numFmtId="0" fontId="10" fillId="0" borderId="43" xfId="1" applyFont="1" applyBorder="1" applyAlignment="1">
      <alignment horizontal="left" vertical="center"/>
    </xf>
    <xf numFmtId="0" fontId="3" fillId="0" borderId="43" xfId="1" applyBorder="1" applyAlignment="1">
      <alignment horizontal="center" vertical="center"/>
    </xf>
    <xf numFmtId="2" fontId="9" fillId="0" borderId="44" xfId="1" applyNumberFormat="1" applyFont="1" applyBorder="1" applyAlignment="1">
      <alignment horizontal="center" vertical="center"/>
    </xf>
    <xf numFmtId="0" fontId="3" fillId="0" borderId="43" xfId="1" quotePrefix="1" applyBorder="1" applyAlignment="1">
      <alignment horizontal="center" vertical="center"/>
    </xf>
    <xf numFmtId="1" fontId="3" fillId="0" borderId="43" xfId="1" applyNumberFormat="1" applyBorder="1" applyAlignment="1">
      <alignment horizontal="center" vertical="center"/>
    </xf>
    <xf numFmtId="1" fontId="3" fillId="18" borderId="45" xfId="1" applyNumberFormat="1" applyFill="1" applyBorder="1" applyAlignment="1">
      <alignment horizontal="center" vertical="center"/>
    </xf>
    <xf numFmtId="1" fontId="3" fillId="0" borderId="45" xfId="1" applyNumberFormat="1" applyBorder="1" applyAlignment="1">
      <alignment horizontal="center" vertical="center"/>
    </xf>
    <xf numFmtId="2" fontId="3" fillId="0" borderId="45" xfId="1" applyNumberFormat="1" applyBorder="1" applyAlignment="1">
      <alignment horizontal="center" vertical="center"/>
    </xf>
    <xf numFmtId="0" fontId="8" fillId="20" borderId="46" xfId="1" applyFont="1" applyFill="1" applyBorder="1" applyAlignment="1">
      <alignment horizontal="center" vertical="center" wrapText="1"/>
    </xf>
    <xf numFmtId="0" fontId="3" fillId="17" borderId="46" xfId="1" applyFill="1" applyBorder="1" applyAlignment="1">
      <alignment horizontal="center" vertical="center"/>
    </xf>
    <xf numFmtId="0" fontId="20" fillId="17" borderId="47" xfId="1" applyFont="1" applyFill="1" applyBorder="1" applyAlignment="1">
      <alignment horizontal="center" vertical="center"/>
    </xf>
    <xf numFmtId="1" fontId="3" fillId="18" borderId="1" xfId="1" applyNumberFormat="1" applyFill="1" applyBorder="1" applyAlignment="1">
      <alignment horizontal="center" vertical="center"/>
    </xf>
    <xf numFmtId="1" fontId="3" fillId="0" borderId="1" xfId="1" applyNumberFormat="1" applyBorder="1" applyAlignment="1">
      <alignment horizontal="center" vertical="center"/>
    </xf>
    <xf numFmtId="2" fontId="3" fillId="0" borderId="1" xfId="1" applyNumberFormat="1" applyBorder="1" applyAlignment="1">
      <alignment horizontal="center" vertical="center"/>
    </xf>
    <xf numFmtId="0" fontId="8" fillId="20" borderId="1" xfId="1" applyFont="1" applyFill="1" applyBorder="1" applyAlignment="1">
      <alignment horizontal="center" vertical="center" wrapText="1"/>
    </xf>
    <xf numFmtId="0" fontId="10" fillId="0" borderId="36" xfId="1" applyFont="1" applyBorder="1" applyAlignment="1">
      <alignment horizontal="left" vertical="center"/>
    </xf>
    <xf numFmtId="1" fontId="3" fillId="0" borderId="36" xfId="1" applyNumberFormat="1" applyBorder="1" applyAlignment="1">
      <alignment horizontal="center" vertical="center"/>
    </xf>
    <xf numFmtId="1" fontId="3" fillId="18" borderId="23" xfId="1" applyNumberFormat="1" applyFill="1" applyBorder="1" applyAlignment="1">
      <alignment horizontal="center" vertical="center"/>
    </xf>
    <xf numFmtId="1" fontId="3" fillId="0" borderId="23" xfId="1" applyNumberFormat="1" applyBorder="1" applyAlignment="1">
      <alignment horizontal="center" vertical="center"/>
    </xf>
    <xf numFmtId="2" fontId="3" fillId="0" borderId="23" xfId="1" applyNumberFormat="1" applyBorder="1" applyAlignment="1">
      <alignment horizontal="center" vertical="center"/>
    </xf>
    <xf numFmtId="0" fontId="8" fillId="20" borderId="23" xfId="1" applyFont="1" applyFill="1" applyBorder="1" applyAlignment="1">
      <alignment horizontal="center" vertical="center" wrapText="1"/>
    </xf>
    <xf numFmtId="0" fontId="20" fillId="17" borderId="48" xfId="1" applyFont="1" applyFill="1" applyBorder="1" applyAlignment="1">
      <alignment horizontal="center" vertical="center"/>
    </xf>
    <xf numFmtId="0" fontId="10" fillId="0" borderId="25" xfId="1" applyFont="1" applyBorder="1" applyAlignment="1">
      <alignment horizontal="left" vertical="center"/>
    </xf>
    <xf numFmtId="1" fontId="3" fillId="18" borderId="12" xfId="1" applyNumberFormat="1" applyFill="1" applyBorder="1" applyAlignment="1">
      <alignment horizontal="center" vertical="center"/>
    </xf>
    <xf numFmtId="0" fontId="10" fillId="0" borderId="43" xfId="1" applyFont="1" applyBorder="1" applyAlignment="1" applyProtection="1">
      <alignment horizontal="left" vertical="center"/>
      <protection locked="0"/>
    </xf>
    <xf numFmtId="2" fontId="9" fillId="0" borderId="49" xfId="1" applyNumberFormat="1" applyFont="1" applyBorder="1" applyAlignment="1">
      <alignment horizontal="center" vertical="center"/>
    </xf>
    <xf numFmtId="2" fontId="3" fillId="0" borderId="43" xfId="1" applyNumberFormat="1" applyBorder="1" applyAlignment="1">
      <alignment horizontal="center" vertical="center"/>
    </xf>
    <xf numFmtId="1" fontId="3" fillId="14" borderId="5" xfId="1" applyNumberFormat="1" applyFill="1" applyBorder="1" applyAlignment="1">
      <alignment horizontal="center" vertical="center"/>
    </xf>
    <xf numFmtId="1" fontId="3" fillId="0" borderId="7" xfId="1" applyNumberFormat="1" applyBorder="1" applyAlignment="1">
      <alignment horizontal="center" vertical="center"/>
    </xf>
    <xf numFmtId="2" fontId="3" fillId="0" borderId="7" xfId="1" applyNumberFormat="1" applyBorder="1" applyAlignment="1">
      <alignment horizontal="center" vertical="center"/>
    </xf>
    <xf numFmtId="0" fontId="8" fillId="2" borderId="48" xfId="1" applyFont="1" applyFill="1" applyBorder="1" applyAlignment="1">
      <alignment horizontal="center" vertical="center"/>
    </xf>
    <xf numFmtId="0" fontId="3" fillId="16" borderId="50" xfId="1" applyFill="1" applyBorder="1" applyAlignment="1">
      <alignment horizontal="center" vertical="center"/>
    </xf>
    <xf numFmtId="0" fontId="3" fillId="17" borderId="48" xfId="1" applyFill="1" applyBorder="1" applyAlignment="1">
      <alignment horizontal="center" vertical="center"/>
    </xf>
    <xf numFmtId="0" fontId="20" fillId="17" borderId="51" xfId="1" applyFont="1" applyFill="1" applyBorder="1" applyAlignment="1">
      <alignment horizontal="center" vertical="center"/>
    </xf>
    <xf numFmtId="2" fontId="9" fillId="0" borderId="52" xfId="1" applyNumberFormat="1" applyFont="1" applyBorder="1" applyAlignment="1">
      <alignment horizontal="center" vertical="center"/>
    </xf>
    <xf numFmtId="1" fontId="3" fillId="18" borderId="48" xfId="1" applyNumberFormat="1" applyFill="1" applyBorder="1" applyAlignment="1">
      <alignment horizontal="center" vertical="center"/>
    </xf>
    <xf numFmtId="1" fontId="3" fillId="0" borderId="48" xfId="1" applyNumberFormat="1" applyBorder="1" applyAlignment="1">
      <alignment horizontal="center" vertical="center"/>
    </xf>
    <xf numFmtId="2" fontId="3" fillId="0" borderId="48" xfId="1" applyNumberFormat="1" applyBorder="1" applyAlignment="1">
      <alignment horizontal="center" vertical="center"/>
    </xf>
    <xf numFmtId="0" fontId="8" fillId="20" borderId="48" xfId="1" applyFont="1" applyFill="1" applyBorder="1" applyAlignment="1">
      <alignment horizontal="center" vertical="center" wrapText="1"/>
    </xf>
    <xf numFmtId="0" fontId="3" fillId="17" borderId="45" xfId="1" applyFill="1" applyBorder="1" applyAlignment="1">
      <alignment horizontal="center" vertical="center"/>
    </xf>
    <xf numFmtId="1" fontId="3" fillId="0" borderId="36" xfId="1" quotePrefix="1" applyNumberFormat="1" applyBorder="1" applyAlignment="1" applyProtection="1">
      <alignment horizontal="left" vertical="center"/>
      <protection locked="0"/>
    </xf>
    <xf numFmtId="0" fontId="10" fillId="0" borderId="36" xfId="1" applyFont="1" applyBorder="1" applyAlignment="1" applyProtection="1">
      <alignment horizontal="center" vertical="center"/>
      <protection locked="0"/>
    </xf>
    <xf numFmtId="0" fontId="3" fillId="0" borderId="36" xfId="1" applyBorder="1" applyAlignment="1" applyProtection="1">
      <alignment horizontal="left" vertical="center"/>
      <protection locked="0"/>
    </xf>
    <xf numFmtId="2" fontId="9" fillId="0" borderId="53" xfId="1" applyNumberFormat="1" applyFont="1" applyBorder="1" applyAlignment="1">
      <alignment horizontal="center" vertical="center"/>
    </xf>
    <xf numFmtId="2" fontId="3" fillId="0" borderId="36" xfId="1" applyNumberFormat="1" applyBorder="1" applyAlignment="1" applyProtection="1">
      <alignment horizontal="center" vertical="center"/>
      <protection locked="0"/>
    </xf>
    <xf numFmtId="4" fontId="3" fillId="0" borderId="36" xfId="1" applyNumberFormat="1" applyBorder="1" applyAlignment="1" applyProtection="1">
      <alignment horizontal="left" vertical="center"/>
      <protection locked="0"/>
    </xf>
    <xf numFmtId="0" fontId="3" fillId="0" borderId="36" xfId="1" quotePrefix="1" applyBorder="1" applyAlignment="1" applyProtection="1">
      <alignment horizontal="center" vertical="center"/>
      <protection locked="0"/>
    </xf>
    <xf numFmtId="1" fontId="3" fillId="0" borderId="54" xfId="1" applyNumberFormat="1" applyBorder="1" applyAlignment="1">
      <alignment horizontal="center" vertical="center"/>
    </xf>
    <xf numFmtId="2" fontId="3" fillId="0" borderId="55" xfId="1" applyNumberFormat="1" applyBorder="1" applyAlignment="1">
      <alignment horizontal="center" vertical="center"/>
    </xf>
    <xf numFmtId="0" fontId="3" fillId="2" borderId="40" xfId="1" applyFill="1" applyBorder="1" applyAlignment="1">
      <alignment horizontal="center" vertical="center"/>
    </xf>
    <xf numFmtId="1" fontId="10" fillId="2" borderId="40" xfId="1" applyNumberFormat="1" applyFont="1" applyFill="1" applyBorder="1" applyAlignment="1">
      <alignment horizontal="center" vertical="center"/>
    </xf>
    <xf numFmtId="1" fontId="3" fillId="19" borderId="37" xfId="1" applyNumberFormat="1" applyFill="1" applyBorder="1" applyAlignment="1">
      <alignment horizontal="left" vertical="center"/>
    </xf>
    <xf numFmtId="0" fontId="10" fillId="19" borderId="37" xfId="1" applyFont="1" applyFill="1" applyBorder="1" applyAlignment="1">
      <alignment horizontal="center" vertical="center"/>
    </xf>
    <xf numFmtId="1" fontId="21" fillId="19" borderId="37" xfId="1" applyNumberFormat="1" applyFont="1" applyFill="1" applyBorder="1" applyAlignment="1">
      <alignment horizontal="left" vertical="center"/>
    </xf>
    <xf numFmtId="0" fontId="3" fillId="19" borderId="37" xfId="1" applyFill="1" applyBorder="1" applyAlignment="1">
      <alignment horizontal="left" vertical="center"/>
    </xf>
    <xf numFmtId="0" fontId="10" fillId="19" borderId="37" xfId="1" applyFont="1" applyFill="1" applyBorder="1" applyAlignment="1">
      <alignment horizontal="left" vertical="center"/>
    </xf>
    <xf numFmtId="0" fontId="3" fillId="19" borderId="37" xfId="1" applyFill="1" applyBorder="1" applyAlignment="1">
      <alignment horizontal="center" vertical="center"/>
    </xf>
    <xf numFmtId="2" fontId="9" fillId="19" borderId="37" xfId="1" applyNumberFormat="1" applyFont="1" applyFill="1" applyBorder="1" applyAlignment="1">
      <alignment horizontal="center" vertical="center"/>
    </xf>
    <xf numFmtId="0" fontId="3" fillId="19" borderId="37" xfId="1" quotePrefix="1" applyFill="1" applyBorder="1" applyAlignment="1">
      <alignment horizontal="center" vertical="center"/>
    </xf>
    <xf numFmtId="1" fontId="3" fillId="19" borderId="37" xfId="1" applyNumberFormat="1" applyFill="1" applyBorder="1" applyAlignment="1">
      <alignment horizontal="center" vertical="center"/>
    </xf>
    <xf numFmtId="2" fontId="3" fillId="19" borderId="37" xfId="1" applyNumberFormat="1" applyFill="1" applyBorder="1" applyAlignment="1">
      <alignment horizontal="center" vertical="center"/>
    </xf>
    <xf numFmtId="2" fontId="20" fillId="19" borderId="37" xfId="1" applyNumberFormat="1" applyFont="1" applyFill="1" applyBorder="1" applyAlignment="1">
      <alignment horizontal="center" vertical="center"/>
    </xf>
    <xf numFmtId="1" fontId="10" fillId="19" borderId="37" xfId="1" applyNumberFormat="1" applyFont="1" applyFill="1" applyBorder="1" applyAlignment="1">
      <alignment horizontal="center" vertical="center"/>
    </xf>
    <xf numFmtId="1" fontId="3" fillId="0" borderId="25" xfId="1" applyNumberFormat="1" applyBorder="1" applyAlignment="1">
      <alignment horizontal="left" vertical="center"/>
    </xf>
    <xf numFmtId="1" fontId="3" fillId="0" borderId="0" xfId="1" applyNumberFormat="1" applyAlignment="1">
      <alignment horizontal="left" vertical="center"/>
    </xf>
    <xf numFmtId="2" fontId="9" fillId="21" borderId="38" xfId="1" applyNumberFormat="1" applyFont="1" applyFill="1" applyBorder="1" applyAlignment="1">
      <alignment horizontal="center" vertical="center"/>
    </xf>
    <xf numFmtId="1" fontId="3" fillId="0" borderId="43" xfId="1" applyNumberFormat="1" applyBorder="1" applyAlignment="1">
      <alignment horizontal="left" vertical="center"/>
    </xf>
    <xf numFmtId="0" fontId="10" fillId="0" borderId="56" xfId="1" applyFont="1" applyBorder="1" applyAlignment="1">
      <alignment horizontal="center" vertical="center"/>
    </xf>
    <xf numFmtId="0" fontId="3" fillId="0" borderId="56" xfId="1" applyBorder="1" applyAlignment="1">
      <alignment horizontal="left" vertical="center"/>
    </xf>
    <xf numFmtId="0" fontId="10" fillId="0" borderId="56" xfId="1" applyFont="1" applyBorder="1" applyAlignment="1">
      <alignment horizontal="left" vertical="center"/>
    </xf>
    <xf numFmtId="0" fontId="3" fillId="0" borderId="56" xfId="1" applyBorder="1" applyAlignment="1">
      <alignment horizontal="center" vertical="center"/>
    </xf>
    <xf numFmtId="0" fontId="3" fillId="0" borderId="56" xfId="1" quotePrefix="1" applyBorder="1" applyAlignment="1">
      <alignment horizontal="center" vertical="center"/>
    </xf>
    <xf numFmtId="1" fontId="3" fillId="0" borderId="56" xfId="1" applyNumberFormat="1" applyBorder="1" applyAlignment="1">
      <alignment horizontal="center" vertical="center"/>
    </xf>
    <xf numFmtId="1" fontId="3" fillId="0" borderId="57" xfId="1" quotePrefix="1" applyNumberFormat="1" applyBorder="1" applyAlignment="1">
      <alignment horizontal="left" vertical="center"/>
    </xf>
    <xf numFmtId="0" fontId="10" fillId="0" borderId="57" xfId="1" applyFont="1" applyBorder="1" applyAlignment="1">
      <alignment horizontal="center" vertical="center"/>
    </xf>
    <xf numFmtId="0" fontId="3" fillId="0" borderId="57" xfId="1" applyBorder="1" applyAlignment="1">
      <alignment horizontal="left" vertical="center"/>
    </xf>
    <xf numFmtId="0" fontId="10" fillId="0" borderId="57" xfId="1" applyFont="1" applyBorder="1" applyAlignment="1">
      <alignment horizontal="left" vertical="center"/>
    </xf>
    <xf numFmtId="0" fontId="3" fillId="0" borderId="57" xfId="1" applyBorder="1" applyAlignment="1">
      <alignment horizontal="center" vertical="center"/>
    </xf>
    <xf numFmtId="2" fontId="9" fillId="0" borderId="58" xfId="1" applyNumberFormat="1" applyFont="1" applyBorder="1" applyAlignment="1">
      <alignment horizontal="center" vertical="center"/>
    </xf>
    <xf numFmtId="0" fontId="3" fillId="0" borderId="57" xfId="1" quotePrefix="1" applyBorder="1" applyAlignment="1">
      <alignment horizontal="center" vertical="center"/>
    </xf>
    <xf numFmtId="1" fontId="3" fillId="0" borderId="57" xfId="1" applyNumberFormat="1" applyBorder="1" applyAlignment="1">
      <alignment horizontal="center" vertical="center"/>
    </xf>
    <xf numFmtId="1" fontId="3" fillId="18" borderId="59" xfId="1" applyNumberFormat="1" applyFill="1" applyBorder="1" applyAlignment="1">
      <alignment horizontal="center" vertical="center"/>
    </xf>
    <xf numFmtId="1" fontId="3" fillId="0" borderId="59" xfId="1" applyNumberFormat="1" applyBorder="1" applyAlignment="1">
      <alignment horizontal="center" vertical="center"/>
    </xf>
    <xf numFmtId="2" fontId="3" fillId="0" borderId="59" xfId="1" applyNumberFormat="1" applyBorder="1" applyAlignment="1">
      <alignment horizontal="center" vertical="center"/>
    </xf>
    <xf numFmtId="0" fontId="8" fillId="20" borderId="60" xfId="1" applyFont="1" applyFill="1" applyBorder="1" applyAlignment="1">
      <alignment horizontal="center" vertical="center" wrapText="1"/>
    </xf>
    <xf numFmtId="0" fontId="3" fillId="17" borderId="59" xfId="1" applyFill="1" applyBorder="1" applyAlignment="1">
      <alignment horizontal="center" vertical="center"/>
    </xf>
    <xf numFmtId="0" fontId="20" fillId="17" borderId="61" xfId="1" applyFont="1" applyFill="1" applyBorder="1" applyAlignment="1">
      <alignment horizontal="center" vertical="center"/>
    </xf>
    <xf numFmtId="1" fontId="3" fillId="14" borderId="19" xfId="1" applyNumberFormat="1" applyFill="1" applyBorder="1" applyAlignment="1">
      <alignment horizontal="center" vertical="center"/>
    </xf>
    <xf numFmtId="1" fontId="3" fillId="0" borderId="30" xfId="1" applyNumberFormat="1" applyBorder="1" applyAlignment="1">
      <alignment horizontal="center" vertical="center"/>
    </xf>
    <xf numFmtId="1" fontId="3" fillId="0" borderId="19" xfId="1" applyNumberFormat="1" applyBorder="1" applyAlignment="1">
      <alignment horizontal="center" vertical="center"/>
    </xf>
    <xf numFmtId="0" fontId="8" fillId="2" borderId="21" xfId="1" applyFont="1" applyFill="1" applyBorder="1" applyAlignment="1">
      <alignment horizontal="center" vertical="center"/>
    </xf>
    <xf numFmtId="0" fontId="3" fillId="16" borderId="62" xfId="1" applyFill="1" applyBorder="1" applyAlignment="1">
      <alignment horizontal="center" vertical="center"/>
    </xf>
    <xf numFmtId="0" fontId="3" fillId="17" borderId="21" xfId="1" applyFill="1" applyBorder="1" applyAlignment="1">
      <alignment horizontal="center" vertical="center"/>
    </xf>
    <xf numFmtId="1" fontId="3" fillId="18" borderId="21" xfId="1" applyNumberFormat="1" applyFill="1" applyBorder="1" applyAlignment="1">
      <alignment horizontal="center" vertical="center"/>
    </xf>
    <xf numFmtId="2" fontId="3" fillId="0" borderId="21" xfId="1" applyNumberFormat="1" applyBorder="1" applyAlignment="1">
      <alignment horizontal="center" vertical="center"/>
    </xf>
    <xf numFmtId="0" fontId="8" fillId="20" borderId="63" xfId="1" applyFont="1" applyFill="1" applyBorder="1" applyAlignment="1">
      <alignment horizontal="center" vertical="center" wrapText="1"/>
    </xf>
    <xf numFmtId="0" fontId="3" fillId="17" borderId="63" xfId="1" applyFill="1" applyBorder="1" applyAlignment="1">
      <alignment horizontal="center" vertical="center"/>
    </xf>
    <xf numFmtId="0" fontId="20" fillId="17" borderId="64" xfId="1" applyFont="1" applyFill="1" applyBorder="1" applyAlignment="1">
      <alignment horizontal="center" vertical="center"/>
    </xf>
    <xf numFmtId="0" fontId="8" fillId="19" borderId="37" xfId="1" applyFont="1" applyFill="1" applyBorder="1" applyAlignment="1">
      <alignment horizontal="center" vertical="center"/>
    </xf>
    <xf numFmtId="2" fontId="3" fillId="0" borderId="14" xfId="1" applyNumberFormat="1" applyBorder="1" applyAlignment="1">
      <alignment horizontal="center" vertical="center"/>
    </xf>
    <xf numFmtId="0" fontId="8" fillId="2" borderId="14" xfId="1" applyFont="1" applyFill="1" applyBorder="1" applyAlignment="1">
      <alignment horizontal="center" vertical="center"/>
    </xf>
    <xf numFmtId="0" fontId="3" fillId="17" borderId="14" xfId="1" applyFill="1" applyBorder="1" applyAlignment="1">
      <alignment horizontal="center" vertical="center"/>
    </xf>
    <xf numFmtId="0" fontId="3" fillId="16" borderId="14" xfId="1" applyFill="1" applyBorder="1" applyAlignment="1">
      <alignment horizontal="center" vertical="center"/>
    </xf>
    <xf numFmtId="2" fontId="3" fillId="0" borderId="65" xfId="1" applyNumberFormat="1" applyBorder="1" applyAlignment="1">
      <alignment horizontal="center" vertical="center"/>
    </xf>
    <xf numFmtId="1" fontId="3" fillId="18" borderId="66" xfId="1" applyNumberFormat="1" applyFill="1" applyBorder="1" applyAlignment="1">
      <alignment horizontal="center" vertical="center"/>
    </xf>
    <xf numFmtId="1" fontId="3" fillId="0" borderId="66" xfId="1" applyNumberFormat="1" applyBorder="1" applyAlignment="1">
      <alignment horizontal="center" vertical="center"/>
    </xf>
    <xf numFmtId="2" fontId="3" fillId="0" borderId="66" xfId="1" applyNumberFormat="1" applyBorder="1" applyAlignment="1">
      <alignment horizontal="center" vertical="center"/>
    </xf>
    <xf numFmtId="0" fontId="3" fillId="8" borderId="43" xfId="1" applyFill="1" applyBorder="1" applyAlignment="1">
      <alignment horizontal="left" vertical="center"/>
    </xf>
    <xf numFmtId="2" fontId="9" fillId="21" borderId="52" xfId="1" applyNumberFormat="1" applyFont="1" applyFill="1" applyBorder="1" applyAlignment="1">
      <alignment horizontal="center" vertical="center"/>
    </xf>
    <xf numFmtId="2" fontId="9" fillId="21" borderId="49" xfId="1" applyNumberFormat="1" applyFont="1" applyFill="1" applyBorder="1" applyAlignment="1">
      <alignment horizontal="center" vertical="center"/>
    </xf>
    <xf numFmtId="0" fontId="3" fillId="22" borderId="0" xfId="1" applyFill="1" applyAlignment="1">
      <alignment horizontal="left" vertical="center"/>
    </xf>
    <xf numFmtId="0" fontId="3" fillId="22" borderId="43" xfId="1" applyFill="1" applyBorder="1" applyAlignment="1">
      <alignment horizontal="left" vertical="center"/>
    </xf>
    <xf numFmtId="0" fontId="20" fillId="17" borderId="67" xfId="1" applyFont="1" applyFill="1" applyBorder="1" applyAlignment="1">
      <alignment horizontal="center" vertical="center"/>
    </xf>
    <xf numFmtId="0" fontId="3" fillId="2" borderId="68" xfId="1" applyFill="1" applyBorder="1" applyAlignment="1">
      <alignment horizontal="center" vertical="center"/>
    </xf>
    <xf numFmtId="0" fontId="20" fillId="17" borderId="69" xfId="1" applyFont="1" applyFill="1" applyBorder="1" applyAlignment="1">
      <alignment horizontal="center" vertical="center"/>
    </xf>
    <xf numFmtId="0" fontId="3" fillId="2" borderId="70" xfId="1" applyFill="1" applyBorder="1" applyAlignment="1">
      <alignment horizontal="center" vertical="center"/>
    </xf>
    <xf numFmtId="1" fontId="3" fillId="19" borderId="71" xfId="1" applyNumberFormat="1" applyFill="1" applyBorder="1" applyAlignment="1">
      <alignment horizontal="left" vertical="center"/>
    </xf>
    <xf numFmtId="0" fontId="10" fillId="19" borderId="71" xfId="1" applyFont="1" applyFill="1" applyBorder="1" applyAlignment="1">
      <alignment horizontal="center" vertical="center"/>
    </xf>
    <xf numFmtId="1" fontId="21" fillId="19" borderId="71" xfId="1" applyNumberFormat="1" applyFont="1" applyFill="1" applyBorder="1" applyAlignment="1">
      <alignment horizontal="left" vertical="center"/>
    </xf>
    <xf numFmtId="0" fontId="3" fillId="19" borderId="71" xfId="1" applyFill="1" applyBorder="1" applyAlignment="1">
      <alignment horizontal="left" vertical="center"/>
    </xf>
    <xf numFmtId="0" fontId="10" fillId="19" borderId="71" xfId="1" applyFont="1" applyFill="1" applyBorder="1" applyAlignment="1">
      <alignment horizontal="left" vertical="center"/>
    </xf>
    <xf numFmtId="0" fontId="3" fillId="19" borderId="71" xfId="1" applyFill="1" applyBorder="1" applyAlignment="1">
      <alignment horizontal="center" vertical="center"/>
    </xf>
    <xf numFmtId="2" fontId="9" fillId="19" borderId="71" xfId="1" applyNumberFormat="1" applyFont="1" applyFill="1" applyBorder="1" applyAlignment="1">
      <alignment horizontal="center" vertical="center"/>
    </xf>
    <xf numFmtId="0" fontId="3" fillId="19" borderId="71" xfId="1" quotePrefix="1" applyFill="1" applyBorder="1" applyAlignment="1">
      <alignment horizontal="center" vertical="center"/>
    </xf>
    <xf numFmtId="1" fontId="3" fillId="19" borderId="71" xfId="1" applyNumberFormat="1" applyFill="1" applyBorder="1" applyAlignment="1">
      <alignment horizontal="center" vertical="center"/>
    </xf>
    <xf numFmtId="2" fontId="3" fillId="19" borderId="71" xfId="1" applyNumberFormat="1" applyFill="1" applyBorder="1" applyAlignment="1">
      <alignment horizontal="center" vertical="center"/>
    </xf>
    <xf numFmtId="0" fontId="8" fillId="19" borderId="71" xfId="1" applyFont="1" applyFill="1" applyBorder="1" applyAlignment="1">
      <alignment horizontal="center" vertical="center"/>
    </xf>
    <xf numFmtId="0" fontId="17" fillId="8" borderId="71" xfId="1" applyFont="1" applyFill="1" applyBorder="1" applyAlignment="1">
      <alignment horizontal="center" vertical="center"/>
    </xf>
    <xf numFmtId="2" fontId="20" fillId="19" borderId="71" xfId="1" applyNumberFormat="1" applyFont="1" applyFill="1" applyBorder="1" applyAlignment="1">
      <alignment horizontal="center" vertical="center"/>
    </xf>
    <xf numFmtId="1" fontId="10" fillId="19" borderId="71" xfId="1" applyNumberFormat="1" applyFont="1" applyFill="1" applyBorder="1" applyAlignment="1">
      <alignment horizontal="center" vertical="center"/>
    </xf>
    <xf numFmtId="0" fontId="3" fillId="8" borderId="0" xfId="1" applyFill="1" applyAlignment="1">
      <alignment horizontal="left" vertical="center"/>
    </xf>
    <xf numFmtId="1" fontId="3" fillId="0" borderId="7" xfId="1" applyNumberFormat="1" applyBorder="1" applyAlignment="1">
      <alignment horizontal="center" vertical="center" wrapText="1"/>
    </xf>
    <xf numFmtId="0" fontId="8" fillId="15" borderId="48" xfId="1" applyFont="1" applyFill="1" applyBorder="1" applyAlignment="1">
      <alignment horizontal="center" vertical="center"/>
    </xf>
    <xf numFmtId="0" fontId="3" fillId="16" borderId="48" xfId="1" applyFill="1" applyBorder="1" applyAlignment="1">
      <alignment horizontal="center" vertical="center"/>
    </xf>
    <xf numFmtId="2" fontId="9" fillId="0" borderId="72" xfId="1" applyNumberFormat="1" applyFont="1" applyBorder="1" applyAlignment="1">
      <alignment horizontal="center" vertical="center"/>
    </xf>
    <xf numFmtId="1" fontId="3" fillId="18" borderId="0" xfId="1" applyNumberFormat="1" applyFill="1" applyAlignment="1">
      <alignment horizontal="center" vertical="center"/>
    </xf>
    <xf numFmtId="0" fontId="8" fillId="0" borderId="0" xfId="1" applyFont="1" applyAlignment="1">
      <alignment horizontal="center" vertical="center"/>
    </xf>
    <xf numFmtId="0" fontId="9" fillId="0" borderId="0" xfId="1" applyFont="1" applyAlignment="1">
      <alignment horizontal="center" vertical="center"/>
    </xf>
    <xf numFmtId="2" fontId="3" fillId="0" borderId="0" xfId="1" applyNumberFormat="1" applyAlignment="1">
      <alignment vertical="center" wrapText="1"/>
    </xf>
    <xf numFmtId="2" fontId="9" fillId="0" borderId="0" xfId="1" applyNumberFormat="1" applyFont="1" applyAlignment="1">
      <alignment horizontal="center" vertical="center"/>
    </xf>
  </cellXfs>
  <cellStyles count="3">
    <cellStyle name="Normal" xfId="0" builtinId="0"/>
    <cellStyle name="Normal 2" xfId="1" xr:uid="{8E060E10-94DF-4DC3-988B-2CF52B6C5E1B}"/>
    <cellStyle name="Normal 3" xfId="2" xr:uid="{125D9A69-DDF6-4B9A-B55F-D79C9ACC32F3}"/>
  </cellStyles>
  <dxfs count="5">
    <dxf>
      <fill>
        <patternFill>
          <bgColor indexed="10"/>
        </patternFill>
      </fill>
    </dxf>
    <dxf>
      <font>
        <condense val="0"/>
        <extend val="0"/>
        <color indexed="49"/>
      </font>
    </dxf>
    <dxf>
      <font>
        <condense val="0"/>
        <extend val="0"/>
        <color indexed="57"/>
      </font>
    </dxf>
    <dxf>
      <font>
        <condense val="0"/>
        <extend val="0"/>
        <color indexed="16"/>
      </font>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C24EDFFF-A598-422C-ADDA-47BBA2C548B7}"/>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CDF28C26-4209-415B-B686-C9EA888892E8}"/>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2AAA2D89-75FF-4493-B4EA-14A4065E7E58}"/>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8E64EE64-1F54-4E3E-803A-8A66B31DA00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224F17C3-B737-463B-9902-6AC387A9A75F}"/>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62847538-32F7-46A7-8A66-179831D7040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4E1F0B0F-2870-48A1-B7D0-7E9C157C6B01}"/>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5st3wekn.xls" TargetMode="External"/><Relationship Id="rId1" Type="http://schemas.openxmlformats.org/officeDocument/2006/relationships/externalLinkPath" Target="file:///C:\Users\PetrV\AppData\Local\Temp\tmp5st3wek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5F59-F066-4541-AA43-6A3D5E9A6104}">
  <sheetPr codeName="Sheet52"/>
  <dimension ref="A1:IV3836"/>
  <sheetViews>
    <sheetView tabSelected="1" zoomScale="70" zoomScaleNormal="80" workbookViewId="0">
      <pane ySplit="6" topLeftCell="A166" activePane="bottomLeft" state="frozen"/>
      <selection activeCell="M359" sqref="M359"/>
      <selection pane="bottomLeft" activeCell="W207" sqref="W207"/>
    </sheetView>
  </sheetViews>
  <sheetFormatPr defaultRowHeight="12.75" x14ac:dyDescent="0.25"/>
  <cols>
    <col min="1" max="1" width="3.28515625" style="21" customWidth="1"/>
    <col min="2" max="2" width="16" style="276" customWidth="1"/>
    <col min="3" max="3" width="6.7109375" style="81" customWidth="1"/>
    <col min="4" max="4" width="32.42578125" style="23" customWidth="1"/>
    <col min="5" max="5" width="25.5703125" style="23" customWidth="1"/>
    <col min="6" max="6" width="22.7109375" style="82" customWidth="1"/>
    <col min="7" max="7" width="14.140625" style="21" customWidth="1"/>
    <col min="8" max="8" width="8.7109375" style="351" customWidth="1"/>
    <col min="9" max="9" width="9.140625" style="21"/>
    <col min="10" max="10" width="15.7109375" style="23" customWidth="1"/>
    <col min="11" max="12" width="9.140625" style="21"/>
    <col min="13" max="13" width="12.7109375" style="21" customWidth="1"/>
    <col min="14" max="14" width="9.7109375" style="87" customWidth="1"/>
    <col min="15" max="15" width="15.5703125" style="87" customWidth="1"/>
    <col min="16" max="17" width="6.7109375" style="87" customWidth="1"/>
    <col min="18" max="18" width="10" style="84" customWidth="1"/>
    <col min="19" max="19" width="27.28515625" style="348" customWidth="1"/>
    <col min="20" max="20" width="15.7109375" style="21" customWidth="1"/>
    <col min="21" max="21" width="23.5703125" style="21" customWidth="1"/>
    <col min="22" max="22" width="8.7109375" style="349" customWidth="1"/>
    <col min="23" max="23" width="8.28515625" style="21" customWidth="1"/>
    <col min="24" max="24" width="8.28515625" style="147"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x14ac:dyDescent="0.25">
      <c r="A1" s="1"/>
      <c r="B1" s="2" t="s">
        <v>0</v>
      </c>
      <c r="C1" s="3"/>
      <c r="D1" s="4"/>
      <c r="E1" s="4"/>
      <c r="F1" s="5"/>
      <c r="G1" s="6"/>
      <c r="H1" s="7"/>
      <c r="I1" s="8"/>
      <c r="J1" s="9"/>
      <c r="K1" s="10"/>
      <c r="L1" s="11"/>
      <c r="M1" s="11"/>
      <c r="N1" s="12"/>
      <c r="O1" s="12"/>
      <c r="P1" s="13"/>
      <c r="Q1" s="13"/>
      <c r="R1" s="14"/>
      <c r="S1" s="15"/>
      <c r="T1" s="11"/>
      <c r="U1" s="16" t="s">
        <v>1</v>
      </c>
      <c r="V1" s="17"/>
      <c r="W1" s="18"/>
      <c r="X1" s="19"/>
    </row>
    <row r="2" spans="1:256" x14ac:dyDescent="0.25">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x14ac:dyDescent="0.25">
      <c r="A3" s="25"/>
      <c r="B3" s="35"/>
      <c r="C3" s="36"/>
      <c r="D3" s="29"/>
      <c r="E3" s="37" t="s">
        <v>3</v>
      </c>
      <c r="F3" s="38">
        <v>46057</v>
      </c>
      <c r="G3" s="31"/>
      <c r="H3" s="32"/>
      <c r="I3" s="32"/>
      <c r="J3" s="32"/>
      <c r="K3" s="10"/>
      <c r="L3" s="11"/>
      <c r="M3" s="33"/>
      <c r="N3" s="12"/>
      <c r="O3" s="12"/>
      <c r="P3" s="12"/>
      <c r="Q3" s="12"/>
      <c r="R3" s="34"/>
      <c r="S3" s="39" t="s">
        <v>4</v>
      </c>
      <c r="T3" s="40" t="s">
        <v>5</v>
      </c>
      <c r="U3" s="41"/>
      <c r="V3" s="42"/>
      <c r="W3" s="18"/>
      <c r="X3" s="19"/>
    </row>
    <row r="4" spans="1:256" ht="18" customHeight="1" x14ac:dyDescent="0.25">
      <c r="A4" s="25"/>
      <c r="B4" s="35"/>
      <c r="C4" s="36"/>
      <c r="D4" s="29"/>
      <c r="E4" s="37" t="s">
        <v>6</v>
      </c>
      <c r="F4" s="38">
        <f>F3+6</f>
        <v>46063</v>
      </c>
      <c r="G4" s="31"/>
      <c r="H4" s="32"/>
      <c r="I4" s="32"/>
      <c r="J4" s="32"/>
      <c r="K4" s="10"/>
      <c r="L4" s="11"/>
      <c r="M4" s="33"/>
      <c r="N4" s="43">
        <v>40</v>
      </c>
      <c r="O4" s="44" t="s">
        <v>7</v>
      </c>
      <c r="P4" s="45"/>
      <c r="Q4" s="46"/>
      <c r="R4" s="34"/>
      <c r="S4" s="47" t="s">
        <v>8</v>
      </c>
      <c r="T4" s="48" t="s">
        <v>9</v>
      </c>
      <c r="U4" s="49"/>
      <c r="V4" s="42"/>
      <c r="W4" s="18"/>
      <c r="X4" s="19"/>
    </row>
    <row r="5" spans="1:256" x14ac:dyDescent="0.25">
      <c r="A5" s="25"/>
      <c r="B5" s="35"/>
      <c r="C5" s="36"/>
      <c r="D5" s="29"/>
      <c r="E5" s="29"/>
      <c r="F5" s="30"/>
      <c r="G5" s="31"/>
      <c r="H5" s="32"/>
      <c r="I5" s="50"/>
      <c r="J5" s="9"/>
      <c r="K5" s="10"/>
      <c r="L5" s="11"/>
      <c r="M5" s="11"/>
      <c r="N5" s="51" t="e">
        <f>SUM(N7:N639)</f>
        <v>#VALUE!</v>
      </c>
      <c r="O5" s="52" t="s">
        <v>10</v>
      </c>
      <c r="P5" s="13"/>
      <c r="Q5" s="53"/>
      <c r="R5" s="54"/>
      <c r="S5" s="47" t="s">
        <v>11</v>
      </c>
      <c r="T5" s="55" t="s">
        <v>12</v>
      </c>
      <c r="U5" s="56"/>
      <c r="V5" s="42"/>
      <c r="W5" s="18"/>
      <c r="X5" s="19"/>
    </row>
    <row r="6" spans="1:256" s="75" customFormat="1" ht="24.75" customHeight="1" thickBot="1" x14ac:dyDescent="0.3">
      <c r="A6" s="57"/>
      <c r="B6" s="58" t="s">
        <v>13</v>
      </c>
      <c r="C6" s="59"/>
      <c r="D6" s="60" t="s">
        <v>14</v>
      </c>
      <c r="E6" s="60" t="s">
        <v>15</v>
      </c>
      <c r="F6" s="61" t="s">
        <v>16</v>
      </c>
      <c r="G6" s="62" t="s">
        <v>17</v>
      </c>
      <c r="H6" s="63" t="s">
        <v>18</v>
      </c>
      <c r="I6" s="64" t="s">
        <v>19</v>
      </c>
      <c r="J6" s="60" t="s">
        <v>20</v>
      </c>
      <c r="K6" s="65" t="s">
        <v>21</v>
      </c>
      <c r="L6" s="62" t="s">
        <v>22</v>
      </c>
      <c r="M6" s="62" t="s">
        <v>23</v>
      </c>
      <c r="N6" s="66" t="s">
        <v>24</v>
      </c>
      <c r="O6" s="66" t="s">
        <v>25</v>
      </c>
      <c r="P6" s="67" t="s">
        <v>26</v>
      </c>
      <c r="Q6" s="66" t="s">
        <v>27</v>
      </c>
      <c r="R6" s="68" t="s">
        <v>28</v>
      </c>
      <c r="S6" s="69" t="s">
        <v>29</v>
      </c>
      <c r="T6" s="70" t="s">
        <v>30</v>
      </c>
      <c r="U6" s="70" t="s">
        <v>31</v>
      </c>
      <c r="V6" s="71" t="s">
        <v>32</v>
      </c>
      <c r="W6" s="62" t="s">
        <v>33</v>
      </c>
      <c r="X6" s="72" t="s">
        <v>34</v>
      </c>
      <c r="Y6" s="73"/>
      <c r="Z6" s="74" t="s">
        <v>35</v>
      </c>
      <c r="AC6" s="76" t="s">
        <v>36</v>
      </c>
      <c r="AD6" s="77"/>
      <c r="AE6" s="77"/>
      <c r="AM6" s="78" t="s">
        <v>37</v>
      </c>
    </row>
    <row r="7" spans="1:256" ht="22.35" customHeight="1" thickBot="1" x14ac:dyDescent="0.3">
      <c r="A7" s="79"/>
      <c r="B7" s="80">
        <v>9002517105101</v>
      </c>
      <c r="C7" s="81">
        <v>8</v>
      </c>
      <c r="D7" s="23" t="s">
        <v>38</v>
      </c>
      <c r="E7" s="23" t="s">
        <v>39</v>
      </c>
      <c r="F7" s="82" t="s">
        <v>40</v>
      </c>
      <c r="G7" s="21">
        <v>1</v>
      </c>
      <c r="H7" s="83">
        <v>275</v>
      </c>
      <c r="I7" s="84">
        <v>267.68</v>
      </c>
      <c r="J7" s="23" t="s">
        <v>41</v>
      </c>
      <c r="K7" s="85">
        <v>1051049</v>
      </c>
      <c r="L7" s="86">
        <v>1</v>
      </c>
      <c r="M7" s="86"/>
      <c r="O7" s="88">
        <v>32</v>
      </c>
      <c r="P7" s="89">
        <v>1</v>
      </c>
      <c r="Q7" s="90">
        <v>1</v>
      </c>
      <c r="R7" s="91">
        <v>305</v>
      </c>
      <c r="S7" s="92" t="s">
        <v>42</v>
      </c>
      <c r="T7" s="93" t="s">
        <v>43</v>
      </c>
      <c r="U7" s="94" t="s">
        <v>44</v>
      </c>
      <c r="V7" s="95">
        <v>1</v>
      </c>
      <c r="W7" s="96"/>
      <c r="X7" s="97" t="s">
        <v>45</v>
      </c>
      <c r="Y7" s="20">
        <f t="shared" ref="Y7:Y70" si="0">COUNTIF(K:K,K7)</f>
        <v>1</v>
      </c>
      <c r="AA7" s="98">
        <f>H7-I7</f>
        <v>7.3199999999999932</v>
      </c>
      <c r="AB7" s="98">
        <f>R7-H7</f>
        <v>30</v>
      </c>
    </row>
    <row r="8" spans="1:256" ht="22.35" customHeight="1" thickBot="1" x14ac:dyDescent="0.3">
      <c r="A8" s="79"/>
      <c r="B8" s="80">
        <v>4006067060977</v>
      </c>
      <c r="C8" s="81">
        <v>6</v>
      </c>
      <c r="D8" s="23" t="s">
        <v>46</v>
      </c>
      <c r="E8" s="23" t="s">
        <v>47</v>
      </c>
      <c r="F8" s="82" t="s">
        <v>48</v>
      </c>
      <c r="G8" s="21">
        <v>4</v>
      </c>
      <c r="H8" s="99">
        <v>125</v>
      </c>
      <c r="I8" s="21">
        <v>120.46</v>
      </c>
      <c r="J8" s="23" t="s">
        <v>49</v>
      </c>
      <c r="K8" s="86">
        <v>1040048</v>
      </c>
      <c r="L8" s="86">
        <v>1</v>
      </c>
      <c r="M8" s="86"/>
      <c r="O8" s="100">
        <v>70</v>
      </c>
      <c r="P8" s="101">
        <v>2</v>
      </c>
      <c r="Q8" s="102">
        <v>2</v>
      </c>
      <c r="R8" s="103">
        <v>135</v>
      </c>
      <c r="S8" s="104" t="s">
        <v>42</v>
      </c>
      <c r="T8" s="105" t="s">
        <v>43</v>
      </c>
      <c r="U8" s="106" t="s">
        <v>44</v>
      </c>
      <c r="V8" s="107">
        <v>1</v>
      </c>
      <c r="W8" s="108"/>
      <c r="X8" s="109" t="s">
        <v>50</v>
      </c>
      <c r="Y8" s="20">
        <f t="shared" si="0"/>
        <v>1</v>
      </c>
      <c r="AA8" s="98">
        <f t="shared" ref="AA8:AA71" si="1">H8-I8</f>
        <v>4.5400000000000063</v>
      </c>
      <c r="AB8" s="98">
        <f t="shared" ref="AB8:AB71" si="2">R8-H8</f>
        <v>10</v>
      </c>
    </row>
    <row r="9" spans="1:256" s="75" customFormat="1" ht="22.35" customHeight="1" thickBot="1" x14ac:dyDescent="0.3">
      <c r="A9" s="79"/>
      <c r="B9" s="80">
        <v>5908243700532</v>
      </c>
      <c r="C9" s="81">
        <v>20</v>
      </c>
      <c r="D9" s="23" t="s">
        <v>51</v>
      </c>
      <c r="E9" s="23" t="s">
        <v>52</v>
      </c>
      <c r="F9" s="82" t="s">
        <v>53</v>
      </c>
      <c r="G9" s="21">
        <v>1</v>
      </c>
      <c r="H9" s="99">
        <v>48.9</v>
      </c>
      <c r="I9" s="21">
        <v>47.6</v>
      </c>
      <c r="J9" s="23" t="s">
        <v>54</v>
      </c>
      <c r="K9" s="86">
        <v>2017390</v>
      </c>
      <c r="L9" s="86">
        <v>2</v>
      </c>
      <c r="M9" s="86"/>
      <c r="N9" s="87"/>
      <c r="O9" s="100">
        <v>182</v>
      </c>
      <c r="P9" s="101">
        <v>1</v>
      </c>
      <c r="Q9" s="102">
        <v>1</v>
      </c>
      <c r="R9" s="103">
        <v>56.9</v>
      </c>
      <c r="S9" s="104" t="s">
        <v>42</v>
      </c>
      <c r="T9" s="105" t="s">
        <v>43</v>
      </c>
      <c r="U9" s="106" t="s">
        <v>44</v>
      </c>
      <c r="V9" s="107">
        <v>1</v>
      </c>
      <c r="W9" s="108"/>
      <c r="X9" s="109" t="s">
        <v>55</v>
      </c>
      <c r="Y9" s="20">
        <f t="shared" si="0"/>
        <v>1</v>
      </c>
      <c r="Z9" s="21"/>
      <c r="AA9" s="98">
        <f t="shared" si="1"/>
        <v>1.2999999999999972</v>
      </c>
      <c r="AB9" s="98">
        <f t="shared" si="2"/>
        <v>8</v>
      </c>
      <c r="AC9" s="110"/>
      <c r="AD9" s="77"/>
      <c r="AE9" s="77"/>
      <c r="AM9" s="111"/>
    </row>
    <row r="10" spans="1:256" ht="22.35" customHeight="1" thickBot="1" x14ac:dyDescent="0.3">
      <c r="A10" s="79"/>
      <c r="B10" s="80">
        <v>4000539398469</v>
      </c>
      <c r="C10" s="81">
        <v>6</v>
      </c>
      <c r="D10" s="23" t="s">
        <v>56</v>
      </c>
      <c r="E10" s="23" t="s">
        <v>57</v>
      </c>
      <c r="F10" s="82" t="s">
        <v>58</v>
      </c>
      <c r="G10" s="21">
        <v>1</v>
      </c>
      <c r="H10" s="99">
        <v>145</v>
      </c>
      <c r="I10" s="21">
        <v>139.24</v>
      </c>
      <c r="J10" s="23" t="s">
        <v>54</v>
      </c>
      <c r="K10" s="86">
        <v>2015994</v>
      </c>
      <c r="L10" s="86">
        <v>1</v>
      </c>
      <c r="M10" s="86"/>
      <c r="O10" s="100">
        <v>133</v>
      </c>
      <c r="P10" s="101">
        <v>0</v>
      </c>
      <c r="Q10" s="102">
        <v>1</v>
      </c>
      <c r="R10" s="103">
        <v>159</v>
      </c>
      <c r="S10" s="104" t="s">
        <v>42</v>
      </c>
      <c r="T10" s="112" t="s">
        <v>43</v>
      </c>
      <c r="U10" s="106" t="s">
        <v>44</v>
      </c>
      <c r="V10" s="107">
        <v>1</v>
      </c>
      <c r="W10" s="108"/>
      <c r="X10" s="109" t="s">
        <v>59</v>
      </c>
      <c r="Y10" s="20">
        <f t="shared" si="0"/>
        <v>1</v>
      </c>
      <c r="AA10" s="98">
        <f t="shared" si="1"/>
        <v>5.7599999999999909</v>
      </c>
      <c r="AB10" s="98">
        <f t="shared" si="2"/>
        <v>14</v>
      </c>
      <c r="AC10" s="110"/>
      <c r="AD10" s="77"/>
      <c r="AE10" s="77"/>
      <c r="AF10" s="75"/>
      <c r="AG10" s="75"/>
      <c r="AH10" s="75"/>
      <c r="AI10" s="75"/>
      <c r="AL10" s="75"/>
    </row>
    <row r="11" spans="1:256" ht="22.35" customHeight="1" thickBot="1" x14ac:dyDescent="0.3">
      <c r="A11" s="79"/>
      <c r="B11" s="80">
        <v>8699462609924</v>
      </c>
      <c r="C11" s="81">
        <v>24</v>
      </c>
      <c r="D11" s="23" t="s">
        <v>60</v>
      </c>
      <c r="E11" s="23" t="s">
        <v>57</v>
      </c>
      <c r="F11" s="82" t="s">
        <v>61</v>
      </c>
      <c r="G11" s="21">
        <v>2</v>
      </c>
      <c r="H11" s="99">
        <v>28.9</v>
      </c>
      <c r="I11" s="21">
        <v>27.94</v>
      </c>
      <c r="J11" s="23" t="s">
        <v>62</v>
      </c>
      <c r="K11" s="86">
        <v>2115158</v>
      </c>
      <c r="L11" s="86">
        <v>1</v>
      </c>
      <c r="M11" s="86"/>
      <c r="O11" s="100">
        <v>490</v>
      </c>
      <c r="P11" s="101">
        <v>1</v>
      </c>
      <c r="Q11" s="102">
        <v>1</v>
      </c>
      <c r="R11" s="103">
        <v>31.9</v>
      </c>
      <c r="S11" s="104" t="s">
        <v>42</v>
      </c>
      <c r="T11" s="112" t="s">
        <v>43</v>
      </c>
      <c r="U11" s="106" t="s">
        <v>44</v>
      </c>
      <c r="V11" s="107">
        <v>1</v>
      </c>
      <c r="W11" s="108"/>
      <c r="X11" s="109" t="s">
        <v>63</v>
      </c>
      <c r="Y11" s="20">
        <f t="shared" si="0"/>
        <v>1</v>
      </c>
      <c r="AA11" s="98">
        <f t="shared" si="1"/>
        <v>0.9599999999999973</v>
      </c>
      <c r="AB11" s="98">
        <f t="shared" si="2"/>
        <v>3</v>
      </c>
      <c r="AC11" s="110"/>
      <c r="AD11" s="77"/>
      <c r="AE11" s="77"/>
      <c r="AF11" s="75"/>
      <c r="AG11" s="75"/>
      <c r="AH11" s="75"/>
      <c r="AI11" s="75"/>
      <c r="AL11" s="75"/>
    </row>
    <row r="12" spans="1:256" s="115" customFormat="1" ht="22.35" customHeight="1" thickBot="1" x14ac:dyDescent="0.3">
      <c r="A12" s="79"/>
      <c r="B12" s="80">
        <v>8699462608392</v>
      </c>
      <c r="C12" s="81">
        <v>12</v>
      </c>
      <c r="D12" s="23" t="s">
        <v>64</v>
      </c>
      <c r="E12" s="23" t="s">
        <v>57</v>
      </c>
      <c r="F12" s="82" t="s">
        <v>65</v>
      </c>
      <c r="G12" s="21">
        <v>3</v>
      </c>
      <c r="H12" s="99">
        <v>52.9</v>
      </c>
      <c r="I12" s="21">
        <v>51.46</v>
      </c>
      <c r="J12" s="23" t="s">
        <v>62</v>
      </c>
      <c r="K12" s="86">
        <v>2016775</v>
      </c>
      <c r="L12" s="86">
        <v>1</v>
      </c>
      <c r="M12" s="86"/>
      <c r="N12" s="87"/>
      <c r="O12" s="100">
        <v>200</v>
      </c>
      <c r="P12" s="101">
        <v>1</v>
      </c>
      <c r="Q12" s="102">
        <v>1</v>
      </c>
      <c r="R12" s="103">
        <v>59.9</v>
      </c>
      <c r="S12" s="104" t="s">
        <v>42</v>
      </c>
      <c r="T12" s="112" t="s">
        <v>43</v>
      </c>
      <c r="U12" s="106" t="s">
        <v>44</v>
      </c>
      <c r="V12" s="107">
        <v>1</v>
      </c>
      <c r="W12" s="113"/>
      <c r="X12" s="114" t="s">
        <v>66</v>
      </c>
      <c r="Y12" s="20">
        <f t="shared" si="0"/>
        <v>1</v>
      </c>
      <c r="Z12" s="21"/>
      <c r="AA12" s="98">
        <f t="shared" si="1"/>
        <v>1.4399999999999977</v>
      </c>
      <c r="AB12" s="98">
        <f t="shared" si="2"/>
        <v>7</v>
      </c>
      <c r="AC12" s="23"/>
      <c r="AD12" s="22"/>
      <c r="AE12" s="22"/>
      <c r="AF12" s="22"/>
      <c r="AG12" s="22"/>
      <c r="AH12" s="22"/>
      <c r="AI12" s="22"/>
      <c r="AJ12" s="22"/>
      <c r="AK12" s="22"/>
      <c r="AL12" s="75"/>
      <c r="AM12" s="24"/>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x14ac:dyDescent="0.3">
      <c r="A13" s="79"/>
      <c r="B13" s="80">
        <v>5901177153689</v>
      </c>
      <c r="C13" s="81">
        <v>6</v>
      </c>
      <c r="D13" s="23" t="s">
        <v>67</v>
      </c>
      <c r="E13" s="23" t="s">
        <v>57</v>
      </c>
      <c r="F13" s="82" t="s">
        <v>68</v>
      </c>
      <c r="G13" s="21">
        <v>1</v>
      </c>
      <c r="H13" s="99">
        <v>122.9</v>
      </c>
      <c r="I13" s="21">
        <v>119.73</v>
      </c>
      <c r="J13" s="23" t="s">
        <v>69</v>
      </c>
      <c r="K13" s="86">
        <v>2013590</v>
      </c>
      <c r="L13" s="86">
        <v>1</v>
      </c>
      <c r="M13" s="86"/>
      <c r="O13" s="100">
        <v>85</v>
      </c>
      <c r="P13" s="101">
        <v>1</v>
      </c>
      <c r="Q13" s="102">
        <v>1</v>
      </c>
      <c r="R13" s="103">
        <v>137.9</v>
      </c>
      <c r="S13" s="104" t="s">
        <v>42</v>
      </c>
      <c r="T13" s="112" t="s">
        <v>43</v>
      </c>
      <c r="U13" s="106" t="s">
        <v>44</v>
      </c>
      <c r="V13" s="107">
        <v>1</v>
      </c>
      <c r="W13" s="116"/>
      <c r="X13" s="117" t="s">
        <v>70</v>
      </c>
      <c r="Y13" s="20">
        <f t="shared" si="0"/>
        <v>1</v>
      </c>
      <c r="AA13" s="98">
        <f t="shared" si="1"/>
        <v>3.1700000000000017</v>
      </c>
      <c r="AB13" s="98">
        <f t="shared" si="2"/>
        <v>15</v>
      </c>
    </row>
    <row r="14" spans="1:256" ht="22.35" customHeight="1" thickBot="1" x14ac:dyDescent="0.3">
      <c r="A14" s="80"/>
      <c r="B14" s="80"/>
      <c r="H14" s="99"/>
      <c r="K14" s="86"/>
      <c r="L14" s="86"/>
      <c r="M14" s="86"/>
      <c r="N14" s="118"/>
      <c r="O14" s="119"/>
      <c r="P14" s="120"/>
      <c r="Q14" s="121"/>
      <c r="R14" s="122"/>
      <c r="S14" s="123" t="s">
        <v>42</v>
      </c>
      <c r="T14" s="124" t="s">
        <v>43</v>
      </c>
      <c r="U14" s="125"/>
      <c r="V14" s="126">
        <v>1</v>
      </c>
      <c r="W14" s="116"/>
      <c r="X14" s="117"/>
      <c r="Y14" s="20">
        <f t="shared" si="0"/>
        <v>0</v>
      </c>
      <c r="AA14" s="98">
        <f t="shared" si="1"/>
        <v>0</v>
      </c>
      <c r="AB14" s="98">
        <f t="shared" si="2"/>
        <v>0</v>
      </c>
    </row>
    <row r="15" spans="1:256" ht="22.35" customHeight="1" thickBot="1" x14ac:dyDescent="0.3">
      <c r="A15" s="127"/>
      <c r="B15" s="127">
        <v>7622210928603</v>
      </c>
      <c r="C15" s="128">
        <v>12</v>
      </c>
      <c r="D15" s="129" t="s">
        <v>71</v>
      </c>
      <c r="E15" s="129" t="s">
        <v>72</v>
      </c>
      <c r="F15" s="130" t="s">
        <v>73</v>
      </c>
      <c r="G15" s="131">
        <v>2</v>
      </c>
      <c r="H15" s="99">
        <v>32.9</v>
      </c>
      <c r="I15" s="132">
        <v>31.67</v>
      </c>
      <c r="J15" s="129" t="s">
        <v>74</v>
      </c>
      <c r="K15" s="133">
        <v>2013640</v>
      </c>
      <c r="L15" s="133"/>
      <c r="M15" s="133"/>
      <c r="N15" s="134"/>
      <c r="O15" s="135">
        <v>2184</v>
      </c>
      <c r="P15" s="136">
        <v>2</v>
      </c>
      <c r="Q15" s="137">
        <v>2</v>
      </c>
      <c r="R15" s="138">
        <v>37.9</v>
      </c>
      <c r="S15" s="139" t="s">
        <v>22</v>
      </c>
      <c r="T15" s="140" t="s">
        <v>43</v>
      </c>
      <c r="U15" s="94" t="s">
        <v>75</v>
      </c>
      <c r="V15" s="95">
        <v>2</v>
      </c>
      <c r="W15" s="116"/>
      <c r="X15" s="117"/>
      <c r="Y15" s="20">
        <f t="shared" si="0"/>
        <v>1</v>
      </c>
      <c r="AA15" s="98">
        <f t="shared" si="1"/>
        <v>1.2299999999999969</v>
      </c>
      <c r="AB15" s="98">
        <f t="shared" si="2"/>
        <v>5</v>
      </c>
      <c r="AC15" s="110"/>
      <c r="AD15" s="77"/>
      <c r="AE15" s="77"/>
      <c r="AF15" s="75"/>
      <c r="AG15" s="75"/>
      <c r="AH15" s="75"/>
      <c r="AI15" s="75"/>
      <c r="AL15" s="75"/>
    </row>
    <row r="16" spans="1:256" ht="22.35" customHeight="1" thickBot="1" x14ac:dyDescent="0.3">
      <c r="A16" s="79"/>
      <c r="B16" s="80">
        <v>7622210594785</v>
      </c>
      <c r="C16" s="81">
        <v>10</v>
      </c>
      <c r="D16" s="23" t="s">
        <v>71</v>
      </c>
      <c r="E16" s="23" t="s">
        <v>72</v>
      </c>
      <c r="F16" s="141" t="s">
        <v>61</v>
      </c>
      <c r="G16" s="21">
        <v>4</v>
      </c>
      <c r="H16" s="99">
        <v>52.9</v>
      </c>
      <c r="I16" s="84">
        <v>51.09</v>
      </c>
      <c r="J16" s="23" t="s">
        <v>74</v>
      </c>
      <c r="K16" s="142" t="s">
        <v>76</v>
      </c>
      <c r="L16" s="86"/>
      <c r="M16" s="86"/>
      <c r="O16" s="100">
        <v>893</v>
      </c>
      <c r="P16" s="143">
        <v>2</v>
      </c>
      <c r="Q16" s="102">
        <v>2</v>
      </c>
      <c r="R16" s="103">
        <v>59.9</v>
      </c>
      <c r="S16" s="144" t="s">
        <v>22</v>
      </c>
      <c r="T16" s="112" t="s">
        <v>43</v>
      </c>
      <c r="U16" s="106" t="s">
        <v>75</v>
      </c>
      <c r="V16" s="107">
        <v>2</v>
      </c>
      <c r="W16" s="116"/>
      <c r="X16" s="117"/>
      <c r="Y16" s="20">
        <f t="shared" si="0"/>
        <v>1</v>
      </c>
      <c r="AA16" s="98">
        <f t="shared" si="1"/>
        <v>1.8099999999999952</v>
      </c>
      <c r="AB16" s="98">
        <f t="shared" si="2"/>
        <v>7</v>
      </c>
      <c r="AC16" s="110"/>
      <c r="AD16" s="77"/>
      <c r="AE16" s="77"/>
      <c r="AF16" s="75"/>
      <c r="AG16" s="75"/>
      <c r="AH16" s="75"/>
      <c r="AI16" s="75"/>
      <c r="AL16" s="75"/>
    </row>
    <row r="17" spans="1:35" ht="22.35" customHeight="1" thickBot="1" x14ac:dyDescent="0.3">
      <c r="A17" s="79"/>
      <c r="B17" s="80">
        <v>8000500023976</v>
      </c>
      <c r="C17" s="81">
        <v>6</v>
      </c>
      <c r="D17" s="23" t="s">
        <v>77</v>
      </c>
      <c r="E17" s="23" t="s">
        <v>78</v>
      </c>
      <c r="F17" s="141" t="s">
        <v>65</v>
      </c>
      <c r="G17" s="21">
        <v>1</v>
      </c>
      <c r="H17" s="99">
        <v>64.900000000000006</v>
      </c>
      <c r="I17" s="84">
        <v>63.14</v>
      </c>
      <c r="J17" s="23" t="s">
        <v>74</v>
      </c>
      <c r="K17" s="86">
        <v>2010640</v>
      </c>
      <c r="M17" s="86"/>
      <c r="O17" s="100">
        <v>7239</v>
      </c>
      <c r="P17" s="143">
        <v>2</v>
      </c>
      <c r="Q17" s="102">
        <v>2</v>
      </c>
      <c r="R17" s="145">
        <v>65.900000000000006</v>
      </c>
      <c r="S17" s="144" t="s">
        <v>22</v>
      </c>
      <c r="T17" s="112" t="s">
        <v>43</v>
      </c>
      <c r="U17" s="106" t="s">
        <v>75</v>
      </c>
      <c r="V17" s="107">
        <v>2</v>
      </c>
      <c r="W17" s="108"/>
      <c r="X17" s="109"/>
      <c r="Y17" s="20">
        <f t="shared" si="0"/>
        <v>1</v>
      </c>
      <c r="AA17" s="98">
        <f t="shared" si="1"/>
        <v>1.7600000000000051</v>
      </c>
      <c r="AB17" s="98">
        <f t="shared" si="2"/>
        <v>1</v>
      </c>
      <c r="AC17" s="110"/>
      <c r="AD17" s="77"/>
      <c r="AE17" s="77"/>
      <c r="AF17" s="75"/>
      <c r="AG17" s="75"/>
      <c r="AH17" s="75"/>
      <c r="AI17" s="75"/>
    </row>
    <row r="18" spans="1:35" ht="22.35" customHeight="1" thickBot="1" x14ac:dyDescent="0.3">
      <c r="A18" s="79"/>
      <c r="B18" s="80">
        <v>40084084</v>
      </c>
      <c r="C18" s="81">
        <v>15</v>
      </c>
      <c r="D18" s="23" t="s">
        <v>79</v>
      </c>
      <c r="E18" s="23" t="s">
        <v>80</v>
      </c>
      <c r="F18" s="141" t="s">
        <v>81</v>
      </c>
      <c r="G18" s="21">
        <v>1</v>
      </c>
      <c r="H18" s="99">
        <v>26.9</v>
      </c>
      <c r="I18" s="84">
        <v>25.97</v>
      </c>
      <c r="J18" s="23" t="s">
        <v>74</v>
      </c>
      <c r="K18" s="86">
        <v>2014744</v>
      </c>
      <c r="M18" s="86"/>
      <c r="O18" s="100">
        <v>3839</v>
      </c>
      <c r="P18" s="143">
        <v>2</v>
      </c>
      <c r="Q18" s="102">
        <v>2</v>
      </c>
      <c r="R18" s="146">
        <v>28.9</v>
      </c>
      <c r="S18" s="144" t="s">
        <v>22</v>
      </c>
      <c r="T18" s="112" t="s">
        <v>43</v>
      </c>
      <c r="U18" s="106" t="s">
        <v>75</v>
      </c>
      <c r="V18" s="107">
        <v>2</v>
      </c>
      <c r="W18" s="108"/>
      <c r="X18" s="109"/>
      <c r="Y18" s="20">
        <f t="shared" si="0"/>
        <v>1</v>
      </c>
      <c r="AA18" s="98">
        <f t="shared" si="1"/>
        <v>0.92999999999999972</v>
      </c>
      <c r="AB18" s="98">
        <f t="shared" si="2"/>
        <v>2</v>
      </c>
      <c r="AC18" s="110"/>
      <c r="AD18" s="77"/>
      <c r="AE18" s="77"/>
      <c r="AF18" s="75"/>
      <c r="AG18" s="75"/>
      <c r="AH18" s="75"/>
      <c r="AI18" s="75"/>
    </row>
    <row r="19" spans="1:35" ht="22.35" customHeight="1" thickBot="1" x14ac:dyDescent="0.3">
      <c r="A19" s="79"/>
      <c r="B19" s="80">
        <v>4008400101521</v>
      </c>
      <c r="C19" s="81">
        <v>8</v>
      </c>
      <c r="D19" s="23" t="s">
        <v>79</v>
      </c>
      <c r="E19" s="23" t="s">
        <v>82</v>
      </c>
      <c r="F19" s="141" t="s">
        <v>83</v>
      </c>
      <c r="G19" s="21">
        <v>1</v>
      </c>
      <c r="H19" s="99">
        <v>57.9</v>
      </c>
      <c r="I19" s="84">
        <v>56.32</v>
      </c>
      <c r="J19" s="23" t="s">
        <v>74</v>
      </c>
      <c r="K19" s="86">
        <v>2014742</v>
      </c>
      <c r="M19" s="86"/>
      <c r="O19" s="100">
        <v>276</v>
      </c>
      <c r="P19" s="143">
        <v>2</v>
      </c>
      <c r="Q19" s="102">
        <v>2</v>
      </c>
      <c r="R19" s="146">
        <v>65.900000000000006</v>
      </c>
      <c r="S19" s="144" t="s">
        <v>22</v>
      </c>
      <c r="T19" s="112" t="s">
        <v>43</v>
      </c>
      <c r="U19" s="106" t="s">
        <v>75</v>
      </c>
      <c r="V19" s="107">
        <v>2</v>
      </c>
      <c r="W19" s="108"/>
      <c r="X19" s="109"/>
      <c r="Y19" s="20">
        <f t="shared" si="0"/>
        <v>1</v>
      </c>
      <c r="AA19" s="98">
        <f t="shared" si="1"/>
        <v>1.5799999999999983</v>
      </c>
      <c r="AB19" s="98">
        <f t="shared" si="2"/>
        <v>8.0000000000000071</v>
      </c>
      <c r="AC19" s="110"/>
      <c r="AD19" s="77"/>
      <c r="AE19" s="77"/>
      <c r="AF19" s="75"/>
      <c r="AG19" s="75"/>
      <c r="AH19" s="75"/>
      <c r="AI19" s="75"/>
    </row>
    <row r="20" spans="1:35" ht="22.35" customHeight="1" thickBot="1" x14ac:dyDescent="0.3">
      <c r="A20" s="79"/>
      <c r="B20" s="80">
        <v>8000500192801</v>
      </c>
      <c r="C20" s="81">
        <v>8</v>
      </c>
      <c r="D20" s="23" t="s">
        <v>84</v>
      </c>
      <c r="E20" s="23" t="s">
        <v>85</v>
      </c>
      <c r="F20" s="141" t="s">
        <v>86</v>
      </c>
      <c r="G20" s="21">
        <v>1</v>
      </c>
      <c r="H20" s="99">
        <v>61.9</v>
      </c>
      <c r="I20" s="84">
        <v>59.63</v>
      </c>
      <c r="J20" s="23" t="s">
        <v>74</v>
      </c>
      <c r="K20" s="86">
        <v>2015661</v>
      </c>
      <c r="M20" s="86"/>
      <c r="O20" s="100">
        <v>3862</v>
      </c>
      <c r="P20" s="143">
        <v>2</v>
      </c>
      <c r="Q20" s="102">
        <v>2</v>
      </c>
      <c r="R20" s="146">
        <v>69.900000000000006</v>
      </c>
      <c r="S20" s="144" t="s">
        <v>22</v>
      </c>
      <c r="T20" s="112" t="s">
        <v>43</v>
      </c>
      <c r="U20" s="106" t="s">
        <v>75</v>
      </c>
      <c r="V20" s="107">
        <v>2</v>
      </c>
      <c r="W20" s="108"/>
      <c r="X20" s="109"/>
      <c r="Y20" s="20">
        <f t="shared" si="0"/>
        <v>1</v>
      </c>
      <c r="AA20" s="98">
        <f t="shared" si="1"/>
        <v>2.269999999999996</v>
      </c>
      <c r="AB20" s="98">
        <f t="shared" si="2"/>
        <v>8.0000000000000071</v>
      </c>
      <c r="AC20" s="110"/>
      <c r="AD20" s="77"/>
      <c r="AE20" s="77"/>
      <c r="AF20" s="75"/>
      <c r="AG20" s="75"/>
      <c r="AH20" s="75"/>
      <c r="AI20" s="75"/>
    </row>
    <row r="21" spans="1:35" ht="22.35" customHeight="1" thickBot="1" x14ac:dyDescent="0.3">
      <c r="A21" s="79"/>
      <c r="B21" s="80">
        <v>5901177158516</v>
      </c>
      <c r="C21" s="81">
        <v>14</v>
      </c>
      <c r="D21" s="23" t="s">
        <v>87</v>
      </c>
      <c r="E21" s="23" t="s">
        <v>72</v>
      </c>
      <c r="F21" s="141" t="s">
        <v>88</v>
      </c>
      <c r="G21" s="21" t="s">
        <v>89</v>
      </c>
      <c r="H21" s="99">
        <v>39.9</v>
      </c>
      <c r="I21" s="84">
        <v>38.64</v>
      </c>
      <c r="J21" s="23" t="s">
        <v>69</v>
      </c>
      <c r="K21" s="86">
        <v>2115906</v>
      </c>
      <c r="M21" s="86"/>
      <c r="O21" s="100">
        <v>122</v>
      </c>
      <c r="P21" s="143">
        <v>1</v>
      </c>
      <c r="Q21" s="102">
        <v>1</v>
      </c>
      <c r="R21" s="146">
        <v>44.9</v>
      </c>
      <c r="S21" s="144" t="s">
        <v>22</v>
      </c>
      <c r="T21" s="112" t="s">
        <v>43</v>
      </c>
      <c r="U21" s="106" t="s">
        <v>75</v>
      </c>
      <c r="V21" s="107">
        <v>2</v>
      </c>
      <c r="W21" s="108"/>
      <c r="X21" s="109"/>
      <c r="Y21" s="20">
        <f t="shared" si="0"/>
        <v>1</v>
      </c>
      <c r="AA21" s="98">
        <f t="shared" si="1"/>
        <v>1.259999999999998</v>
      </c>
      <c r="AB21" s="98">
        <f t="shared" si="2"/>
        <v>5</v>
      </c>
      <c r="AC21" s="110"/>
      <c r="AD21" s="77"/>
      <c r="AE21" s="77"/>
      <c r="AF21" s="75"/>
      <c r="AG21" s="75"/>
      <c r="AH21" s="75"/>
      <c r="AI21" s="75"/>
    </row>
    <row r="22" spans="1:35" ht="22.35" customHeight="1" thickBot="1" x14ac:dyDescent="0.3">
      <c r="A22" s="79"/>
      <c r="B22" s="80"/>
      <c r="C22" s="147"/>
      <c r="F22" s="141"/>
      <c r="H22" s="99"/>
      <c r="I22" s="84"/>
      <c r="K22" s="86"/>
      <c r="M22" s="86"/>
      <c r="O22" s="100"/>
      <c r="P22" s="143"/>
      <c r="Q22" s="102"/>
      <c r="R22" s="103"/>
      <c r="S22" s="144" t="s">
        <v>22</v>
      </c>
      <c r="T22" s="112" t="s">
        <v>43</v>
      </c>
      <c r="U22" s="106" t="s">
        <v>75</v>
      </c>
      <c r="V22" s="107">
        <v>2</v>
      </c>
      <c r="W22" s="108"/>
      <c r="X22" s="109"/>
      <c r="Y22" s="20">
        <f t="shared" si="0"/>
        <v>0</v>
      </c>
      <c r="AA22" s="98">
        <f t="shared" si="1"/>
        <v>0</v>
      </c>
      <c r="AB22" s="98">
        <f t="shared" si="2"/>
        <v>0</v>
      </c>
      <c r="AC22" s="110"/>
      <c r="AD22" s="77"/>
      <c r="AE22" s="77"/>
      <c r="AF22" s="75"/>
      <c r="AG22" s="75"/>
      <c r="AH22" s="75"/>
      <c r="AI22" s="75"/>
    </row>
    <row r="23" spans="1:35" ht="22.35" customHeight="1" thickBot="1" x14ac:dyDescent="0.3">
      <c r="A23" s="79"/>
      <c r="B23" s="80"/>
      <c r="C23" s="147"/>
      <c r="F23" s="141"/>
      <c r="H23" s="99"/>
      <c r="I23" s="84"/>
      <c r="K23" s="86"/>
      <c r="M23" s="86"/>
      <c r="O23" s="100"/>
      <c r="P23" s="143"/>
      <c r="Q23" s="90"/>
      <c r="R23" s="91"/>
      <c r="S23" s="144" t="s">
        <v>22</v>
      </c>
      <c r="T23" s="112" t="s">
        <v>43</v>
      </c>
      <c r="U23" s="106" t="s">
        <v>75</v>
      </c>
      <c r="V23" s="107">
        <v>2</v>
      </c>
      <c r="W23" s="108"/>
      <c r="X23" s="109"/>
      <c r="Y23" s="20">
        <f t="shared" si="0"/>
        <v>0</v>
      </c>
      <c r="AA23" s="98">
        <f t="shared" si="1"/>
        <v>0</v>
      </c>
      <c r="AB23" s="98">
        <f t="shared" si="2"/>
        <v>0</v>
      </c>
      <c r="AC23" s="110"/>
      <c r="AD23" s="77"/>
      <c r="AE23" s="77"/>
      <c r="AF23" s="75"/>
      <c r="AG23" s="75"/>
      <c r="AH23" s="75"/>
      <c r="AI23" s="75"/>
    </row>
    <row r="24" spans="1:35" ht="22.35" customHeight="1" thickBot="1" x14ac:dyDescent="0.3">
      <c r="A24" s="79"/>
      <c r="B24" s="80"/>
      <c r="C24" s="147"/>
      <c r="F24" s="141"/>
      <c r="H24" s="99"/>
      <c r="I24" s="84"/>
      <c r="K24" s="86"/>
      <c r="L24" s="86"/>
      <c r="M24" s="86"/>
      <c r="O24" s="100"/>
      <c r="P24" s="143"/>
      <c r="Q24" s="90"/>
      <c r="R24" s="91"/>
      <c r="S24" s="144" t="s">
        <v>22</v>
      </c>
      <c r="T24" s="112" t="s">
        <v>43</v>
      </c>
      <c r="U24" s="106" t="s">
        <v>75</v>
      </c>
      <c r="V24" s="107">
        <v>2</v>
      </c>
      <c r="W24" s="108"/>
      <c r="X24" s="109"/>
      <c r="Y24" s="20">
        <f t="shared" si="0"/>
        <v>0</v>
      </c>
      <c r="AA24" s="98">
        <f t="shared" si="1"/>
        <v>0</v>
      </c>
      <c r="AB24" s="98">
        <f t="shared" si="2"/>
        <v>0</v>
      </c>
      <c r="AC24" s="110"/>
      <c r="AD24" s="77"/>
      <c r="AE24" s="77"/>
      <c r="AF24" s="75"/>
      <c r="AG24" s="75"/>
      <c r="AH24" s="75"/>
      <c r="AI24" s="75"/>
    </row>
    <row r="25" spans="1:35" ht="22.35" customHeight="1" thickBot="1" x14ac:dyDescent="0.3">
      <c r="A25" s="148"/>
      <c r="B25" s="149"/>
      <c r="C25" s="150"/>
      <c r="D25" s="151"/>
      <c r="E25" s="151"/>
      <c r="F25" s="141"/>
      <c r="H25" s="99"/>
      <c r="I25" s="152"/>
      <c r="J25" s="153"/>
      <c r="K25" s="85"/>
      <c r="L25" s="85"/>
      <c r="M25" s="85"/>
      <c r="O25" s="100"/>
      <c r="P25" s="143"/>
      <c r="Q25" s="90"/>
      <c r="R25" s="91"/>
      <c r="S25" s="144" t="s">
        <v>22</v>
      </c>
      <c r="T25" s="112" t="s">
        <v>43</v>
      </c>
      <c r="U25" s="106" t="s">
        <v>75</v>
      </c>
      <c r="V25" s="107">
        <v>2</v>
      </c>
      <c r="W25" s="108"/>
      <c r="X25" s="109"/>
      <c r="Y25" s="20">
        <f t="shared" si="0"/>
        <v>0</v>
      </c>
      <c r="AA25" s="98">
        <f t="shared" si="1"/>
        <v>0</v>
      </c>
      <c r="AB25" s="98">
        <f t="shared" si="2"/>
        <v>0</v>
      </c>
      <c r="AC25" s="110"/>
      <c r="AD25" s="77"/>
      <c r="AE25" s="77"/>
      <c r="AF25" s="75"/>
      <c r="AG25" s="75"/>
      <c r="AH25" s="75"/>
      <c r="AI25" s="75"/>
    </row>
    <row r="26" spans="1:35" ht="22.35" customHeight="1" thickBot="1" x14ac:dyDescent="0.3">
      <c r="A26" s="148"/>
      <c r="B26" s="149"/>
      <c r="C26" s="150"/>
      <c r="D26" s="151"/>
      <c r="E26" s="151"/>
      <c r="F26" s="141"/>
      <c r="H26" s="99"/>
      <c r="I26" s="152"/>
      <c r="J26" s="153"/>
      <c r="K26" s="85"/>
      <c r="L26" s="85"/>
      <c r="M26" s="85"/>
      <c r="O26" s="100"/>
      <c r="P26" s="154"/>
      <c r="Q26" s="90"/>
      <c r="R26" s="91"/>
      <c r="S26" s="155" t="s">
        <v>22</v>
      </c>
      <c r="T26" s="124" t="s">
        <v>43</v>
      </c>
      <c r="U26" s="125" t="s">
        <v>75</v>
      </c>
      <c r="V26" s="156">
        <v>2</v>
      </c>
      <c r="W26" s="108"/>
      <c r="X26" s="109"/>
      <c r="Y26" s="20">
        <f t="shared" si="0"/>
        <v>0</v>
      </c>
      <c r="AA26" s="98">
        <f t="shared" si="1"/>
        <v>0</v>
      </c>
      <c r="AB26" s="98">
        <f t="shared" si="2"/>
        <v>0</v>
      </c>
      <c r="AC26" s="110"/>
    </row>
    <row r="27" spans="1:35" ht="22.35" customHeight="1" thickBot="1" x14ac:dyDescent="0.3">
      <c r="A27" s="157"/>
      <c r="B27" s="127"/>
      <c r="C27" s="128"/>
      <c r="D27" s="129"/>
      <c r="E27" s="129"/>
      <c r="F27" s="130"/>
      <c r="G27" s="132"/>
      <c r="H27" s="99"/>
      <c r="I27" s="158"/>
      <c r="J27" s="129"/>
      <c r="K27" s="159"/>
      <c r="L27" s="133"/>
      <c r="M27" s="133"/>
      <c r="N27" s="134"/>
      <c r="O27" s="135"/>
      <c r="P27" s="136"/>
      <c r="Q27" s="137"/>
      <c r="R27" s="138"/>
      <c r="S27" s="139" t="s">
        <v>90</v>
      </c>
      <c r="T27" s="140" t="s">
        <v>43</v>
      </c>
      <c r="U27" s="94"/>
      <c r="V27" s="95">
        <v>3</v>
      </c>
      <c r="W27" s="96"/>
      <c r="X27" s="97"/>
      <c r="Y27" s="20">
        <f t="shared" si="0"/>
        <v>0</v>
      </c>
      <c r="AA27" s="98">
        <f t="shared" si="1"/>
        <v>0</v>
      </c>
      <c r="AB27" s="98">
        <f t="shared" si="2"/>
        <v>0</v>
      </c>
      <c r="AC27" s="110"/>
      <c r="AD27" s="77"/>
      <c r="AE27" s="77"/>
      <c r="AF27" s="75"/>
      <c r="AG27" s="75"/>
      <c r="AH27" s="75"/>
      <c r="AI27" s="75"/>
    </row>
    <row r="28" spans="1:35" ht="22.35" customHeight="1" thickBot="1" x14ac:dyDescent="0.3">
      <c r="A28" s="79"/>
      <c r="B28" s="80"/>
      <c r="F28" s="141"/>
      <c r="H28" s="99"/>
      <c r="I28" s="84"/>
      <c r="K28" s="86"/>
      <c r="L28" s="86"/>
      <c r="M28" s="86"/>
      <c r="O28" s="100"/>
      <c r="P28" s="143"/>
      <c r="Q28" s="102"/>
      <c r="R28" s="103"/>
      <c r="S28" s="144" t="s">
        <v>90</v>
      </c>
      <c r="T28" s="112" t="s">
        <v>43</v>
      </c>
      <c r="U28" s="106"/>
      <c r="V28" s="107">
        <v>3</v>
      </c>
      <c r="W28" s="108"/>
      <c r="X28" s="109"/>
      <c r="Y28" s="20">
        <f t="shared" si="0"/>
        <v>0</v>
      </c>
      <c r="AA28" s="98">
        <f t="shared" si="1"/>
        <v>0</v>
      </c>
      <c r="AB28" s="98">
        <f t="shared" si="2"/>
        <v>0</v>
      </c>
      <c r="AC28" s="110"/>
      <c r="AD28" s="77"/>
      <c r="AE28" s="77"/>
      <c r="AF28" s="75"/>
      <c r="AG28" s="75"/>
      <c r="AH28" s="75"/>
      <c r="AI28" s="75"/>
    </row>
    <row r="29" spans="1:35" ht="22.35" customHeight="1" thickBot="1" x14ac:dyDescent="0.3">
      <c r="A29" s="79"/>
      <c r="B29" s="80"/>
      <c r="F29" s="141"/>
      <c r="H29" s="99"/>
      <c r="I29" s="84"/>
      <c r="K29" s="86"/>
      <c r="L29" s="86"/>
      <c r="M29" s="86"/>
      <c r="O29" s="100"/>
      <c r="P29" s="143"/>
      <c r="Q29" s="90"/>
      <c r="R29" s="91"/>
      <c r="S29" s="144" t="s">
        <v>90</v>
      </c>
      <c r="T29" s="112" t="s">
        <v>43</v>
      </c>
      <c r="U29" s="106"/>
      <c r="V29" s="107">
        <v>3</v>
      </c>
      <c r="W29" s="108"/>
      <c r="X29" s="109"/>
      <c r="Y29" s="20">
        <f t="shared" si="0"/>
        <v>0</v>
      </c>
      <c r="AA29" s="98">
        <f t="shared" si="1"/>
        <v>0</v>
      </c>
      <c r="AB29" s="98">
        <f t="shared" si="2"/>
        <v>0</v>
      </c>
      <c r="AC29" s="110"/>
      <c r="AD29" s="77"/>
      <c r="AE29" s="77"/>
      <c r="AF29" s="75"/>
      <c r="AG29" s="75"/>
      <c r="AH29" s="75"/>
      <c r="AI29" s="75"/>
    </row>
    <row r="30" spans="1:35" ht="22.35" customHeight="1" thickBot="1" x14ac:dyDescent="0.3">
      <c r="A30" s="79"/>
      <c r="B30" s="80"/>
      <c r="F30" s="141"/>
      <c r="H30" s="99"/>
      <c r="I30" s="84"/>
      <c r="K30" s="86"/>
      <c r="L30" s="86"/>
      <c r="M30" s="86"/>
      <c r="O30" s="100"/>
      <c r="P30" s="143"/>
      <c r="Q30" s="90"/>
      <c r="R30" s="91"/>
      <c r="S30" s="144" t="s">
        <v>90</v>
      </c>
      <c r="T30" s="112" t="s">
        <v>43</v>
      </c>
      <c r="U30" s="106"/>
      <c r="V30" s="107">
        <v>3</v>
      </c>
      <c r="W30" s="160"/>
      <c r="X30" s="161"/>
      <c r="Y30" s="20">
        <f t="shared" si="0"/>
        <v>0</v>
      </c>
      <c r="AA30" s="98">
        <f t="shared" si="1"/>
        <v>0</v>
      </c>
      <c r="AB30" s="98">
        <f t="shared" si="2"/>
        <v>0</v>
      </c>
      <c r="AC30" s="110"/>
      <c r="AD30" s="77"/>
      <c r="AE30" s="77"/>
      <c r="AF30" s="75"/>
      <c r="AG30" s="75"/>
      <c r="AH30" s="75"/>
      <c r="AI30" s="75"/>
    </row>
    <row r="31" spans="1:35" ht="22.35" customHeight="1" thickBot="1" x14ac:dyDescent="0.3">
      <c r="A31" s="79"/>
      <c r="B31" s="80"/>
      <c r="F31" s="141"/>
      <c r="H31" s="99"/>
      <c r="I31" s="84"/>
      <c r="K31" s="86"/>
      <c r="L31" s="86"/>
      <c r="M31" s="86"/>
      <c r="O31" s="100"/>
      <c r="P31" s="143"/>
      <c r="Q31" s="90"/>
      <c r="R31" s="91"/>
      <c r="S31" s="144" t="s">
        <v>90</v>
      </c>
      <c r="T31" s="112" t="s">
        <v>43</v>
      </c>
      <c r="U31" s="106"/>
      <c r="V31" s="107">
        <v>3</v>
      </c>
      <c r="W31" s="160"/>
      <c r="X31" s="161"/>
      <c r="Y31" s="20">
        <f t="shared" si="0"/>
        <v>0</v>
      </c>
      <c r="AA31" s="98">
        <f t="shared" si="1"/>
        <v>0</v>
      </c>
      <c r="AB31" s="98">
        <f t="shared" si="2"/>
        <v>0</v>
      </c>
      <c r="AC31" s="110"/>
      <c r="AD31" s="77"/>
      <c r="AE31" s="77"/>
      <c r="AF31" s="75"/>
      <c r="AG31" s="75"/>
      <c r="AH31" s="75"/>
      <c r="AI31" s="75"/>
    </row>
    <row r="32" spans="1:35" ht="22.35" customHeight="1" thickBot="1" x14ac:dyDescent="0.3">
      <c r="A32" s="79"/>
      <c r="B32" s="80"/>
      <c r="D32" s="23" t="s">
        <v>91</v>
      </c>
      <c r="F32" s="141"/>
      <c r="H32" s="99"/>
      <c r="I32" s="84"/>
      <c r="K32" s="86"/>
      <c r="L32" s="86"/>
      <c r="M32" s="86"/>
      <c r="O32" s="100"/>
      <c r="P32" s="143"/>
      <c r="Q32" s="90"/>
      <c r="R32" s="91"/>
      <c r="S32" s="144" t="s">
        <v>90</v>
      </c>
      <c r="T32" s="112" t="s">
        <v>43</v>
      </c>
      <c r="U32" s="106"/>
      <c r="V32" s="107">
        <v>3</v>
      </c>
      <c r="W32" s="160"/>
      <c r="X32" s="161"/>
      <c r="Y32" s="20">
        <f t="shared" si="0"/>
        <v>0</v>
      </c>
      <c r="AA32" s="98">
        <f t="shared" si="1"/>
        <v>0</v>
      </c>
      <c r="AB32" s="98">
        <f t="shared" si="2"/>
        <v>0</v>
      </c>
      <c r="AC32" s="110"/>
      <c r="AD32" s="77"/>
      <c r="AE32" s="77"/>
      <c r="AF32" s="75"/>
      <c r="AG32" s="75"/>
      <c r="AH32" s="75"/>
      <c r="AI32" s="75"/>
    </row>
    <row r="33" spans="1:35" ht="22.35" customHeight="1" thickBot="1" x14ac:dyDescent="0.3">
      <c r="A33" s="79"/>
      <c r="B33" s="80"/>
      <c r="F33" s="141"/>
      <c r="H33" s="99"/>
      <c r="I33" s="84"/>
      <c r="K33" s="86"/>
      <c r="L33" s="86"/>
      <c r="M33" s="86"/>
      <c r="O33" s="100"/>
      <c r="P33" s="143"/>
      <c r="Q33" s="90"/>
      <c r="R33" s="91"/>
      <c r="S33" s="144" t="s">
        <v>90</v>
      </c>
      <c r="T33" s="112" t="s">
        <v>43</v>
      </c>
      <c r="U33" s="106"/>
      <c r="V33" s="107">
        <v>3</v>
      </c>
      <c r="W33" s="160"/>
      <c r="X33" s="161"/>
      <c r="Y33" s="20">
        <f t="shared" si="0"/>
        <v>0</v>
      </c>
      <c r="AA33" s="98">
        <f t="shared" si="1"/>
        <v>0</v>
      </c>
      <c r="AB33" s="98">
        <f t="shared" si="2"/>
        <v>0</v>
      </c>
      <c r="AC33" s="110"/>
      <c r="AD33" s="77"/>
      <c r="AE33" s="77"/>
      <c r="AF33" s="75"/>
      <c r="AG33" s="75"/>
      <c r="AH33" s="75"/>
      <c r="AI33" s="75"/>
    </row>
    <row r="34" spans="1:35" ht="22.35" customHeight="1" thickBot="1" x14ac:dyDescent="0.3">
      <c r="A34" s="79"/>
      <c r="B34" s="80"/>
      <c r="F34" s="141"/>
      <c r="H34" s="99"/>
      <c r="I34" s="84"/>
      <c r="K34" s="86"/>
      <c r="L34" s="86"/>
      <c r="M34" s="86"/>
      <c r="O34" s="100"/>
      <c r="P34" s="143"/>
      <c r="Q34" s="90"/>
      <c r="R34" s="91"/>
      <c r="S34" s="144" t="s">
        <v>90</v>
      </c>
      <c r="T34" s="112" t="s">
        <v>43</v>
      </c>
      <c r="U34" s="106"/>
      <c r="V34" s="107">
        <v>3</v>
      </c>
      <c r="W34" s="160"/>
      <c r="X34" s="161"/>
      <c r="Y34" s="20">
        <f t="shared" si="0"/>
        <v>0</v>
      </c>
      <c r="AA34" s="98">
        <f t="shared" si="1"/>
        <v>0</v>
      </c>
      <c r="AB34" s="98">
        <f t="shared" si="2"/>
        <v>0</v>
      </c>
      <c r="AC34" s="110"/>
      <c r="AD34" s="77"/>
      <c r="AE34" s="77"/>
      <c r="AF34" s="75"/>
      <c r="AG34" s="75"/>
      <c r="AH34" s="75"/>
      <c r="AI34" s="75"/>
    </row>
    <row r="35" spans="1:35" ht="22.35" customHeight="1" thickBot="1" x14ac:dyDescent="0.3">
      <c r="A35" s="79"/>
      <c r="B35" s="80"/>
      <c r="F35" s="141"/>
      <c r="H35" s="99"/>
      <c r="I35" s="84"/>
      <c r="K35" s="86"/>
      <c r="L35" s="86"/>
      <c r="M35" s="86"/>
      <c r="O35" s="100"/>
      <c r="P35" s="143"/>
      <c r="Q35" s="90"/>
      <c r="R35" s="91"/>
      <c r="S35" s="144" t="s">
        <v>90</v>
      </c>
      <c r="T35" s="112" t="s">
        <v>43</v>
      </c>
      <c r="U35" s="106"/>
      <c r="V35" s="107">
        <v>3</v>
      </c>
      <c r="W35" s="160"/>
      <c r="X35" s="161"/>
      <c r="Y35" s="20">
        <f t="shared" si="0"/>
        <v>0</v>
      </c>
      <c r="AA35" s="98">
        <f t="shared" si="1"/>
        <v>0</v>
      </c>
      <c r="AB35" s="98">
        <f t="shared" si="2"/>
        <v>0</v>
      </c>
      <c r="AC35" s="110"/>
      <c r="AD35" s="77"/>
      <c r="AE35" s="77"/>
      <c r="AF35" s="75"/>
      <c r="AG35" s="75"/>
      <c r="AH35" s="75"/>
      <c r="AI35" s="75"/>
    </row>
    <row r="36" spans="1:35" ht="22.35" customHeight="1" thickBot="1" x14ac:dyDescent="0.3">
      <c r="A36" s="79"/>
      <c r="B36" s="80"/>
      <c r="F36" s="141"/>
      <c r="H36" s="99"/>
      <c r="I36" s="84"/>
      <c r="K36" s="86"/>
      <c r="L36" s="86"/>
      <c r="M36" s="86"/>
      <c r="O36" s="100"/>
      <c r="P36" s="143"/>
      <c r="Q36" s="90"/>
      <c r="R36" s="91"/>
      <c r="S36" s="144" t="s">
        <v>90</v>
      </c>
      <c r="T36" s="112" t="s">
        <v>43</v>
      </c>
      <c r="U36" s="106"/>
      <c r="V36" s="107">
        <v>3</v>
      </c>
      <c r="W36" s="160"/>
      <c r="X36" s="161"/>
      <c r="Y36" s="20">
        <f t="shared" si="0"/>
        <v>0</v>
      </c>
      <c r="AA36" s="98">
        <f t="shared" si="1"/>
        <v>0</v>
      </c>
      <c r="AB36" s="98">
        <f t="shared" si="2"/>
        <v>0</v>
      </c>
      <c r="AC36" s="110"/>
      <c r="AD36" s="77"/>
      <c r="AE36" s="77"/>
      <c r="AF36" s="75"/>
      <c r="AG36" s="75"/>
      <c r="AH36" s="75"/>
      <c r="AI36" s="75"/>
    </row>
    <row r="37" spans="1:35" ht="22.35" customHeight="1" thickBot="1" x14ac:dyDescent="0.3">
      <c r="A37" s="79"/>
      <c r="B37" s="80"/>
      <c r="F37" s="141"/>
      <c r="H37" s="99"/>
      <c r="I37" s="84"/>
      <c r="K37" s="86"/>
      <c r="L37" s="86"/>
      <c r="M37" s="86"/>
      <c r="O37" s="100"/>
      <c r="P37" s="143"/>
      <c r="Q37" s="90"/>
      <c r="R37" s="91"/>
      <c r="S37" s="144" t="s">
        <v>90</v>
      </c>
      <c r="T37" s="112" t="s">
        <v>43</v>
      </c>
      <c r="U37" s="106"/>
      <c r="V37" s="107">
        <v>3</v>
      </c>
      <c r="W37" s="160"/>
      <c r="X37" s="161"/>
      <c r="Y37" s="20">
        <f t="shared" si="0"/>
        <v>0</v>
      </c>
      <c r="AA37" s="98">
        <f t="shared" si="1"/>
        <v>0</v>
      </c>
      <c r="AB37" s="98">
        <f t="shared" si="2"/>
        <v>0</v>
      </c>
      <c r="AC37" s="110"/>
      <c r="AD37" s="77"/>
      <c r="AE37" s="77"/>
      <c r="AF37" s="75"/>
      <c r="AG37" s="75"/>
      <c r="AH37" s="75"/>
      <c r="AI37" s="75"/>
    </row>
    <row r="38" spans="1:35" ht="22.35" customHeight="1" thickBot="1" x14ac:dyDescent="0.3">
      <c r="A38" s="148"/>
      <c r="B38" s="149"/>
      <c r="C38" s="150"/>
      <c r="D38" s="151"/>
      <c r="E38" s="151"/>
      <c r="F38" s="141"/>
      <c r="H38" s="99"/>
      <c r="I38" s="152"/>
      <c r="J38" s="153"/>
      <c r="K38" s="85"/>
      <c r="L38" s="85"/>
      <c r="M38" s="85"/>
      <c r="O38" s="100"/>
      <c r="P38" s="154"/>
      <c r="Q38" s="90"/>
      <c r="R38" s="91"/>
      <c r="S38" s="155" t="s">
        <v>90</v>
      </c>
      <c r="T38" s="124" t="s">
        <v>43</v>
      </c>
      <c r="U38" s="125"/>
      <c r="V38" s="156">
        <v>3</v>
      </c>
      <c r="W38" s="113"/>
      <c r="X38" s="114"/>
      <c r="Y38" s="20">
        <f t="shared" si="0"/>
        <v>0</v>
      </c>
      <c r="AA38" s="98">
        <f t="shared" si="1"/>
        <v>0</v>
      </c>
      <c r="AB38" s="98">
        <f t="shared" si="2"/>
        <v>0</v>
      </c>
      <c r="AC38" s="110"/>
      <c r="AD38" s="77"/>
      <c r="AE38" s="77"/>
      <c r="AF38" s="75"/>
      <c r="AG38" s="75"/>
      <c r="AH38" s="75"/>
      <c r="AI38" s="75"/>
    </row>
    <row r="39" spans="1:35" ht="22.35" customHeight="1" thickBot="1" x14ac:dyDescent="0.3">
      <c r="A39" s="157"/>
      <c r="B39" s="127"/>
      <c r="C39" s="128"/>
      <c r="D39" s="129"/>
      <c r="E39" s="129"/>
      <c r="F39" s="130"/>
      <c r="G39" s="132"/>
      <c r="H39" s="99"/>
      <c r="I39" s="158"/>
      <c r="J39" s="129"/>
      <c r="K39" s="159"/>
      <c r="L39" s="133"/>
      <c r="M39" s="133"/>
      <c r="N39" s="134"/>
      <c r="O39" s="135"/>
      <c r="P39" s="136"/>
      <c r="Q39" s="137"/>
      <c r="R39" s="138"/>
      <c r="S39" s="139" t="s">
        <v>90</v>
      </c>
      <c r="T39" s="140" t="s">
        <v>43</v>
      </c>
      <c r="U39" s="94"/>
      <c r="V39" s="95">
        <v>4</v>
      </c>
      <c r="W39" s="96"/>
      <c r="X39" s="97"/>
      <c r="Y39" s="20">
        <f t="shared" si="0"/>
        <v>0</v>
      </c>
      <c r="AA39" s="98">
        <f t="shared" si="1"/>
        <v>0</v>
      </c>
      <c r="AB39" s="98">
        <f t="shared" si="2"/>
        <v>0</v>
      </c>
      <c r="AC39" s="110"/>
      <c r="AD39" s="77"/>
      <c r="AE39" s="77"/>
      <c r="AF39" s="75"/>
      <c r="AG39" s="75"/>
      <c r="AH39" s="75"/>
      <c r="AI39" s="75"/>
    </row>
    <row r="40" spans="1:35" ht="22.35" customHeight="1" thickBot="1" x14ac:dyDescent="0.3">
      <c r="A40" s="79"/>
      <c r="B40" s="80"/>
      <c r="F40" s="141"/>
      <c r="H40" s="99"/>
      <c r="I40" s="84"/>
      <c r="K40" s="86"/>
      <c r="L40" s="86"/>
      <c r="M40" s="86"/>
      <c r="O40" s="100"/>
      <c r="P40" s="143"/>
      <c r="Q40" s="102"/>
      <c r="R40" s="103"/>
      <c r="S40" s="144" t="s">
        <v>90</v>
      </c>
      <c r="T40" s="112" t="s">
        <v>43</v>
      </c>
      <c r="U40" s="106"/>
      <c r="V40" s="107">
        <v>4</v>
      </c>
      <c r="W40" s="108"/>
      <c r="X40" s="109"/>
      <c r="Y40" s="20">
        <f t="shared" si="0"/>
        <v>0</v>
      </c>
      <c r="AA40" s="98">
        <f t="shared" si="1"/>
        <v>0</v>
      </c>
      <c r="AB40" s="98">
        <f t="shared" si="2"/>
        <v>0</v>
      </c>
      <c r="AC40" s="110"/>
      <c r="AD40" s="77"/>
      <c r="AE40" s="77"/>
      <c r="AF40" s="75"/>
      <c r="AG40" s="75"/>
      <c r="AH40" s="75"/>
      <c r="AI40" s="75"/>
    </row>
    <row r="41" spans="1:35" ht="22.35" customHeight="1" thickBot="1" x14ac:dyDescent="0.3">
      <c r="A41" s="79"/>
      <c r="B41" s="80"/>
      <c r="F41" s="141"/>
      <c r="H41" s="99"/>
      <c r="I41" s="84"/>
      <c r="K41" s="86"/>
      <c r="L41" s="86"/>
      <c r="M41" s="86"/>
      <c r="O41" s="100"/>
      <c r="P41" s="143"/>
      <c r="Q41" s="90"/>
      <c r="R41" s="91"/>
      <c r="S41" s="144" t="s">
        <v>90</v>
      </c>
      <c r="T41" s="112" t="s">
        <v>43</v>
      </c>
      <c r="U41" s="106"/>
      <c r="V41" s="107">
        <v>4</v>
      </c>
      <c r="W41" s="108"/>
      <c r="X41" s="109"/>
      <c r="Y41" s="20">
        <f t="shared" si="0"/>
        <v>0</v>
      </c>
      <c r="AA41" s="98">
        <f t="shared" si="1"/>
        <v>0</v>
      </c>
      <c r="AB41" s="98">
        <f t="shared" si="2"/>
        <v>0</v>
      </c>
      <c r="AC41" s="110"/>
      <c r="AD41" s="77"/>
      <c r="AE41" s="77"/>
      <c r="AF41" s="75"/>
      <c r="AG41" s="75"/>
      <c r="AH41" s="75"/>
      <c r="AI41" s="75"/>
    </row>
    <row r="42" spans="1:35" ht="22.35" customHeight="1" thickBot="1" x14ac:dyDescent="0.3">
      <c r="A42" s="79"/>
      <c r="B42" s="80"/>
      <c r="F42" s="141"/>
      <c r="H42" s="99"/>
      <c r="I42" s="84"/>
      <c r="K42" s="86"/>
      <c r="L42" s="86"/>
      <c r="M42" s="86"/>
      <c r="O42" s="100"/>
      <c r="P42" s="143"/>
      <c r="Q42" s="90"/>
      <c r="R42" s="91"/>
      <c r="S42" s="144" t="s">
        <v>90</v>
      </c>
      <c r="T42" s="112" t="s">
        <v>43</v>
      </c>
      <c r="U42" s="106"/>
      <c r="V42" s="107">
        <v>4</v>
      </c>
      <c r="W42" s="108"/>
      <c r="X42" s="109"/>
      <c r="Y42" s="20">
        <f t="shared" si="0"/>
        <v>0</v>
      </c>
      <c r="AA42" s="98">
        <f t="shared" si="1"/>
        <v>0</v>
      </c>
      <c r="AB42" s="98">
        <f t="shared" si="2"/>
        <v>0</v>
      </c>
      <c r="AC42" s="110"/>
      <c r="AD42" s="77"/>
      <c r="AE42" s="77"/>
      <c r="AF42" s="75"/>
      <c r="AG42" s="75"/>
      <c r="AH42" s="75"/>
      <c r="AI42" s="75"/>
    </row>
    <row r="43" spans="1:35" ht="22.35" customHeight="1" thickBot="1" x14ac:dyDescent="0.3">
      <c r="A43" s="79"/>
      <c r="B43" s="80"/>
      <c r="F43" s="141"/>
      <c r="H43" s="99"/>
      <c r="I43" s="84"/>
      <c r="K43" s="86"/>
      <c r="L43" s="86"/>
      <c r="M43" s="86"/>
      <c r="O43" s="100"/>
      <c r="P43" s="143"/>
      <c r="Q43" s="90"/>
      <c r="R43" s="91"/>
      <c r="S43" s="144" t="s">
        <v>90</v>
      </c>
      <c r="T43" s="112" t="s">
        <v>43</v>
      </c>
      <c r="U43" s="106"/>
      <c r="V43" s="107">
        <v>4</v>
      </c>
      <c r="W43" s="108"/>
      <c r="X43" s="109"/>
      <c r="Y43" s="20">
        <f t="shared" si="0"/>
        <v>0</v>
      </c>
      <c r="AA43" s="98">
        <f t="shared" si="1"/>
        <v>0</v>
      </c>
      <c r="AB43" s="98">
        <f t="shared" si="2"/>
        <v>0</v>
      </c>
      <c r="AC43" s="110"/>
      <c r="AD43" s="77"/>
      <c r="AE43" s="77"/>
      <c r="AF43" s="75"/>
      <c r="AG43" s="75"/>
      <c r="AH43" s="75"/>
      <c r="AI43" s="75"/>
    </row>
    <row r="44" spans="1:35" ht="22.35" customHeight="1" thickBot="1" x14ac:dyDescent="0.3">
      <c r="A44" s="79"/>
      <c r="B44" s="80"/>
      <c r="D44" s="23" t="s">
        <v>92</v>
      </c>
      <c r="F44" s="141"/>
      <c r="H44" s="99"/>
      <c r="I44" s="84"/>
      <c r="K44" s="86"/>
      <c r="L44" s="86"/>
      <c r="M44" s="86"/>
      <c r="O44" s="100"/>
      <c r="P44" s="143"/>
      <c r="Q44" s="90"/>
      <c r="R44" s="91"/>
      <c r="S44" s="144" t="s">
        <v>90</v>
      </c>
      <c r="T44" s="112" t="s">
        <v>43</v>
      </c>
      <c r="U44" s="106"/>
      <c r="V44" s="107">
        <v>4</v>
      </c>
      <c r="W44" s="108"/>
      <c r="X44" s="109"/>
      <c r="Y44" s="20">
        <f t="shared" si="0"/>
        <v>0</v>
      </c>
      <c r="AA44" s="98">
        <f t="shared" si="1"/>
        <v>0</v>
      </c>
      <c r="AB44" s="98">
        <f t="shared" si="2"/>
        <v>0</v>
      </c>
      <c r="AC44" s="110"/>
      <c r="AD44" s="77"/>
      <c r="AE44" s="77"/>
      <c r="AF44" s="75"/>
      <c r="AG44" s="75"/>
      <c r="AH44" s="75"/>
      <c r="AI44" s="75"/>
    </row>
    <row r="45" spans="1:35" ht="22.35" customHeight="1" thickBot="1" x14ac:dyDescent="0.3">
      <c r="A45" s="79"/>
      <c r="B45" s="80"/>
      <c r="F45" s="141"/>
      <c r="H45" s="99"/>
      <c r="I45" s="84"/>
      <c r="K45" s="86"/>
      <c r="L45" s="86"/>
      <c r="M45" s="86"/>
      <c r="O45" s="100"/>
      <c r="P45" s="143"/>
      <c r="Q45" s="90"/>
      <c r="R45" s="91"/>
      <c r="S45" s="144" t="s">
        <v>90</v>
      </c>
      <c r="T45" s="112" t="s">
        <v>43</v>
      </c>
      <c r="U45" s="106"/>
      <c r="V45" s="107">
        <v>4</v>
      </c>
      <c r="W45" s="108"/>
      <c r="X45" s="109"/>
      <c r="Y45" s="20">
        <f t="shared" si="0"/>
        <v>0</v>
      </c>
      <c r="AA45" s="98">
        <f t="shared" si="1"/>
        <v>0</v>
      </c>
      <c r="AB45" s="98">
        <f t="shared" si="2"/>
        <v>0</v>
      </c>
      <c r="AC45" s="110"/>
      <c r="AD45" s="77"/>
      <c r="AE45" s="77"/>
      <c r="AF45" s="75"/>
      <c r="AG45" s="75"/>
      <c r="AH45" s="75"/>
      <c r="AI45" s="75"/>
    </row>
    <row r="46" spans="1:35" ht="22.35" customHeight="1" thickBot="1" x14ac:dyDescent="0.3">
      <c r="A46" s="79"/>
      <c r="B46" s="80"/>
      <c r="F46" s="141"/>
      <c r="H46" s="99"/>
      <c r="I46" s="84"/>
      <c r="K46" s="86"/>
      <c r="L46" s="86"/>
      <c r="M46" s="86"/>
      <c r="O46" s="100"/>
      <c r="P46" s="143"/>
      <c r="Q46" s="90"/>
      <c r="R46" s="91"/>
      <c r="S46" s="144" t="s">
        <v>90</v>
      </c>
      <c r="T46" s="112" t="s">
        <v>43</v>
      </c>
      <c r="U46" s="106"/>
      <c r="V46" s="107">
        <v>4</v>
      </c>
      <c r="W46" s="108"/>
      <c r="X46" s="109"/>
      <c r="Y46" s="20">
        <f t="shared" si="0"/>
        <v>0</v>
      </c>
      <c r="AA46" s="98">
        <f t="shared" si="1"/>
        <v>0</v>
      </c>
      <c r="AB46" s="98">
        <f t="shared" si="2"/>
        <v>0</v>
      </c>
      <c r="AC46" s="110"/>
      <c r="AD46" s="77"/>
      <c r="AE46" s="77"/>
      <c r="AF46" s="75"/>
      <c r="AG46" s="75"/>
      <c r="AH46" s="75"/>
      <c r="AI46" s="75"/>
    </row>
    <row r="47" spans="1:35" ht="22.35" customHeight="1" thickBot="1" x14ac:dyDescent="0.3">
      <c r="A47" s="79"/>
      <c r="B47" s="80"/>
      <c r="F47" s="141"/>
      <c r="H47" s="99"/>
      <c r="I47" s="84"/>
      <c r="K47" s="86"/>
      <c r="L47" s="86"/>
      <c r="M47" s="86"/>
      <c r="O47" s="100"/>
      <c r="P47" s="143"/>
      <c r="Q47" s="90"/>
      <c r="R47" s="91"/>
      <c r="S47" s="144" t="s">
        <v>90</v>
      </c>
      <c r="T47" s="112" t="s">
        <v>43</v>
      </c>
      <c r="U47" s="106"/>
      <c r="V47" s="107">
        <v>4</v>
      </c>
      <c r="W47" s="108"/>
      <c r="X47" s="109"/>
      <c r="Y47" s="20">
        <f t="shared" si="0"/>
        <v>0</v>
      </c>
      <c r="AA47" s="98">
        <f t="shared" si="1"/>
        <v>0</v>
      </c>
      <c r="AB47" s="98">
        <f t="shared" si="2"/>
        <v>0</v>
      </c>
      <c r="AC47" s="110"/>
      <c r="AD47" s="77"/>
      <c r="AE47" s="77"/>
      <c r="AF47" s="75"/>
      <c r="AG47" s="75"/>
      <c r="AH47" s="75"/>
      <c r="AI47" s="75"/>
    </row>
    <row r="48" spans="1:35" ht="22.35" customHeight="1" thickBot="1" x14ac:dyDescent="0.3">
      <c r="A48" s="79"/>
      <c r="B48" s="80"/>
      <c r="F48" s="141"/>
      <c r="H48" s="99"/>
      <c r="I48" s="84"/>
      <c r="K48" s="86"/>
      <c r="L48" s="86"/>
      <c r="M48" s="86"/>
      <c r="O48" s="100"/>
      <c r="P48" s="143"/>
      <c r="Q48" s="90"/>
      <c r="R48" s="91"/>
      <c r="S48" s="144" t="s">
        <v>90</v>
      </c>
      <c r="T48" s="112" t="s">
        <v>43</v>
      </c>
      <c r="U48" s="106"/>
      <c r="V48" s="107">
        <v>4</v>
      </c>
      <c r="W48" s="160"/>
      <c r="X48" s="161"/>
      <c r="Y48" s="20">
        <f t="shared" si="0"/>
        <v>0</v>
      </c>
      <c r="AA48" s="98">
        <f t="shared" si="1"/>
        <v>0</v>
      </c>
      <c r="AB48" s="98">
        <f t="shared" si="2"/>
        <v>0</v>
      </c>
      <c r="AC48" s="110"/>
      <c r="AD48" s="77"/>
      <c r="AE48" s="77"/>
      <c r="AF48" s="75"/>
      <c r="AG48" s="75"/>
      <c r="AH48" s="75"/>
      <c r="AI48" s="75"/>
    </row>
    <row r="49" spans="1:35" ht="22.35" customHeight="1" thickBot="1" x14ac:dyDescent="0.3">
      <c r="A49" s="79"/>
      <c r="B49" s="80"/>
      <c r="F49" s="141"/>
      <c r="H49" s="99"/>
      <c r="I49" s="84"/>
      <c r="K49" s="86"/>
      <c r="L49" s="86"/>
      <c r="M49" s="86"/>
      <c r="O49" s="100"/>
      <c r="P49" s="143"/>
      <c r="Q49" s="90"/>
      <c r="R49" s="91"/>
      <c r="S49" s="144" t="s">
        <v>90</v>
      </c>
      <c r="T49" s="112" t="s">
        <v>43</v>
      </c>
      <c r="U49" s="106"/>
      <c r="V49" s="107">
        <v>4</v>
      </c>
      <c r="W49" s="160"/>
      <c r="X49" s="161"/>
      <c r="Y49" s="20">
        <f t="shared" si="0"/>
        <v>0</v>
      </c>
      <c r="AA49" s="98">
        <f t="shared" si="1"/>
        <v>0</v>
      </c>
      <c r="AB49" s="98">
        <f t="shared" si="2"/>
        <v>0</v>
      </c>
      <c r="AC49" s="110"/>
      <c r="AD49" s="77"/>
      <c r="AE49" s="77"/>
      <c r="AF49" s="75"/>
      <c r="AG49" s="75"/>
      <c r="AH49" s="75"/>
      <c r="AI49" s="75"/>
    </row>
    <row r="50" spans="1:35" ht="22.35" customHeight="1" thickBot="1" x14ac:dyDescent="0.3">
      <c r="A50" s="148"/>
      <c r="B50" s="149"/>
      <c r="C50" s="150"/>
      <c r="D50" s="151"/>
      <c r="E50" s="151"/>
      <c r="F50" s="141"/>
      <c r="H50" s="99"/>
      <c r="I50" s="152"/>
      <c r="J50" s="153"/>
      <c r="K50" s="85"/>
      <c r="L50" s="85"/>
      <c r="M50" s="85"/>
      <c r="O50" s="100"/>
      <c r="P50" s="154"/>
      <c r="Q50" s="90"/>
      <c r="R50" s="91"/>
      <c r="S50" s="155" t="s">
        <v>90</v>
      </c>
      <c r="T50" s="124" t="s">
        <v>43</v>
      </c>
      <c r="U50" s="125"/>
      <c r="V50" s="156">
        <v>4</v>
      </c>
      <c r="W50" s="113"/>
      <c r="X50" s="114"/>
      <c r="Y50" s="20">
        <f t="shared" si="0"/>
        <v>0</v>
      </c>
      <c r="AA50" s="98">
        <f t="shared" si="1"/>
        <v>0</v>
      </c>
      <c r="AB50" s="98">
        <f t="shared" si="2"/>
        <v>0</v>
      </c>
      <c r="AC50" s="110"/>
      <c r="AD50" s="77"/>
      <c r="AE50" s="77"/>
      <c r="AF50" s="75"/>
      <c r="AG50" s="75"/>
      <c r="AH50" s="75"/>
      <c r="AI50" s="75"/>
    </row>
    <row r="51" spans="1:35" ht="22.35" customHeight="1" thickBot="1" x14ac:dyDescent="0.3">
      <c r="A51" s="157"/>
      <c r="B51" s="127"/>
      <c r="C51" s="128"/>
      <c r="D51" s="129"/>
      <c r="E51" s="129"/>
      <c r="F51" s="130"/>
      <c r="G51" s="132"/>
      <c r="H51" s="99"/>
      <c r="I51" s="158"/>
      <c r="J51" s="129"/>
      <c r="K51" s="159"/>
      <c r="L51" s="133"/>
      <c r="M51" s="133"/>
      <c r="N51" s="134"/>
      <c r="O51" s="135"/>
      <c r="P51" s="136"/>
      <c r="Q51" s="137"/>
      <c r="R51" s="138"/>
      <c r="S51" s="139" t="s">
        <v>90</v>
      </c>
      <c r="T51" s="140" t="s">
        <v>43</v>
      </c>
      <c r="U51" s="94"/>
      <c r="V51" s="95">
        <v>5</v>
      </c>
      <c r="W51" s="96"/>
      <c r="X51" s="97"/>
      <c r="Y51" s="20">
        <f t="shared" si="0"/>
        <v>0</v>
      </c>
      <c r="AA51" s="98">
        <f t="shared" si="1"/>
        <v>0</v>
      </c>
      <c r="AB51" s="98">
        <f t="shared" si="2"/>
        <v>0</v>
      </c>
      <c r="AC51" s="110"/>
      <c r="AD51" s="77"/>
      <c r="AE51" s="77"/>
      <c r="AF51" s="75"/>
      <c r="AG51" s="75"/>
      <c r="AH51" s="75"/>
      <c r="AI51" s="75"/>
    </row>
    <row r="52" spans="1:35" ht="22.35" customHeight="1" thickBot="1" x14ac:dyDescent="0.3">
      <c r="A52" s="79"/>
      <c r="B52" s="80"/>
      <c r="F52" s="141"/>
      <c r="H52" s="99"/>
      <c r="I52" s="84"/>
      <c r="K52" s="86"/>
      <c r="L52" s="86"/>
      <c r="M52" s="86"/>
      <c r="O52" s="100"/>
      <c r="P52" s="143"/>
      <c r="Q52" s="102"/>
      <c r="R52" s="103"/>
      <c r="S52" s="144" t="s">
        <v>90</v>
      </c>
      <c r="T52" s="112" t="s">
        <v>43</v>
      </c>
      <c r="U52" s="106"/>
      <c r="V52" s="107">
        <v>5</v>
      </c>
      <c r="W52" s="108"/>
      <c r="X52" s="109"/>
      <c r="Y52" s="20">
        <f t="shared" si="0"/>
        <v>0</v>
      </c>
      <c r="AA52" s="98">
        <f t="shared" si="1"/>
        <v>0</v>
      </c>
      <c r="AB52" s="98">
        <f t="shared" si="2"/>
        <v>0</v>
      </c>
      <c r="AC52" s="110"/>
      <c r="AD52" s="77"/>
      <c r="AE52" s="77"/>
      <c r="AF52" s="75"/>
      <c r="AG52" s="75"/>
      <c r="AH52" s="75"/>
      <c r="AI52" s="75"/>
    </row>
    <row r="53" spans="1:35" ht="22.35" customHeight="1" thickBot="1" x14ac:dyDescent="0.3">
      <c r="A53" s="79"/>
      <c r="B53" s="80"/>
      <c r="F53" s="141"/>
      <c r="H53" s="99"/>
      <c r="I53" s="84"/>
      <c r="K53" s="86"/>
      <c r="L53" s="86"/>
      <c r="M53" s="86"/>
      <c r="O53" s="100"/>
      <c r="P53" s="143"/>
      <c r="Q53" s="90"/>
      <c r="R53" s="91"/>
      <c r="S53" s="144" t="s">
        <v>90</v>
      </c>
      <c r="T53" s="112" t="s">
        <v>43</v>
      </c>
      <c r="U53" s="106"/>
      <c r="V53" s="107">
        <v>5</v>
      </c>
      <c r="W53" s="108"/>
      <c r="X53" s="109"/>
      <c r="Y53" s="20">
        <f t="shared" si="0"/>
        <v>0</v>
      </c>
      <c r="AA53" s="98">
        <f t="shared" si="1"/>
        <v>0</v>
      </c>
      <c r="AB53" s="98">
        <f t="shared" si="2"/>
        <v>0</v>
      </c>
      <c r="AC53" s="110"/>
      <c r="AD53" s="77"/>
      <c r="AE53" s="77"/>
      <c r="AF53" s="75"/>
      <c r="AG53" s="75"/>
      <c r="AH53" s="75"/>
      <c r="AI53" s="75"/>
    </row>
    <row r="54" spans="1:35" ht="22.35" customHeight="1" thickBot="1" x14ac:dyDescent="0.3">
      <c r="A54" s="79"/>
      <c r="B54" s="80"/>
      <c r="F54" s="141"/>
      <c r="H54" s="99"/>
      <c r="I54" s="84"/>
      <c r="K54" s="86"/>
      <c r="L54" s="86"/>
      <c r="M54" s="86"/>
      <c r="O54" s="100"/>
      <c r="P54" s="143"/>
      <c r="Q54" s="90"/>
      <c r="R54" s="91"/>
      <c r="S54" s="144" t="s">
        <v>90</v>
      </c>
      <c r="T54" s="112" t="s">
        <v>43</v>
      </c>
      <c r="U54" s="106"/>
      <c r="V54" s="107">
        <v>5</v>
      </c>
      <c r="W54" s="108"/>
      <c r="X54" s="109"/>
      <c r="Y54" s="20">
        <f t="shared" si="0"/>
        <v>0</v>
      </c>
      <c r="AA54" s="98">
        <f t="shared" si="1"/>
        <v>0</v>
      </c>
      <c r="AB54" s="98">
        <f t="shared" si="2"/>
        <v>0</v>
      </c>
      <c r="AC54" s="110"/>
      <c r="AD54" s="77"/>
      <c r="AE54" s="77"/>
      <c r="AF54" s="75"/>
      <c r="AG54" s="75"/>
      <c r="AH54" s="75"/>
      <c r="AI54" s="75"/>
    </row>
    <row r="55" spans="1:35" ht="22.35" customHeight="1" thickBot="1" x14ac:dyDescent="0.3">
      <c r="A55" s="79"/>
      <c r="B55" s="80"/>
      <c r="F55" s="141"/>
      <c r="H55" s="99"/>
      <c r="I55" s="84"/>
      <c r="K55" s="86"/>
      <c r="L55" s="86"/>
      <c r="M55" s="86"/>
      <c r="O55" s="100"/>
      <c r="P55" s="143"/>
      <c r="Q55" s="90"/>
      <c r="R55" s="91"/>
      <c r="S55" s="144" t="s">
        <v>90</v>
      </c>
      <c r="T55" s="112" t="s">
        <v>43</v>
      </c>
      <c r="U55" s="106"/>
      <c r="V55" s="107">
        <v>5</v>
      </c>
      <c r="W55" s="108"/>
      <c r="X55" s="109"/>
      <c r="Y55" s="20">
        <f t="shared" si="0"/>
        <v>0</v>
      </c>
      <c r="AA55" s="98">
        <f t="shared" si="1"/>
        <v>0</v>
      </c>
      <c r="AB55" s="98">
        <f t="shared" si="2"/>
        <v>0</v>
      </c>
      <c r="AC55" s="110"/>
      <c r="AD55" s="77"/>
      <c r="AE55" s="77"/>
      <c r="AF55" s="75"/>
      <c r="AG55" s="75"/>
      <c r="AH55" s="75"/>
      <c r="AI55" s="75"/>
    </row>
    <row r="56" spans="1:35" ht="22.35" customHeight="1" thickBot="1" x14ac:dyDescent="0.3">
      <c r="A56" s="79"/>
      <c r="B56" s="80"/>
      <c r="F56" s="141"/>
      <c r="H56" s="99"/>
      <c r="I56" s="84"/>
      <c r="K56" s="86"/>
      <c r="L56" s="86"/>
      <c r="M56" s="86"/>
      <c r="O56" s="100"/>
      <c r="P56" s="143"/>
      <c r="Q56" s="90"/>
      <c r="R56" s="91"/>
      <c r="S56" s="144" t="s">
        <v>90</v>
      </c>
      <c r="T56" s="112" t="s">
        <v>43</v>
      </c>
      <c r="U56" s="106"/>
      <c r="V56" s="107">
        <v>5</v>
      </c>
      <c r="W56" s="108"/>
      <c r="X56" s="109"/>
      <c r="Y56" s="20">
        <f t="shared" si="0"/>
        <v>0</v>
      </c>
      <c r="AA56" s="98">
        <f t="shared" si="1"/>
        <v>0</v>
      </c>
      <c r="AB56" s="98">
        <f t="shared" si="2"/>
        <v>0</v>
      </c>
      <c r="AC56" s="110"/>
      <c r="AD56" s="77"/>
      <c r="AE56" s="77"/>
      <c r="AF56" s="75"/>
      <c r="AG56" s="75"/>
      <c r="AH56" s="75"/>
      <c r="AI56" s="75"/>
    </row>
    <row r="57" spans="1:35" ht="22.35" customHeight="1" thickBot="1" x14ac:dyDescent="0.3">
      <c r="A57" s="79"/>
      <c r="B57" s="80"/>
      <c r="D57" s="23" t="s">
        <v>93</v>
      </c>
      <c r="F57" s="141"/>
      <c r="H57" s="99"/>
      <c r="I57" s="84"/>
      <c r="K57" s="86"/>
      <c r="L57" s="86"/>
      <c r="M57" s="86"/>
      <c r="O57" s="100"/>
      <c r="P57" s="143"/>
      <c r="Q57" s="90"/>
      <c r="R57" s="91"/>
      <c r="S57" s="144" t="s">
        <v>90</v>
      </c>
      <c r="T57" s="112" t="s">
        <v>43</v>
      </c>
      <c r="U57" s="106"/>
      <c r="V57" s="107">
        <v>5</v>
      </c>
      <c r="W57" s="108"/>
      <c r="X57" s="109"/>
      <c r="Y57" s="20">
        <f t="shared" si="0"/>
        <v>0</v>
      </c>
      <c r="AA57" s="98">
        <f t="shared" si="1"/>
        <v>0</v>
      </c>
      <c r="AB57" s="98">
        <f t="shared" si="2"/>
        <v>0</v>
      </c>
      <c r="AC57" s="110"/>
      <c r="AD57" s="77"/>
      <c r="AE57" s="77"/>
      <c r="AF57" s="75"/>
      <c r="AG57" s="75"/>
      <c r="AH57" s="75"/>
      <c r="AI57" s="75"/>
    </row>
    <row r="58" spans="1:35" ht="22.35" customHeight="1" thickBot="1" x14ac:dyDescent="0.3">
      <c r="A58" s="79"/>
      <c r="B58" s="80"/>
      <c r="F58" s="141"/>
      <c r="H58" s="99"/>
      <c r="I58" s="84"/>
      <c r="K58" s="86"/>
      <c r="L58" s="86"/>
      <c r="M58" s="86"/>
      <c r="O58" s="100"/>
      <c r="P58" s="143"/>
      <c r="Q58" s="90"/>
      <c r="R58" s="91"/>
      <c r="S58" s="144" t="s">
        <v>90</v>
      </c>
      <c r="T58" s="112" t="s">
        <v>43</v>
      </c>
      <c r="U58" s="106"/>
      <c r="V58" s="107">
        <v>5</v>
      </c>
      <c r="W58" s="108"/>
      <c r="X58" s="109"/>
      <c r="Y58" s="20">
        <f t="shared" si="0"/>
        <v>0</v>
      </c>
      <c r="AA58" s="98">
        <f t="shared" si="1"/>
        <v>0</v>
      </c>
      <c r="AB58" s="98">
        <f t="shared" si="2"/>
        <v>0</v>
      </c>
      <c r="AC58" s="110"/>
      <c r="AD58" s="77"/>
      <c r="AE58" s="77"/>
      <c r="AF58" s="75"/>
      <c r="AG58" s="75"/>
      <c r="AH58" s="75"/>
      <c r="AI58" s="75"/>
    </row>
    <row r="59" spans="1:35" ht="22.35" customHeight="1" thickBot="1" x14ac:dyDescent="0.3">
      <c r="A59" s="79"/>
      <c r="B59" s="80"/>
      <c r="F59" s="141"/>
      <c r="H59" s="99"/>
      <c r="I59" s="84"/>
      <c r="K59" s="86"/>
      <c r="L59" s="86"/>
      <c r="M59" s="86"/>
      <c r="O59" s="100"/>
      <c r="P59" s="143"/>
      <c r="Q59" s="90"/>
      <c r="R59" s="91"/>
      <c r="S59" s="144" t="s">
        <v>90</v>
      </c>
      <c r="T59" s="112" t="s">
        <v>43</v>
      </c>
      <c r="U59" s="106"/>
      <c r="V59" s="107">
        <v>5</v>
      </c>
      <c r="W59" s="108"/>
      <c r="X59" s="109"/>
      <c r="Y59" s="20">
        <f t="shared" si="0"/>
        <v>0</v>
      </c>
      <c r="AA59" s="98">
        <f t="shared" si="1"/>
        <v>0</v>
      </c>
      <c r="AB59" s="98">
        <f t="shared" si="2"/>
        <v>0</v>
      </c>
      <c r="AC59" s="110"/>
      <c r="AD59" s="77"/>
      <c r="AE59" s="77"/>
      <c r="AF59" s="75"/>
      <c r="AG59" s="75"/>
      <c r="AH59" s="75"/>
      <c r="AI59" s="75"/>
    </row>
    <row r="60" spans="1:35" ht="22.35" customHeight="1" thickBot="1" x14ac:dyDescent="0.3">
      <c r="A60" s="79"/>
      <c r="B60" s="80"/>
      <c r="F60" s="141"/>
      <c r="H60" s="99"/>
      <c r="I60" s="84"/>
      <c r="K60" s="86"/>
      <c r="L60" s="86"/>
      <c r="M60" s="86"/>
      <c r="O60" s="100"/>
      <c r="P60" s="143"/>
      <c r="Q60" s="90"/>
      <c r="R60" s="91"/>
      <c r="S60" s="144" t="s">
        <v>90</v>
      </c>
      <c r="T60" s="112" t="s">
        <v>43</v>
      </c>
      <c r="U60" s="106"/>
      <c r="V60" s="107">
        <v>5</v>
      </c>
      <c r="W60" s="160"/>
      <c r="X60" s="161"/>
      <c r="Y60" s="20">
        <f t="shared" si="0"/>
        <v>0</v>
      </c>
      <c r="AA60" s="98">
        <f t="shared" si="1"/>
        <v>0</v>
      </c>
      <c r="AB60" s="98">
        <f t="shared" si="2"/>
        <v>0</v>
      </c>
      <c r="AC60" s="110"/>
      <c r="AD60" s="77"/>
      <c r="AE60" s="77"/>
      <c r="AF60" s="75"/>
      <c r="AG60" s="75"/>
      <c r="AH60" s="75"/>
      <c r="AI60" s="75"/>
    </row>
    <row r="61" spans="1:35" ht="22.35" customHeight="1" thickBot="1" x14ac:dyDescent="0.3">
      <c r="A61" s="79"/>
      <c r="B61" s="80"/>
      <c r="F61" s="141"/>
      <c r="H61" s="99"/>
      <c r="I61" s="84"/>
      <c r="K61" s="86"/>
      <c r="L61" s="86"/>
      <c r="M61" s="86"/>
      <c r="O61" s="100"/>
      <c r="P61" s="143"/>
      <c r="Q61" s="90"/>
      <c r="R61" s="91"/>
      <c r="S61" s="144" t="s">
        <v>90</v>
      </c>
      <c r="T61" s="112" t="s">
        <v>43</v>
      </c>
      <c r="U61" s="106"/>
      <c r="V61" s="107">
        <v>5</v>
      </c>
      <c r="W61" s="160"/>
      <c r="X61" s="161"/>
      <c r="Y61" s="20">
        <f t="shared" si="0"/>
        <v>0</v>
      </c>
      <c r="AA61" s="98">
        <f t="shared" si="1"/>
        <v>0</v>
      </c>
      <c r="AB61" s="98">
        <f t="shared" si="2"/>
        <v>0</v>
      </c>
      <c r="AC61" s="110"/>
      <c r="AD61" s="77"/>
      <c r="AE61" s="77"/>
      <c r="AF61" s="75"/>
      <c r="AG61" s="75"/>
      <c r="AH61" s="75"/>
      <c r="AI61" s="75"/>
    </row>
    <row r="62" spans="1:35" ht="22.35" customHeight="1" thickBot="1" x14ac:dyDescent="0.3">
      <c r="A62" s="148"/>
      <c r="B62" s="149"/>
      <c r="C62" s="150"/>
      <c r="D62" s="151"/>
      <c r="E62" s="151"/>
      <c r="F62" s="141"/>
      <c r="H62" s="99"/>
      <c r="I62" s="152"/>
      <c r="J62" s="153"/>
      <c r="K62" s="85"/>
      <c r="L62" s="85"/>
      <c r="M62" s="85"/>
      <c r="O62" s="100"/>
      <c r="P62" s="154"/>
      <c r="Q62" s="90"/>
      <c r="R62" s="91"/>
      <c r="S62" s="155" t="s">
        <v>90</v>
      </c>
      <c r="T62" s="124" t="s">
        <v>43</v>
      </c>
      <c r="U62" s="125"/>
      <c r="V62" s="156">
        <v>5</v>
      </c>
      <c r="W62" s="113"/>
      <c r="X62" s="114"/>
      <c r="Y62" s="20">
        <f t="shared" si="0"/>
        <v>0</v>
      </c>
      <c r="AA62" s="98">
        <f t="shared" si="1"/>
        <v>0</v>
      </c>
      <c r="AB62" s="98">
        <f t="shared" si="2"/>
        <v>0</v>
      </c>
      <c r="AC62" s="110"/>
      <c r="AD62" s="77"/>
      <c r="AE62" s="77"/>
      <c r="AF62" s="75"/>
      <c r="AG62" s="75"/>
      <c r="AH62" s="75"/>
      <c r="AI62" s="75"/>
    </row>
    <row r="63" spans="1:35" ht="22.35" customHeight="1" thickBot="1" x14ac:dyDescent="0.3">
      <c r="A63" s="157"/>
      <c r="B63" s="127"/>
      <c r="C63" s="128"/>
      <c r="D63" s="129"/>
      <c r="E63" s="129"/>
      <c r="F63" s="130"/>
      <c r="G63" s="132"/>
      <c r="H63" s="99"/>
      <c r="I63" s="158"/>
      <c r="J63" s="129"/>
      <c r="K63" s="159"/>
      <c r="L63" s="133"/>
      <c r="M63" s="133"/>
      <c r="N63" s="134"/>
      <c r="O63" s="135"/>
      <c r="P63" s="136"/>
      <c r="Q63" s="137"/>
      <c r="R63" s="138"/>
      <c r="S63" s="139" t="s">
        <v>90</v>
      </c>
      <c r="T63" s="140" t="s">
        <v>43</v>
      </c>
      <c r="U63" s="94"/>
      <c r="V63" s="95">
        <v>6</v>
      </c>
      <c r="W63" s="96"/>
      <c r="X63" s="97"/>
      <c r="Y63" s="20">
        <f t="shared" si="0"/>
        <v>0</v>
      </c>
      <c r="AA63" s="98">
        <f t="shared" si="1"/>
        <v>0</v>
      </c>
      <c r="AB63" s="98">
        <f t="shared" si="2"/>
        <v>0</v>
      </c>
      <c r="AC63" s="110"/>
      <c r="AD63" s="77"/>
      <c r="AE63" s="77"/>
      <c r="AF63" s="75"/>
      <c r="AG63" s="75"/>
      <c r="AH63" s="75"/>
      <c r="AI63" s="75"/>
    </row>
    <row r="64" spans="1:35" ht="22.35" customHeight="1" thickBot="1" x14ac:dyDescent="0.3">
      <c r="A64" s="79"/>
      <c r="B64" s="80"/>
      <c r="F64" s="141"/>
      <c r="H64" s="99"/>
      <c r="I64" s="84"/>
      <c r="K64" s="86"/>
      <c r="L64" s="86"/>
      <c r="M64" s="86"/>
      <c r="O64" s="100"/>
      <c r="P64" s="143"/>
      <c r="Q64" s="102"/>
      <c r="R64" s="103"/>
      <c r="S64" s="144" t="s">
        <v>90</v>
      </c>
      <c r="T64" s="112" t="s">
        <v>43</v>
      </c>
      <c r="U64" s="106"/>
      <c r="V64" s="107">
        <v>6</v>
      </c>
      <c r="W64" s="108"/>
      <c r="X64" s="109"/>
      <c r="Y64" s="20">
        <f t="shared" si="0"/>
        <v>0</v>
      </c>
      <c r="AA64" s="98">
        <f t="shared" si="1"/>
        <v>0</v>
      </c>
      <c r="AB64" s="98">
        <f t="shared" si="2"/>
        <v>0</v>
      </c>
      <c r="AC64" s="110"/>
      <c r="AD64" s="77"/>
      <c r="AE64" s="77"/>
      <c r="AF64" s="75"/>
      <c r="AG64" s="75"/>
      <c r="AH64" s="75"/>
      <c r="AI64" s="75"/>
    </row>
    <row r="65" spans="1:35" ht="22.35" customHeight="1" thickBot="1" x14ac:dyDescent="0.3">
      <c r="A65" s="79"/>
      <c r="B65" s="80"/>
      <c r="F65" s="141"/>
      <c r="H65" s="99"/>
      <c r="I65" s="84"/>
      <c r="K65" s="86"/>
      <c r="L65" s="86"/>
      <c r="M65" s="86"/>
      <c r="O65" s="100"/>
      <c r="P65" s="143"/>
      <c r="Q65" s="90"/>
      <c r="R65" s="91"/>
      <c r="S65" s="144" t="s">
        <v>90</v>
      </c>
      <c r="T65" s="112" t="s">
        <v>43</v>
      </c>
      <c r="U65" s="106"/>
      <c r="V65" s="107">
        <v>6</v>
      </c>
      <c r="W65" s="108"/>
      <c r="X65" s="109"/>
      <c r="Y65" s="20">
        <f t="shared" si="0"/>
        <v>0</v>
      </c>
      <c r="AA65" s="98">
        <f t="shared" si="1"/>
        <v>0</v>
      </c>
      <c r="AB65" s="98">
        <f t="shared" si="2"/>
        <v>0</v>
      </c>
      <c r="AC65" s="110"/>
      <c r="AD65" s="77"/>
      <c r="AE65" s="77"/>
      <c r="AF65" s="75"/>
      <c r="AG65" s="75"/>
      <c r="AH65" s="75"/>
      <c r="AI65" s="75"/>
    </row>
    <row r="66" spans="1:35" ht="22.35" customHeight="1" thickBot="1" x14ac:dyDescent="0.3">
      <c r="A66" s="79"/>
      <c r="B66" s="80"/>
      <c r="F66" s="141"/>
      <c r="H66" s="99"/>
      <c r="I66" s="84"/>
      <c r="K66" s="86"/>
      <c r="L66" s="86"/>
      <c r="M66" s="86"/>
      <c r="O66" s="100"/>
      <c r="P66" s="143"/>
      <c r="Q66" s="90"/>
      <c r="R66" s="91"/>
      <c r="S66" s="144" t="s">
        <v>90</v>
      </c>
      <c r="T66" s="112" t="s">
        <v>43</v>
      </c>
      <c r="U66" s="106"/>
      <c r="V66" s="107">
        <v>6</v>
      </c>
      <c r="W66" s="108"/>
      <c r="X66" s="109"/>
      <c r="Y66" s="20">
        <f t="shared" si="0"/>
        <v>0</v>
      </c>
      <c r="AA66" s="98">
        <f t="shared" si="1"/>
        <v>0</v>
      </c>
      <c r="AB66" s="98">
        <f t="shared" si="2"/>
        <v>0</v>
      </c>
      <c r="AC66" s="110"/>
      <c r="AD66" s="77"/>
      <c r="AE66" s="77"/>
      <c r="AF66" s="75"/>
      <c r="AG66" s="75"/>
      <c r="AH66" s="75"/>
      <c r="AI66" s="75"/>
    </row>
    <row r="67" spans="1:35" ht="22.35" customHeight="1" thickBot="1" x14ac:dyDescent="0.3">
      <c r="A67" s="79"/>
      <c r="B67" s="80"/>
      <c r="F67" s="141"/>
      <c r="H67" s="99"/>
      <c r="I67" s="84"/>
      <c r="K67" s="86"/>
      <c r="L67" s="86"/>
      <c r="M67" s="86"/>
      <c r="O67" s="100"/>
      <c r="P67" s="143"/>
      <c r="Q67" s="90"/>
      <c r="R67" s="91"/>
      <c r="S67" s="144" t="s">
        <v>90</v>
      </c>
      <c r="T67" s="112" t="s">
        <v>43</v>
      </c>
      <c r="U67" s="106"/>
      <c r="V67" s="107">
        <v>6</v>
      </c>
      <c r="W67" s="108"/>
      <c r="X67" s="109"/>
      <c r="Y67" s="20">
        <f t="shared" si="0"/>
        <v>0</v>
      </c>
      <c r="AA67" s="98">
        <f t="shared" si="1"/>
        <v>0</v>
      </c>
      <c r="AB67" s="98">
        <f t="shared" si="2"/>
        <v>0</v>
      </c>
      <c r="AC67" s="110"/>
      <c r="AD67" s="77"/>
      <c r="AE67" s="77"/>
      <c r="AF67" s="75"/>
      <c r="AG67" s="75"/>
      <c r="AH67" s="75"/>
      <c r="AI67" s="75"/>
    </row>
    <row r="68" spans="1:35" ht="22.35" customHeight="1" thickBot="1" x14ac:dyDescent="0.3">
      <c r="A68" s="79"/>
      <c r="B68" s="80"/>
      <c r="D68" s="23" t="s">
        <v>94</v>
      </c>
      <c r="F68" s="141"/>
      <c r="H68" s="99"/>
      <c r="I68" s="84"/>
      <c r="K68" s="86"/>
      <c r="L68" s="86"/>
      <c r="M68" s="86"/>
      <c r="O68" s="100"/>
      <c r="P68" s="143"/>
      <c r="Q68" s="90"/>
      <c r="R68" s="91"/>
      <c r="S68" s="144" t="s">
        <v>90</v>
      </c>
      <c r="T68" s="112" t="s">
        <v>43</v>
      </c>
      <c r="U68" s="106"/>
      <c r="V68" s="107">
        <v>6</v>
      </c>
      <c r="W68" s="108"/>
      <c r="X68" s="109"/>
      <c r="Y68" s="20">
        <f t="shared" si="0"/>
        <v>0</v>
      </c>
      <c r="AA68" s="98">
        <f t="shared" si="1"/>
        <v>0</v>
      </c>
      <c r="AB68" s="98">
        <f t="shared" si="2"/>
        <v>0</v>
      </c>
      <c r="AC68" s="110"/>
      <c r="AD68" s="77"/>
      <c r="AE68" s="77"/>
      <c r="AF68" s="75"/>
      <c r="AG68" s="75"/>
      <c r="AH68" s="75"/>
      <c r="AI68" s="75"/>
    </row>
    <row r="69" spans="1:35" ht="22.35" customHeight="1" thickBot="1" x14ac:dyDescent="0.3">
      <c r="A69" s="79"/>
      <c r="B69" s="80"/>
      <c r="F69" s="141"/>
      <c r="H69" s="99"/>
      <c r="I69" s="84"/>
      <c r="K69" s="86"/>
      <c r="L69" s="86"/>
      <c r="M69" s="86"/>
      <c r="O69" s="100"/>
      <c r="P69" s="143"/>
      <c r="Q69" s="90"/>
      <c r="R69" s="91"/>
      <c r="S69" s="144" t="s">
        <v>90</v>
      </c>
      <c r="T69" s="112" t="s">
        <v>43</v>
      </c>
      <c r="U69" s="106"/>
      <c r="V69" s="107">
        <v>6</v>
      </c>
      <c r="W69" s="108"/>
      <c r="X69" s="109"/>
      <c r="Y69" s="20">
        <f t="shared" si="0"/>
        <v>0</v>
      </c>
      <c r="AA69" s="98">
        <f t="shared" si="1"/>
        <v>0</v>
      </c>
      <c r="AB69" s="98">
        <f t="shared" si="2"/>
        <v>0</v>
      </c>
      <c r="AC69" s="110"/>
      <c r="AD69" s="77"/>
      <c r="AE69" s="77"/>
      <c r="AF69" s="75"/>
      <c r="AG69" s="75"/>
      <c r="AH69" s="75"/>
      <c r="AI69" s="75"/>
    </row>
    <row r="70" spans="1:35" ht="22.35" customHeight="1" thickBot="1" x14ac:dyDescent="0.3">
      <c r="A70" s="79"/>
      <c r="B70" s="80"/>
      <c r="F70" s="141"/>
      <c r="H70" s="99"/>
      <c r="I70" s="84"/>
      <c r="K70" s="86"/>
      <c r="L70" s="86"/>
      <c r="M70" s="86"/>
      <c r="O70" s="100"/>
      <c r="P70" s="143"/>
      <c r="Q70" s="90"/>
      <c r="R70" s="91"/>
      <c r="S70" s="144" t="s">
        <v>90</v>
      </c>
      <c r="T70" s="112" t="s">
        <v>43</v>
      </c>
      <c r="U70" s="106"/>
      <c r="V70" s="107">
        <v>6</v>
      </c>
      <c r="W70" s="108"/>
      <c r="X70" s="109"/>
      <c r="Y70" s="20">
        <f t="shared" si="0"/>
        <v>0</v>
      </c>
      <c r="AA70" s="98">
        <f t="shared" si="1"/>
        <v>0</v>
      </c>
      <c r="AB70" s="98">
        <f t="shared" si="2"/>
        <v>0</v>
      </c>
      <c r="AC70" s="110"/>
      <c r="AD70" s="77"/>
      <c r="AE70" s="77"/>
      <c r="AF70" s="75"/>
      <c r="AG70" s="75"/>
      <c r="AH70" s="75"/>
      <c r="AI70" s="75"/>
    </row>
    <row r="71" spans="1:35" ht="22.35" customHeight="1" thickBot="1" x14ac:dyDescent="0.3">
      <c r="A71" s="79"/>
      <c r="B71" s="80"/>
      <c r="F71" s="141"/>
      <c r="H71" s="99"/>
      <c r="I71" s="84"/>
      <c r="K71" s="86"/>
      <c r="L71" s="86"/>
      <c r="M71" s="86"/>
      <c r="O71" s="100"/>
      <c r="P71" s="143"/>
      <c r="Q71" s="90"/>
      <c r="R71" s="91"/>
      <c r="S71" s="144" t="s">
        <v>90</v>
      </c>
      <c r="T71" s="112" t="s">
        <v>43</v>
      </c>
      <c r="U71" s="106"/>
      <c r="V71" s="107">
        <v>6</v>
      </c>
      <c r="W71" s="108"/>
      <c r="X71" s="109"/>
      <c r="Y71" s="20">
        <f t="shared" ref="Y71:Y134" si="3">COUNTIF(K:K,K71)</f>
        <v>0</v>
      </c>
      <c r="AA71" s="98">
        <f t="shared" si="1"/>
        <v>0</v>
      </c>
      <c r="AB71" s="98">
        <f t="shared" si="2"/>
        <v>0</v>
      </c>
      <c r="AC71" s="110"/>
      <c r="AD71" s="77"/>
      <c r="AE71" s="77"/>
      <c r="AF71" s="75"/>
      <c r="AG71" s="75"/>
      <c r="AH71" s="75"/>
      <c r="AI71" s="75"/>
    </row>
    <row r="72" spans="1:35" ht="22.35" customHeight="1" thickBot="1" x14ac:dyDescent="0.3">
      <c r="A72" s="79"/>
      <c r="B72" s="80"/>
      <c r="F72" s="141"/>
      <c r="H72" s="99"/>
      <c r="I72" s="84"/>
      <c r="K72" s="86"/>
      <c r="L72" s="86"/>
      <c r="M72" s="86"/>
      <c r="O72" s="100"/>
      <c r="P72" s="143"/>
      <c r="Q72" s="90"/>
      <c r="R72" s="91"/>
      <c r="S72" s="144" t="s">
        <v>90</v>
      </c>
      <c r="T72" s="112" t="s">
        <v>43</v>
      </c>
      <c r="U72" s="106"/>
      <c r="V72" s="107">
        <v>6</v>
      </c>
      <c r="W72" s="160"/>
      <c r="X72" s="161"/>
      <c r="Y72" s="20">
        <f t="shared" si="3"/>
        <v>0</v>
      </c>
      <c r="AA72" s="98">
        <f t="shared" ref="AA72:AA135" si="4">H72-I72</f>
        <v>0</v>
      </c>
      <c r="AB72" s="98">
        <f t="shared" ref="AB72:AB135" si="5">R72-H72</f>
        <v>0</v>
      </c>
      <c r="AC72" s="110"/>
      <c r="AD72" s="77"/>
      <c r="AE72" s="77"/>
      <c r="AF72" s="75"/>
      <c r="AG72" s="75"/>
      <c r="AH72" s="75"/>
      <c r="AI72" s="75"/>
    </row>
    <row r="73" spans="1:35" ht="22.35" customHeight="1" thickBot="1" x14ac:dyDescent="0.3">
      <c r="A73" s="79"/>
      <c r="B73" s="80"/>
      <c r="F73" s="141"/>
      <c r="H73" s="99"/>
      <c r="I73" s="84"/>
      <c r="K73" s="86"/>
      <c r="L73" s="86"/>
      <c r="M73" s="86"/>
      <c r="O73" s="100"/>
      <c r="P73" s="143"/>
      <c r="Q73" s="90"/>
      <c r="R73" s="91"/>
      <c r="S73" s="144" t="s">
        <v>90</v>
      </c>
      <c r="T73" s="112" t="s">
        <v>43</v>
      </c>
      <c r="U73" s="106"/>
      <c r="V73" s="107">
        <v>6</v>
      </c>
      <c r="W73" s="160"/>
      <c r="X73" s="161"/>
      <c r="Y73" s="20">
        <f t="shared" si="3"/>
        <v>0</v>
      </c>
      <c r="AA73" s="98">
        <f t="shared" si="4"/>
        <v>0</v>
      </c>
      <c r="AB73" s="98">
        <f t="shared" si="5"/>
        <v>0</v>
      </c>
      <c r="AC73" s="110"/>
      <c r="AD73" s="77"/>
      <c r="AE73" s="77"/>
      <c r="AF73" s="75"/>
      <c r="AG73" s="75"/>
      <c r="AH73" s="75"/>
      <c r="AI73" s="75"/>
    </row>
    <row r="74" spans="1:35" ht="22.35" customHeight="1" thickBot="1" x14ac:dyDescent="0.3">
      <c r="A74" s="148"/>
      <c r="B74" s="149"/>
      <c r="C74" s="150"/>
      <c r="D74" s="151"/>
      <c r="E74" s="151"/>
      <c r="F74" s="141"/>
      <c r="H74" s="99"/>
      <c r="I74" s="152"/>
      <c r="J74" s="153"/>
      <c r="K74" s="85"/>
      <c r="L74" s="85"/>
      <c r="M74" s="85"/>
      <c r="O74" s="100"/>
      <c r="P74" s="154"/>
      <c r="Q74" s="90"/>
      <c r="R74" s="91"/>
      <c r="S74" s="155" t="s">
        <v>90</v>
      </c>
      <c r="T74" s="124" t="s">
        <v>43</v>
      </c>
      <c r="U74" s="125"/>
      <c r="V74" s="156">
        <v>6</v>
      </c>
      <c r="W74" s="113"/>
      <c r="X74" s="114"/>
      <c r="Y74" s="20">
        <f t="shared" si="3"/>
        <v>0</v>
      </c>
      <c r="AA74" s="98">
        <f t="shared" si="4"/>
        <v>0</v>
      </c>
      <c r="AB74" s="98">
        <f t="shared" si="5"/>
        <v>0</v>
      </c>
      <c r="AC74" s="110"/>
      <c r="AD74" s="77"/>
      <c r="AE74" s="77"/>
      <c r="AF74" s="75"/>
      <c r="AG74" s="75"/>
      <c r="AH74" s="75"/>
      <c r="AI74" s="75"/>
    </row>
    <row r="75" spans="1:35" ht="22.35" customHeight="1" thickBot="1" x14ac:dyDescent="0.3">
      <c r="A75" s="157"/>
      <c r="B75" s="127"/>
      <c r="C75" s="128"/>
      <c r="D75" s="129"/>
      <c r="E75" s="129"/>
      <c r="F75" s="130"/>
      <c r="G75" s="132"/>
      <c r="H75" s="99"/>
      <c r="I75" s="158"/>
      <c r="J75" s="129"/>
      <c r="K75" s="159"/>
      <c r="L75" s="133"/>
      <c r="M75" s="133"/>
      <c r="N75" s="134"/>
      <c r="O75" s="135"/>
      <c r="P75" s="136"/>
      <c r="Q75" s="137"/>
      <c r="R75" s="138"/>
      <c r="S75" s="139" t="s">
        <v>90</v>
      </c>
      <c r="T75" s="140" t="s">
        <v>43</v>
      </c>
      <c r="U75" s="94"/>
      <c r="V75" s="95">
        <v>7</v>
      </c>
      <c r="W75" s="96"/>
      <c r="X75" s="97"/>
      <c r="Y75" s="20">
        <f t="shared" si="3"/>
        <v>0</v>
      </c>
      <c r="AA75" s="98">
        <f t="shared" si="4"/>
        <v>0</v>
      </c>
      <c r="AB75" s="98">
        <f t="shared" si="5"/>
        <v>0</v>
      </c>
      <c r="AC75" s="110"/>
      <c r="AD75" s="77"/>
      <c r="AE75" s="77"/>
      <c r="AF75" s="75"/>
      <c r="AG75" s="75"/>
      <c r="AH75" s="75"/>
      <c r="AI75" s="75"/>
    </row>
    <row r="76" spans="1:35" ht="22.35" customHeight="1" thickBot="1" x14ac:dyDescent="0.3">
      <c r="A76" s="79"/>
      <c r="B76" s="80"/>
      <c r="F76" s="141"/>
      <c r="H76" s="99"/>
      <c r="I76" s="84"/>
      <c r="K76" s="86"/>
      <c r="L76" s="86"/>
      <c r="M76" s="86"/>
      <c r="O76" s="100"/>
      <c r="P76" s="143"/>
      <c r="Q76" s="102"/>
      <c r="R76" s="103"/>
      <c r="S76" s="144" t="s">
        <v>90</v>
      </c>
      <c r="T76" s="112" t="s">
        <v>43</v>
      </c>
      <c r="U76" s="106"/>
      <c r="V76" s="107">
        <v>7</v>
      </c>
      <c r="W76" s="108"/>
      <c r="X76" s="109"/>
      <c r="Y76" s="20">
        <f t="shared" si="3"/>
        <v>0</v>
      </c>
      <c r="AA76" s="98">
        <f t="shared" si="4"/>
        <v>0</v>
      </c>
      <c r="AB76" s="98">
        <f t="shared" si="5"/>
        <v>0</v>
      </c>
      <c r="AC76" s="110"/>
      <c r="AD76" s="77"/>
      <c r="AE76" s="77"/>
      <c r="AF76" s="75"/>
      <c r="AG76" s="75"/>
      <c r="AH76" s="75"/>
      <c r="AI76" s="75"/>
    </row>
    <row r="77" spans="1:35" ht="22.35" customHeight="1" thickBot="1" x14ac:dyDescent="0.3">
      <c r="A77" s="79"/>
      <c r="B77" s="80"/>
      <c r="F77" s="141"/>
      <c r="H77" s="99"/>
      <c r="I77" s="84"/>
      <c r="K77" s="86"/>
      <c r="L77" s="86"/>
      <c r="M77" s="86"/>
      <c r="O77" s="100"/>
      <c r="P77" s="143"/>
      <c r="Q77" s="90"/>
      <c r="R77" s="91"/>
      <c r="S77" s="144" t="s">
        <v>90</v>
      </c>
      <c r="T77" s="112" t="s">
        <v>43</v>
      </c>
      <c r="U77" s="106"/>
      <c r="V77" s="107">
        <v>7</v>
      </c>
      <c r="W77" s="108"/>
      <c r="X77" s="109"/>
      <c r="Y77" s="20">
        <f t="shared" si="3"/>
        <v>0</v>
      </c>
      <c r="AA77" s="98">
        <f t="shared" si="4"/>
        <v>0</v>
      </c>
      <c r="AB77" s="98">
        <f t="shared" si="5"/>
        <v>0</v>
      </c>
      <c r="AC77" s="110"/>
      <c r="AD77" s="77"/>
      <c r="AE77" s="77"/>
      <c r="AF77" s="75"/>
      <c r="AG77" s="75"/>
      <c r="AH77" s="75"/>
      <c r="AI77" s="75"/>
    </row>
    <row r="78" spans="1:35" ht="22.35" customHeight="1" thickBot="1" x14ac:dyDescent="0.3">
      <c r="A78" s="79"/>
      <c r="B78" s="80"/>
      <c r="F78" s="141"/>
      <c r="H78" s="99"/>
      <c r="I78" s="84"/>
      <c r="K78" s="86"/>
      <c r="L78" s="86"/>
      <c r="M78" s="86"/>
      <c r="O78" s="100"/>
      <c r="P78" s="143"/>
      <c r="Q78" s="90"/>
      <c r="R78" s="91"/>
      <c r="S78" s="144" t="s">
        <v>90</v>
      </c>
      <c r="T78" s="112" t="s">
        <v>43</v>
      </c>
      <c r="U78" s="106"/>
      <c r="V78" s="107">
        <v>7</v>
      </c>
      <c r="W78" s="108"/>
      <c r="X78" s="109"/>
      <c r="Y78" s="20">
        <f t="shared" si="3"/>
        <v>0</v>
      </c>
      <c r="AA78" s="98">
        <f t="shared" si="4"/>
        <v>0</v>
      </c>
      <c r="AB78" s="98">
        <f t="shared" si="5"/>
        <v>0</v>
      </c>
      <c r="AC78" s="110"/>
      <c r="AD78" s="77"/>
      <c r="AE78" s="77"/>
      <c r="AF78" s="75"/>
      <c r="AG78" s="75"/>
      <c r="AH78" s="75"/>
      <c r="AI78" s="75"/>
    </row>
    <row r="79" spans="1:35" ht="22.35" customHeight="1" thickBot="1" x14ac:dyDescent="0.3">
      <c r="A79" s="79"/>
      <c r="B79" s="80"/>
      <c r="F79" s="141"/>
      <c r="H79" s="99"/>
      <c r="I79" s="84"/>
      <c r="K79" s="86"/>
      <c r="L79" s="86"/>
      <c r="M79" s="86"/>
      <c r="O79" s="100"/>
      <c r="P79" s="143"/>
      <c r="Q79" s="90"/>
      <c r="R79" s="91"/>
      <c r="S79" s="144" t="s">
        <v>90</v>
      </c>
      <c r="T79" s="112" t="s">
        <v>43</v>
      </c>
      <c r="U79" s="106"/>
      <c r="V79" s="107">
        <v>7</v>
      </c>
      <c r="W79" s="108"/>
      <c r="X79" s="109"/>
      <c r="Y79" s="20">
        <f t="shared" si="3"/>
        <v>0</v>
      </c>
      <c r="AA79" s="98">
        <f t="shared" si="4"/>
        <v>0</v>
      </c>
      <c r="AB79" s="98">
        <f t="shared" si="5"/>
        <v>0</v>
      </c>
      <c r="AC79" s="110"/>
      <c r="AD79" s="77"/>
      <c r="AE79" s="77"/>
      <c r="AF79" s="75"/>
      <c r="AG79" s="75"/>
      <c r="AH79" s="75"/>
      <c r="AI79" s="75"/>
    </row>
    <row r="80" spans="1:35" ht="22.35" customHeight="1" thickBot="1" x14ac:dyDescent="0.3">
      <c r="A80" s="79"/>
      <c r="B80" s="80"/>
      <c r="F80" s="141"/>
      <c r="H80" s="99"/>
      <c r="I80" s="84"/>
      <c r="K80" s="86"/>
      <c r="L80" s="86"/>
      <c r="M80" s="86"/>
      <c r="O80" s="100"/>
      <c r="P80" s="143"/>
      <c r="Q80" s="90"/>
      <c r="R80" s="91"/>
      <c r="S80" s="144" t="s">
        <v>90</v>
      </c>
      <c r="T80" s="112" t="s">
        <v>43</v>
      </c>
      <c r="U80" s="106"/>
      <c r="V80" s="107">
        <v>7</v>
      </c>
      <c r="W80" s="108"/>
      <c r="X80" s="109"/>
      <c r="Y80" s="20">
        <f t="shared" si="3"/>
        <v>0</v>
      </c>
      <c r="AA80" s="98">
        <f t="shared" si="4"/>
        <v>0</v>
      </c>
      <c r="AB80" s="98">
        <f t="shared" si="5"/>
        <v>0</v>
      </c>
      <c r="AC80" s="110"/>
      <c r="AD80" s="77"/>
      <c r="AE80" s="77"/>
      <c r="AF80" s="75"/>
      <c r="AG80" s="75"/>
      <c r="AH80" s="75"/>
      <c r="AI80" s="75"/>
    </row>
    <row r="81" spans="1:35" ht="22.35" customHeight="1" thickBot="1" x14ac:dyDescent="0.3">
      <c r="A81" s="79"/>
      <c r="B81" s="80"/>
      <c r="D81" s="23" t="s">
        <v>95</v>
      </c>
      <c r="F81" s="141"/>
      <c r="H81" s="99"/>
      <c r="I81" s="84"/>
      <c r="K81" s="86"/>
      <c r="L81" s="86"/>
      <c r="M81" s="86"/>
      <c r="O81" s="100"/>
      <c r="P81" s="143"/>
      <c r="Q81" s="90"/>
      <c r="R81" s="91"/>
      <c r="S81" s="144" t="s">
        <v>90</v>
      </c>
      <c r="T81" s="112" t="s">
        <v>43</v>
      </c>
      <c r="U81" s="106"/>
      <c r="V81" s="107">
        <v>7</v>
      </c>
      <c r="W81" s="108"/>
      <c r="X81" s="109"/>
      <c r="Y81" s="20">
        <f t="shared" si="3"/>
        <v>0</v>
      </c>
      <c r="AA81" s="98">
        <f t="shared" si="4"/>
        <v>0</v>
      </c>
      <c r="AB81" s="98">
        <f t="shared" si="5"/>
        <v>0</v>
      </c>
      <c r="AC81" s="110"/>
      <c r="AD81" s="77"/>
      <c r="AE81" s="77"/>
      <c r="AF81" s="75"/>
      <c r="AG81" s="75"/>
      <c r="AH81" s="75"/>
      <c r="AI81" s="75"/>
    </row>
    <row r="82" spans="1:35" ht="22.35" customHeight="1" thickBot="1" x14ac:dyDescent="0.3">
      <c r="A82" s="79"/>
      <c r="B82" s="80"/>
      <c r="F82" s="141"/>
      <c r="H82" s="99"/>
      <c r="I82" s="84"/>
      <c r="K82" s="86"/>
      <c r="L82" s="86"/>
      <c r="M82" s="86"/>
      <c r="O82" s="100"/>
      <c r="P82" s="143"/>
      <c r="Q82" s="90"/>
      <c r="R82" s="91"/>
      <c r="S82" s="144" t="s">
        <v>90</v>
      </c>
      <c r="T82" s="112" t="s">
        <v>43</v>
      </c>
      <c r="U82" s="106"/>
      <c r="V82" s="107">
        <v>7</v>
      </c>
      <c r="W82" s="108"/>
      <c r="X82" s="109"/>
      <c r="Y82" s="20">
        <f t="shared" si="3"/>
        <v>0</v>
      </c>
      <c r="AA82" s="98">
        <f t="shared" si="4"/>
        <v>0</v>
      </c>
      <c r="AB82" s="98">
        <f t="shared" si="5"/>
        <v>0</v>
      </c>
      <c r="AC82" s="110"/>
      <c r="AD82" s="77"/>
      <c r="AE82" s="77"/>
      <c r="AF82" s="75"/>
      <c r="AG82" s="75"/>
      <c r="AH82" s="75"/>
      <c r="AI82" s="75"/>
    </row>
    <row r="83" spans="1:35" ht="22.35" customHeight="1" thickBot="1" x14ac:dyDescent="0.3">
      <c r="A83" s="79"/>
      <c r="B83" s="80"/>
      <c r="F83" s="141"/>
      <c r="H83" s="99"/>
      <c r="I83" s="84"/>
      <c r="K83" s="86"/>
      <c r="L83" s="86"/>
      <c r="M83" s="86"/>
      <c r="O83" s="100"/>
      <c r="P83" s="143"/>
      <c r="Q83" s="90"/>
      <c r="R83" s="91"/>
      <c r="S83" s="144" t="s">
        <v>90</v>
      </c>
      <c r="T83" s="112" t="s">
        <v>43</v>
      </c>
      <c r="U83" s="106"/>
      <c r="V83" s="107">
        <v>7</v>
      </c>
      <c r="W83" s="108"/>
      <c r="X83" s="109"/>
      <c r="Y83" s="20">
        <f t="shared" si="3"/>
        <v>0</v>
      </c>
      <c r="AA83" s="98">
        <f t="shared" si="4"/>
        <v>0</v>
      </c>
      <c r="AB83" s="98">
        <f t="shared" si="5"/>
        <v>0</v>
      </c>
      <c r="AC83" s="110"/>
      <c r="AD83" s="77"/>
      <c r="AE83" s="77"/>
      <c r="AF83" s="75"/>
      <c r="AG83" s="75"/>
      <c r="AH83" s="75"/>
      <c r="AI83" s="75"/>
    </row>
    <row r="84" spans="1:35" ht="22.35" customHeight="1" thickBot="1" x14ac:dyDescent="0.3">
      <c r="A84" s="79"/>
      <c r="B84" s="80"/>
      <c r="F84" s="141"/>
      <c r="H84" s="99"/>
      <c r="I84" s="84"/>
      <c r="K84" s="86"/>
      <c r="L84" s="86"/>
      <c r="M84" s="86"/>
      <c r="O84" s="100"/>
      <c r="P84" s="143"/>
      <c r="Q84" s="90"/>
      <c r="R84" s="91"/>
      <c r="S84" s="144" t="s">
        <v>90</v>
      </c>
      <c r="T84" s="112" t="s">
        <v>43</v>
      </c>
      <c r="U84" s="106"/>
      <c r="V84" s="107">
        <v>7</v>
      </c>
      <c r="W84" s="160"/>
      <c r="X84" s="161"/>
      <c r="Y84" s="20">
        <f t="shared" si="3"/>
        <v>0</v>
      </c>
      <c r="AA84" s="98">
        <f t="shared" si="4"/>
        <v>0</v>
      </c>
      <c r="AB84" s="98">
        <f t="shared" si="5"/>
        <v>0</v>
      </c>
      <c r="AC84" s="110"/>
      <c r="AD84" s="77"/>
      <c r="AE84" s="77"/>
      <c r="AF84" s="75"/>
      <c r="AG84" s="75"/>
      <c r="AH84" s="75"/>
      <c r="AI84" s="75"/>
    </row>
    <row r="85" spans="1:35" ht="22.35" customHeight="1" thickBot="1" x14ac:dyDescent="0.3">
      <c r="A85" s="79"/>
      <c r="B85" s="80"/>
      <c r="F85" s="141"/>
      <c r="H85" s="99"/>
      <c r="I85" s="84"/>
      <c r="K85" s="86"/>
      <c r="L85" s="86"/>
      <c r="M85" s="86"/>
      <c r="O85" s="100"/>
      <c r="P85" s="143"/>
      <c r="Q85" s="90"/>
      <c r="R85" s="91"/>
      <c r="S85" s="144" t="s">
        <v>90</v>
      </c>
      <c r="T85" s="112" t="s">
        <v>43</v>
      </c>
      <c r="U85" s="106"/>
      <c r="V85" s="107">
        <v>7</v>
      </c>
      <c r="W85" s="160"/>
      <c r="X85" s="161"/>
      <c r="Y85" s="20">
        <f t="shared" si="3"/>
        <v>0</v>
      </c>
      <c r="AA85" s="98">
        <f t="shared" si="4"/>
        <v>0</v>
      </c>
      <c r="AB85" s="98">
        <f t="shared" si="5"/>
        <v>0</v>
      </c>
      <c r="AC85" s="110"/>
      <c r="AD85" s="77"/>
      <c r="AE85" s="77"/>
      <c r="AF85" s="75"/>
      <c r="AG85" s="75"/>
      <c r="AH85" s="75"/>
      <c r="AI85" s="75"/>
    </row>
    <row r="86" spans="1:35" ht="22.35" customHeight="1" thickBot="1" x14ac:dyDescent="0.3">
      <c r="A86" s="148"/>
      <c r="B86" s="149"/>
      <c r="C86" s="150"/>
      <c r="D86" s="151"/>
      <c r="E86" s="151"/>
      <c r="F86" s="141"/>
      <c r="H86" s="99"/>
      <c r="I86" s="152"/>
      <c r="J86" s="153"/>
      <c r="K86" s="85"/>
      <c r="L86" s="85"/>
      <c r="M86" s="85"/>
      <c r="O86" s="100"/>
      <c r="P86" s="154"/>
      <c r="Q86" s="90"/>
      <c r="R86" s="91"/>
      <c r="S86" s="155" t="s">
        <v>90</v>
      </c>
      <c r="T86" s="124" t="s">
        <v>43</v>
      </c>
      <c r="U86" s="125"/>
      <c r="V86" s="156">
        <v>7</v>
      </c>
      <c r="W86" s="113"/>
      <c r="X86" s="114"/>
      <c r="Y86" s="20">
        <f t="shared" si="3"/>
        <v>0</v>
      </c>
      <c r="AA86" s="98">
        <f t="shared" si="4"/>
        <v>0</v>
      </c>
      <c r="AB86" s="98">
        <f t="shared" si="5"/>
        <v>0</v>
      </c>
      <c r="AC86" s="110"/>
      <c r="AD86" s="77"/>
      <c r="AE86" s="77"/>
      <c r="AF86" s="75"/>
      <c r="AG86" s="75"/>
      <c r="AH86" s="75"/>
      <c r="AI86" s="75"/>
    </row>
    <row r="87" spans="1:35" ht="22.35" customHeight="1" thickBot="1" x14ac:dyDescent="0.3">
      <c r="A87" s="157"/>
      <c r="B87" s="127"/>
      <c r="C87" s="128"/>
      <c r="D87" s="129"/>
      <c r="E87" s="129"/>
      <c r="F87" s="130"/>
      <c r="G87" s="132"/>
      <c r="H87" s="99"/>
      <c r="I87" s="158"/>
      <c r="J87" s="129"/>
      <c r="K87" s="159"/>
      <c r="L87" s="133"/>
      <c r="M87" s="133"/>
      <c r="N87" s="134"/>
      <c r="O87" s="135"/>
      <c r="P87" s="136"/>
      <c r="Q87" s="137"/>
      <c r="R87" s="138"/>
      <c r="S87" s="139" t="s">
        <v>90</v>
      </c>
      <c r="T87" s="140" t="s">
        <v>43</v>
      </c>
      <c r="U87" s="94"/>
      <c r="V87" s="95">
        <v>8</v>
      </c>
      <c r="W87" s="96"/>
      <c r="X87" s="97"/>
      <c r="Y87" s="20">
        <f t="shared" si="3"/>
        <v>0</v>
      </c>
      <c r="AA87" s="98">
        <f t="shared" si="4"/>
        <v>0</v>
      </c>
      <c r="AB87" s="98">
        <f t="shared" si="5"/>
        <v>0</v>
      </c>
      <c r="AC87" s="110"/>
      <c r="AD87" s="77"/>
      <c r="AE87" s="77"/>
      <c r="AF87" s="75"/>
      <c r="AG87" s="75"/>
      <c r="AH87" s="75"/>
      <c r="AI87" s="75"/>
    </row>
    <row r="88" spans="1:35" ht="22.35" customHeight="1" thickBot="1" x14ac:dyDescent="0.3">
      <c r="A88" s="79"/>
      <c r="B88" s="80"/>
      <c r="F88" s="141"/>
      <c r="H88" s="99"/>
      <c r="I88" s="84"/>
      <c r="K88" s="86"/>
      <c r="L88" s="86"/>
      <c r="M88" s="86"/>
      <c r="O88" s="100"/>
      <c r="P88" s="143"/>
      <c r="Q88" s="102"/>
      <c r="R88" s="103"/>
      <c r="S88" s="144" t="s">
        <v>90</v>
      </c>
      <c r="T88" s="112" t="s">
        <v>43</v>
      </c>
      <c r="U88" s="106"/>
      <c r="V88" s="107">
        <v>8</v>
      </c>
      <c r="W88" s="108"/>
      <c r="X88" s="109"/>
      <c r="Y88" s="20">
        <f t="shared" si="3"/>
        <v>0</v>
      </c>
      <c r="AA88" s="98">
        <f t="shared" si="4"/>
        <v>0</v>
      </c>
      <c r="AB88" s="98">
        <f t="shared" si="5"/>
        <v>0</v>
      </c>
      <c r="AC88" s="110"/>
      <c r="AD88" s="77"/>
      <c r="AE88" s="77"/>
      <c r="AF88" s="75"/>
      <c r="AG88" s="75"/>
      <c r="AH88" s="75"/>
      <c r="AI88" s="75"/>
    </row>
    <row r="89" spans="1:35" ht="22.35" customHeight="1" thickBot="1" x14ac:dyDescent="0.3">
      <c r="A89" s="79"/>
      <c r="B89" s="80"/>
      <c r="F89" s="141"/>
      <c r="H89" s="99"/>
      <c r="I89" s="84"/>
      <c r="K89" s="86"/>
      <c r="L89" s="86"/>
      <c r="M89" s="86"/>
      <c r="O89" s="100"/>
      <c r="P89" s="143"/>
      <c r="Q89" s="90"/>
      <c r="R89" s="91"/>
      <c r="S89" s="144" t="s">
        <v>90</v>
      </c>
      <c r="T89" s="112" t="s">
        <v>43</v>
      </c>
      <c r="U89" s="106"/>
      <c r="V89" s="107">
        <v>8</v>
      </c>
      <c r="W89" s="108"/>
      <c r="X89" s="109"/>
      <c r="Y89" s="20">
        <f t="shared" si="3"/>
        <v>0</v>
      </c>
      <c r="AA89" s="98">
        <f t="shared" si="4"/>
        <v>0</v>
      </c>
      <c r="AB89" s="98">
        <f t="shared" si="5"/>
        <v>0</v>
      </c>
      <c r="AC89" s="110"/>
      <c r="AD89" s="77"/>
      <c r="AE89" s="77"/>
      <c r="AF89" s="75"/>
      <c r="AG89" s="75"/>
      <c r="AH89" s="75"/>
      <c r="AI89" s="75"/>
    </row>
    <row r="90" spans="1:35" ht="22.35" customHeight="1" thickBot="1" x14ac:dyDescent="0.3">
      <c r="A90" s="79"/>
      <c r="B90" s="80"/>
      <c r="F90" s="141"/>
      <c r="H90" s="99"/>
      <c r="I90" s="84"/>
      <c r="K90" s="86"/>
      <c r="L90" s="86"/>
      <c r="M90" s="86"/>
      <c r="O90" s="100"/>
      <c r="P90" s="143"/>
      <c r="Q90" s="90"/>
      <c r="R90" s="91"/>
      <c r="S90" s="144" t="s">
        <v>90</v>
      </c>
      <c r="T90" s="112" t="s">
        <v>43</v>
      </c>
      <c r="U90" s="106"/>
      <c r="V90" s="107">
        <v>8</v>
      </c>
      <c r="W90" s="108"/>
      <c r="X90" s="109"/>
      <c r="Y90" s="20">
        <f t="shared" si="3"/>
        <v>0</v>
      </c>
      <c r="AA90" s="98">
        <f t="shared" si="4"/>
        <v>0</v>
      </c>
      <c r="AB90" s="98">
        <f t="shared" si="5"/>
        <v>0</v>
      </c>
      <c r="AC90" s="110"/>
      <c r="AD90" s="77"/>
      <c r="AE90" s="77"/>
      <c r="AF90" s="75"/>
      <c r="AG90" s="75"/>
      <c r="AH90" s="75"/>
      <c r="AI90" s="75"/>
    </row>
    <row r="91" spans="1:35" ht="22.35" customHeight="1" thickBot="1" x14ac:dyDescent="0.3">
      <c r="A91" s="79"/>
      <c r="B91" s="80"/>
      <c r="F91" s="141"/>
      <c r="H91" s="99"/>
      <c r="I91" s="84"/>
      <c r="K91" s="86"/>
      <c r="L91" s="86"/>
      <c r="M91" s="86"/>
      <c r="O91" s="100"/>
      <c r="P91" s="143"/>
      <c r="Q91" s="90"/>
      <c r="R91" s="91"/>
      <c r="S91" s="144" t="s">
        <v>90</v>
      </c>
      <c r="T91" s="112" t="s">
        <v>43</v>
      </c>
      <c r="U91" s="106"/>
      <c r="V91" s="107">
        <v>8</v>
      </c>
      <c r="W91" s="108"/>
      <c r="X91" s="109"/>
      <c r="Y91" s="20">
        <f t="shared" si="3"/>
        <v>0</v>
      </c>
      <c r="AA91" s="98">
        <f t="shared" si="4"/>
        <v>0</v>
      </c>
      <c r="AB91" s="98">
        <f t="shared" si="5"/>
        <v>0</v>
      </c>
      <c r="AC91" s="110"/>
      <c r="AD91" s="77"/>
      <c r="AE91" s="77"/>
      <c r="AF91" s="75"/>
      <c r="AG91" s="75"/>
      <c r="AH91" s="75"/>
      <c r="AI91" s="75"/>
    </row>
    <row r="92" spans="1:35" ht="22.35" customHeight="1" thickBot="1" x14ac:dyDescent="0.3">
      <c r="A92" s="79"/>
      <c r="B92" s="80"/>
      <c r="F92" s="141"/>
      <c r="H92" s="99"/>
      <c r="I92" s="84"/>
      <c r="K92" s="86"/>
      <c r="L92" s="86"/>
      <c r="M92" s="86"/>
      <c r="O92" s="100"/>
      <c r="P92" s="143"/>
      <c r="Q92" s="90"/>
      <c r="R92" s="91"/>
      <c r="S92" s="144" t="s">
        <v>90</v>
      </c>
      <c r="T92" s="112" t="s">
        <v>43</v>
      </c>
      <c r="U92" s="106"/>
      <c r="V92" s="107">
        <v>8</v>
      </c>
      <c r="W92" s="108"/>
      <c r="X92" s="109"/>
      <c r="Y92" s="20">
        <f t="shared" si="3"/>
        <v>0</v>
      </c>
      <c r="AA92" s="98">
        <f t="shared" si="4"/>
        <v>0</v>
      </c>
      <c r="AB92" s="98">
        <f t="shared" si="5"/>
        <v>0</v>
      </c>
      <c r="AC92" s="110"/>
      <c r="AD92" s="77"/>
      <c r="AE92" s="77"/>
      <c r="AF92" s="75"/>
      <c r="AG92" s="75"/>
      <c r="AH92" s="75"/>
      <c r="AI92" s="75"/>
    </row>
    <row r="93" spans="1:35" ht="22.35" customHeight="1" thickBot="1" x14ac:dyDescent="0.3">
      <c r="A93" s="79"/>
      <c r="B93" s="80"/>
      <c r="D93" s="23" t="s">
        <v>96</v>
      </c>
      <c r="F93" s="141"/>
      <c r="H93" s="99"/>
      <c r="I93" s="84"/>
      <c r="K93" s="86"/>
      <c r="L93" s="86"/>
      <c r="M93" s="86"/>
      <c r="O93" s="100"/>
      <c r="P93" s="143"/>
      <c r="Q93" s="90"/>
      <c r="R93" s="91"/>
      <c r="S93" s="144" t="s">
        <v>90</v>
      </c>
      <c r="T93" s="112" t="s">
        <v>43</v>
      </c>
      <c r="U93" s="106"/>
      <c r="V93" s="107">
        <v>8</v>
      </c>
      <c r="W93" s="108"/>
      <c r="X93" s="109"/>
      <c r="Y93" s="20">
        <f t="shared" si="3"/>
        <v>0</v>
      </c>
      <c r="AA93" s="98">
        <f t="shared" si="4"/>
        <v>0</v>
      </c>
      <c r="AB93" s="98">
        <f t="shared" si="5"/>
        <v>0</v>
      </c>
      <c r="AC93" s="110"/>
      <c r="AD93" s="77"/>
      <c r="AE93" s="77"/>
      <c r="AF93" s="75"/>
      <c r="AG93" s="75"/>
      <c r="AH93" s="75"/>
      <c r="AI93" s="75"/>
    </row>
    <row r="94" spans="1:35" ht="22.35" customHeight="1" thickBot="1" x14ac:dyDescent="0.3">
      <c r="A94" s="79"/>
      <c r="B94" s="80"/>
      <c r="F94" s="141"/>
      <c r="H94" s="99"/>
      <c r="I94" s="84"/>
      <c r="K94" s="86"/>
      <c r="L94" s="86"/>
      <c r="M94" s="86"/>
      <c r="O94" s="100"/>
      <c r="P94" s="143"/>
      <c r="Q94" s="90"/>
      <c r="R94" s="91"/>
      <c r="S94" s="144" t="s">
        <v>90</v>
      </c>
      <c r="T94" s="112" t="s">
        <v>43</v>
      </c>
      <c r="U94" s="106"/>
      <c r="V94" s="107">
        <v>8</v>
      </c>
      <c r="W94" s="108"/>
      <c r="X94" s="109"/>
      <c r="Y94" s="20">
        <f t="shared" si="3"/>
        <v>0</v>
      </c>
      <c r="AA94" s="98">
        <f t="shared" si="4"/>
        <v>0</v>
      </c>
      <c r="AB94" s="98">
        <f t="shared" si="5"/>
        <v>0</v>
      </c>
      <c r="AC94" s="110"/>
      <c r="AD94" s="77"/>
      <c r="AE94" s="77"/>
      <c r="AF94" s="75"/>
      <c r="AG94" s="75"/>
      <c r="AH94" s="75"/>
      <c r="AI94" s="75"/>
    </row>
    <row r="95" spans="1:35" ht="22.35" customHeight="1" thickBot="1" x14ac:dyDescent="0.3">
      <c r="A95" s="79"/>
      <c r="B95" s="80"/>
      <c r="F95" s="141"/>
      <c r="H95" s="99"/>
      <c r="I95" s="84"/>
      <c r="K95" s="86"/>
      <c r="L95" s="86"/>
      <c r="M95" s="86"/>
      <c r="O95" s="100"/>
      <c r="P95" s="143"/>
      <c r="Q95" s="90"/>
      <c r="R95" s="91"/>
      <c r="S95" s="144" t="s">
        <v>90</v>
      </c>
      <c r="T95" s="112" t="s">
        <v>43</v>
      </c>
      <c r="U95" s="106"/>
      <c r="V95" s="107">
        <v>8</v>
      </c>
      <c r="W95" s="108"/>
      <c r="X95" s="109"/>
      <c r="Y95" s="20">
        <f t="shared" si="3"/>
        <v>0</v>
      </c>
      <c r="AA95" s="98">
        <f t="shared" si="4"/>
        <v>0</v>
      </c>
      <c r="AB95" s="98">
        <f t="shared" si="5"/>
        <v>0</v>
      </c>
      <c r="AC95" s="110"/>
      <c r="AD95" s="77"/>
      <c r="AE95" s="77"/>
      <c r="AF95" s="75"/>
      <c r="AG95" s="75"/>
      <c r="AH95" s="75"/>
      <c r="AI95" s="75"/>
    </row>
    <row r="96" spans="1:35" ht="22.35" customHeight="1" thickBot="1" x14ac:dyDescent="0.3">
      <c r="A96" s="79"/>
      <c r="B96" s="80"/>
      <c r="F96" s="141"/>
      <c r="H96" s="99"/>
      <c r="I96" s="84"/>
      <c r="K96" s="86"/>
      <c r="L96" s="86"/>
      <c r="M96" s="86"/>
      <c r="O96" s="100"/>
      <c r="P96" s="143"/>
      <c r="Q96" s="90"/>
      <c r="R96" s="91"/>
      <c r="S96" s="144" t="s">
        <v>90</v>
      </c>
      <c r="T96" s="112" t="s">
        <v>43</v>
      </c>
      <c r="U96" s="106"/>
      <c r="V96" s="107">
        <v>8</v>
      </c>
      <c r="W96" s="160"/>
      <c r="X96" s="161"/>
      <c r="Y96" s="20">
        <f t="shared" si="3"/>
        <v>0</v>
      </c>
      <c r="AA96" s="98">
        <f t="shared" si="4"/>
        <v>0</v>
      </c>
      <c r="AB96" s="98">
        <f t="shared" si="5"/>
        <v>0</v>
      </c>
      <c r="AC96" s="110"/>
      <c r="AD96" s="77"/>
      <c r="AE96" s="77"/>
      <c r="AF96" s="75"/>
      <c r="AG96" s="75"/>
      <c r="AH96" s="75"/>
      <c r="AI96" s="75"/>
    </row>
    <row r="97" spans="1:35" ht="22.35" customHeight="1" thickBot="1" x14ac:dyDescent="0.3">
      <c r="A97" s="79"/>
      <c r="B97" s="80"/>
      <c r="F97" s="141"/>
      <c r="H97" s="99"/>
      <c r="I97" s="84"/>
      <c r="K97" s="86"/>
      <c r="L97" s="86"/>
      <c r="M97" s="86"/>
      <c r="O97" s="100"/>
      <c r="P97" s="143"/>
      <c r="Q97" s="90"/>
      <c r="R97" s="91"/>
      <c r="S97" s="144" t="s">
        <v>90</v>
      </c>
      <c r="T97" s="112" t="s">
        <v>43</v>
      </c>
      <c r="U97" s="106"/>
      <c r="V97" s="107">
        <v>8</v>
      </c>
      <c r="W97" s="160"/>
      <c r="X97" s="161"/>
      <c r="Y97" s="20">
        <f t="shared" si="3"/>
        <v>0</v>
      </c>
      <c r="AA97" s="98">
        <f t="shared" si="4"/>
        <v>0</v>
      </c>
      <c r="AB97" s="98">
        <f t="shared" si="5"/>
        <v>0</v>
      </c>
      <c r="AC97" s="110"/>
      <c r="AD97" s="77"/>
      <c r="AE97" s="77"/>
      <c r="AF97" s="75"/>
      <c r="AG97" s="75"/>
      <c r="AH97" s="75"/>
      <c r="AI97" s="75"/>
    </row>
    <row r="98" spans="1:35" ht="22.35" customHeight="1" thickBot="1" x14ac:dyDescent="0.3">
      <c r="A98" s="148"/>
      <c r="B98" s="149"/>
      <c r="C98" s="150"/>
      <c r="D98" s="151"/>
      <c r="E98" s="151"/>
      <c r="F98" s="141"/>
      <c r="H98" s="99"/>
      <c r="I98" s="152"/>
      <c r="J98" s="153"/>
      <c r="K98" s="85"/>
      <c r="L98" s="85"/>
      <c r="M98" s="85"/>
      <c r="O98" s="100"/>
      <c r="P98" s="154"/>
      <c r="Q98" s="90"/>
      <c r="R98" s="91"/>
      <c r="S98" s="155" t="s">
        <v>90</v>
      </c>
      <c r="T98" s="124" t="s">
        <v>43</v>
      </c>
      <c r="U98" s="125"/>
      <c r="V98" s="156">
        <v>8</v>
      </c>
      <c r="W98" s="113"/>
      <c r="X98" s="114"/>
      <c r="Y98" s="20">
        <f t="shared" si="3"/>
        <v>0</v>
      </c>
      <c r="AA98" s="98">
        <f t="shared" si="4"/>
        <v>0</v>
      </c>
      <c r="AB98" s="98">
        <f t="shared" si="5"/>
        <v>0</v>
      </c>
      <c r="AC98" s="110"/>
      <c r="AD98" s="77"/>
      <c r="AE98" s="77"/>
      <c r="AF98" s="75"/>
      <c r="AG98" s="75"/>
      <c r="AH98" s="75"/>
      <c r="AI98" s="75"/>
    </row>
    <row r="99" spans="1:35" ht="22.35" customHeight="1" thickBot="1" x14ac:dyDescent="0.3">
      <c r="A99" s="157"/>
      <c r="B99" s="127"/>
      <c r="C99" s="128"/>
      <c r="D99" s="129"/>
      <c r="E99" s="129"/>
      <c r="F99" s="130"/>
      <c r="G99" s="132"/>
      <c r="H99" s="99"/>
      <c r="I99" s="158"/>
      <c r="J99" s="129"/>
      <c r="K99" s="159"/>
      <c r="L99" s="133"/>
      <c r="M99" s="133"/>
      <c r="N99" s="134"/>
      <c r="O99" s="135"/>
      <c r="P99" s="136"/>
      <c r="Q99" s="137"/>
      <c r="R99" s="138"/>
      <c r="S99" s="139" t="s">
        <v>90</v>
      </c>
      <c r="T99" s="140" t="s">
        <v>43</v>
      </c>
      <c r="U99" s="94"/>
      <c r="V99" s="95">
        <v>9</v>
      </c>
      <c r="W99" s="96"/>
      <c r="X99" s="97"/>
      <c r="Y99" s="20">
        <f t="shared" si="3"/>
        <v>0</v>
      </c>
      <c r="AA99" s="98">
        <f t="shared" si="4"/>
        <v>0</v>
      </c>
      <c r="AB99" s="98">
        <f t="shared" si="5"/>
        <v>0</v>
      </c>
      <c r="AC99" s="110"/>
      <c r="AD99" s="77"/>
      <c r="AE99" s="77"/>
      <c r="AF99" s="75"/>
      <c r="AG99" s="75"/>
      <c r="AH99" s="75"/>
      <c r="AI99" s="75"/>
    </row>
    <row r="100" spans="1:35" ht="22.35" customHeight="1" thickBot="1" x14ac:dyDescent="0.3">
      <c r="A100" s="79"/>
      <c r="B100" s="80"/>
      <c r="F100" s="141"/>
      <c r="H100" s="99"/>
      <c r="I100" s="84"/>
      <c r="K100" s="86"/>
      <c r="L100" s="86"/>
      <c r="M100" s="86"/>
      <c r="O100" s="100"/>
      <c r="P100" s="143"/>
      <c r="Q100" s="102"/>
      <c r="R100" s="103"/>
      <c r="S100" s="144" t="s">
        <v>90</v>
      </c>
      <c r="T100" s="112" t="s">
        <v>43</v>
      </c>
      <c r="U100" s="106"/>
      <c r="V100" s="107">
        <v>9</v>
      </c>
      <c r="W100" s="108"/>
      <c r="X100" s="109"/>
      <c r="Y100" s="20">
        <f t="shared" si="3"/>
        <v>0</v>
      </c>
      <c r="AA100" s="98">
        <f t="shared" si="4"/>
        <v>0</v>
      </c>
      <c r="AB100" s="98">
        <f t="shared" si="5"/>
        <v>0</v>
      </c>
      <c r="AC100" s="110"/>
      <c r="AD100" s="77"/>
      <c r="AE100" s="77"/>
      <c r="AF100" s="75"/>
      <c r="AG100" s="75"/>
      <c r="AH100" s="75"/>
      <c r="AI100" s="75"/>
    </row>
    <row r="101" spans="1:35" ht="22.35" customHeight="1" thickBot="1" x14ac:dyDescent="0.3">
      <c r="A101" s="79"/>
      <c r="B101" s="80"/>
      <c r="F101" s="141"/>
      <c r="H101" s="99"/>
      <c r="I101" s="84"/>
      <c r="K101" s="86"/>
      <c r="L101" s="86"/>
      <c r="M101" s="86"/>
      <c r="O101" s="100"/>
      <c r="P101" s="143"/>
      <c r="Q101" s="90"/>
      <c r="R101" s="91"/>
      <c r="S101" s="144" t="s">
        <v>90</v>
      </c>
      <c r="T101" s="112" t="s">
        <v>43</v>
      </c>
      <c r="U101" s="106"/>
      <c r="V101" s="107">
        <v>9</v>
      </c>
      <c r="W101" s="108"/>
      <c r="X101" s="109"/>
      <c r="Y101" s="20">
        <f t="shared" si="3"/>
        <v>0</v>
      </c>
      <c r="AA101" s="98">
        <f t="shared" si="4"/>
        <v>0</v>
      </c>
      <c r="AB101" s="98">
        <f t="shared" si="5"/>
        <v>0</v>
      </c>
      <c r="AC101" s="110"/>
      <c r="AD101" s="77"/>
      <c r="AE101" s="77"/>
      <c r="AF101" s="75"/>
      <c r="AG101" s="75"/>
      <c r="AH101" s="75"/>
      <c r="AI101" s="75"/>
    </row>
    <row r="102" spans="1:35" ht="22.35" customHeight="1" thickBot="1" x14ac:dyDescent="0.3">
      <c r="A102" s="79"/>
      <c r="B102" s="80"/>
      <c r="F102" s="141"/>
      <c r="H102" s="99"/>
      <c r="I102" s="84"/>
      <c r="K102" s="86"/>
      <c r="L102" s="86"/>
      <c r="M102" s="86"/>
      <c r="O102" s="100"/>
      <c r="P102" s="143"/>
      <c r="Q102" s="90"/>
      <c r="R102" s="91"/>
      <c r="S102" s="144" t="s">
        <v>90</v>
      </c>
      <c r="T102" s="112" t="s">
        <v>43</v>
      </c>
      <c r="U102" s="106"/>
      <c r="V102" s="107">
        <v>9</v>
      </c>
      <c r="W102" s="108"/>
      <c r="X102" s="109"/>
      <c r="Y102" s="20">
        <f t="shared" si="3"/>
        <v>0</v>
      </c>
      <c r="AA102" s="98">
        <f t="shared" si="4"/>
        <v>0</v>
      </c>
      <c r="AB102" s="98">
        <f t="shared" si="5"/>
        <v>0</v>
      </c>
      <c r="AC102" s="110"/>
      <c r="AD102" s="77"/>
      <c r="AE102" s="77"/>
      <c r="AF102" s="75"/>
      <c r="AG102" s="75"/>
      <c r="AH102" s="75"/>
      <c r="AI102" s="75"/>
    </row>
    <row r="103" spans="1:35" ht="22.35" customHeight="1" thickBot="1" x14ac:dyDescent="0.3">
      <c r="A103" s="79"/>
      <c r="B103" s="80"/>
      <c r="F103" s="141"/>
      <c r="H103" s="99"/>
      <c r="I103" s="84"/>
      <c r="K103" s="86"/>
      <c r="L103" s="86"/>
      <c r="M103" s="86"/>
      <c r="O103" s="100"/>
      <c r="P103" s="143"/>
      <c r="Q103" s="90"/>
      <c r="R103" s="91"/>
      <c r="S103" s="144" t="s">
        <v>90</v>
      </c>
      <c r="T103" s="112" t="s">
        <v>43</v>
      </c>
      <c r="U103" s="106"/>
      <c r="V103" s="107">
        <v>9</v>
      </c>
      <c r="W103" s="108"/>
      <c r="X103" s="109"/>
      <c r="Y103" s="20">
        <f t="shared" si="3"/>
        <v>0</v>
      </c>
      <c r="AA103" s="98">
        <f t="shared" si="4"/>
        <v>0</v>
      </c>
      <c r="AB103" s="98">
        <f t="shared" si="5"/>
        <v>0</v>
      </c>
      <c r="AC103" s="110"/>
      <c r="AD103" s="77"/>
      <c r="AE103" s="77"/>
      <c r="AF103" s="75"/>
      <c r="AG103" s="75"/>
      <c r="AH103" s="75"/>
      <c r="AI103" s="75"/>
    </row>
    <row r="104" spans="1:35" ht="22.35" customHeight="1" thickBot="1" x14ac:dyDescent="0.3">
      <c r="A104" s="79"/>
      <c r="B104" s="80"/>
      <c r="D104" s="23" t="s">
        <v>97</v>
      </c>
      <c r="F104" s="141"/>
      <c r="H104" s="99"/>
      <c r="I104" s="84"/>
      <c r="K104" s="86"/>
      <c r="L104" s="86"/>
      <c r="M104" s="86"/>
      <c r="O104" s="100"/>
      <c r="P104" s="143"/>
      <c r="Q104" s="90"/>
      <c r="R104" s="91"/>
      <c r="S104" s="144" t="s">
        <v>90</v>
      </c>
      <c r="T104" s="112" t="s">
        <v>43</v>
      </c>
      <c r="U104" s="106"/>
      <c r="V104" s="107">
        <v>9</v>
      </c>
      <c r="W104" s="108"/>
      <c r="X104" s="109"/>
      <c r="Y104" s="20">
        <f t="shared" si="3"/>
        <v>0</v>
      </c>
      <c r="AA104" s="98">
        <f t="shared" si="4"/>
        <v>0</v>
      </c>
      <c r="AB104" s="98">
        <f t="shared" si="5"/>
        <v>0</v>
      </c>
      <c r="AC104" s="110"/>
      <c r="AD104" s="77"/>
      <c r="AE104" s="77"/>
      <c r="AF104" s="75"/>
      <c r="AG104" s="75"/>
      <c r="AH104" s="75"/>
      <c r="AI104" s="75"/>
    </row>
    <row r="105" spans="1:35" ht="22.35" customHeight="1" thickBot="1" x14ac:dyDescent="0.3">
      <c r="A105" s="79"/>
      <c r="B105" s="80"/>
      <c r="F105" s="141"/>
      <c r="H105" s="99"/>
      <c r="I105" s="84"/>
      <c r="K105" s="86"/>
      <c r="L105" s="86"/>
      <c r="M105" s="86"/>
      <c r="O105" s="100"/>
      <c r="P105" s="143"/>
      <c r="Q105" s="90"/>
      <c r="R105" s="91"/>
      <c r="S105" s="144" t="s">
        <v>90</v>
      </c>
      <c r="T105" s="112" t="s">
        <v>43</v>
      </c>
      <c r="U105" s="106"/>
      <c r="V105" s="107">
        <v>9</v>
      </c>
      <c r="W105" s="108"/>
      <c r="X105" s="109"/>
      <c r="Y105" s="20">
        <f t="shared" si="3"/>
        <v>0</v>
      </c>
      <c r="AA105" s="98">
        <f t="shared" si="4"/>
        <v>0</v>
      </c>
      <c r="AB105" s="98">
        <f t="shared" si="5"/>
        <v>0</v>
      </c>
      <c r="AC105" s="110"/>
      <c r="AD105" s="77"/>
      <c r="AE105" s="77"/>
      <c r="AF105" s="75"/>
      <c r="AG105" s="75"/>
      <c r="AH105" s="75"/>
      <c r="AI105" s="75"/>
    </row>
    <row r="106" spans="1:35" ht="22.35" customHeight="1" thickBot="1" x14ac:dyDescent="0.3">
      <c r="A106" s="79"/>
      <c r="B106" s="80"/>
      <c r="F106" s="141"/>
      <c r="H106" s="99"/>
      <c r="I106" s="84"/>
      <c r="K106" s="86"/>
      <c r="L106" s="86"/>
      <c r="M106" s="86"/>
      <c r="O106" s="100"/>
      <c r="P106" s="143"/>
      <c r="Q106" s="90"/>
      <c r="R106" s="91"/>
      <c r="S106" s="144" t="s">
        <v>90</v>
      </c>
      <c r="T106" s="112" t="s">
        <v>43</v>
      </c>
      <c r="U106" s="106"/>
      <c r="V106" s="107">
        <v>9</v>
      </c>
      <c r="W106" s="108"/>
      <c r="X106" s="109"/>
      <c r="Y106" s="20">
        <f t="shared" si="3"/>
        <v>0</v>
      </c>
      <c r="AA106" s="98">
        <f t="shared" si="4"/>
        <v>0</v>
      </c>
      <c r="AB106" s="98">
        <f t="shared" si="5"/>
        <v>0</v>
      </c>
      <c r="AC106" s="110"/>
      <c r="AD106" s="77"/>
      <c r="AE106" s="77"/>
      <c r="AF106" s="75"/>
      <c r="AG106" s="75"/>
      <c r="AH106" s="75"/>
      <c r="AI106" s="75"/>
    </row>
    <row r="107" spans="1:35" ht="22.35" customHeight="1" thickBot="1" x14ac:dyDescent="0.3">
      <c r="A107" s="79"/>
      <c r="B107" s="80"/>
      <c r="F107" s="141"/>
      <c r="H107" s="99"/>
      <c r="I107" s="84"/>
      <c r="K107" s="86"/>
      <c r="L107" s="86"/>
      <c r="M107" s="86"/>
      <c r="O107" s="100"/>
      <c r="P107" s="143"/>
      <c r="Q107" s="90"/>
      <c r="R107" s="91"/>
      <c r="S107" s="144" t="s">
        <v>90</v>
      </c>
      <c r="T107" s="112" t="s">
        <v>43</v>
      </c>
      <c r="U107" s="106"/>
      <c r="V107" s="107">
        <v>9</v>
      </c>
      <c r="W107" s="108"/>
      <c r="X107" s="109"/>
      <c r="Y107" s="20">
        <f t="shared" si="3"/>
        <v>0</v>
      </c>
      <c r="AA107" s="98">
        <f t="shared" si="4"/>
        <v>0</v>
      </c>
      <c r="AB107" s="98">
        <f t="shared" si="5"/>
        <v>0</v>
      </c>
      <c r="AC107" s="110"/>
      <c r="AD107" s="77"/>
      <c r="AE107" s="77"/>
      <c r="AF107" s="75"/>
      <c r="AG107" s="75"/>
      <c r="AH107" s="75"/>
      <c r="AI107" s="75"/>
    </row>
    <row r="108" spans="1:35" ht="22.35" customHeight="1" thickBot="1" x14ac:dyDescent="0.3">
      <c r="A108" s="79"/>
      <c r="B108" s="80"/>
      <c r="F108" s="141"/>
      <c r="H108" s="99"/>
      <c r="I108" s="84"/>
      <c r="K108" s="86"/>
      <c r="L108" s="86"/>
      <c r="M108" s="86"/>
      <c r="O108" s="100"/>
      <c r="P108" s="143"/>
      <c r="Q108" s="90"/>
      <c r="R108" s="91"/>
      <c r="S108" s="144" t="s">
        <v>90</v>
      </c>
      <c r="T108" s="112" t="s">
        <v>43</v>
      </c>
      <c r="U108" s="106"/>
      <c r="V108" s="107">
        <v>9</v>
      </c>
      <c r="W108" s="160"/>
      <c r="X108" s="161"/>
      <c r="Y108" s="20">
        <f t="shared" si="3"/>
        <v>0</v>
      </c>
      <c r="AA108" s="98">
        <f t="shared" si="4"/>
        <v>0</v>
      </c>
      <c r="AB108" s="98">
        <f t="shared" si="5"/>
        <v>0</v>
      </c>
      <c r="AC108" s="110"/>
      <c r="AD108" s="77"/>
      <c r="AE108" s="77"/>
      <c r="AF108" s="75"/>
      <c r="AG108" s="75"/>
      <c r="AH108" s="75"/>
      <c r="AI108" s="75"/>
    </row>
    <row r="109" spans="1:35" ht="22.35" customHeight="1" thickBot="1" x14ac:dyDescent="0.3">
      <c r="A109" s="80"/>
      <c r="B109" s="80"/>
      <c r="F109" s="141"/>
      <c r="H109" s="99"/>
      <c r="I109" s="84"/>
      <c r="K109" s="86"/>
      <c r="L109" s="86"/>
      <c r="M109" s="86"/>
      <c r="O109" s="100"/>
      <c r="P109" s="143"/>
      <c r="Q109" s="90"/>
      <c r="R109" s="91"/>
      <c r="S109" s="144" t="s">
        <v>90</v>
      </c>
      <c r="T109" s="112" t="s">
        <v>43</v>
      </c>
      <c r="U109" s="106"/>
      <c r="V109" s="107">
        <v>9</v>
      </c>
      <c r="W109" s="160"/>
      <c r="X109" s="161"/>
      <c r="Y109" s="20">
        <f t="shared" si="3"/>
        <v>0</v>
      </c>
      <c r="AA109" s="98">
        <f t="shared" si="4"/>
        <v>0</v>
      </c>
      <c r="AB109" s="98">
        <f t="shared" si="5"/>
        <v>0</v>
      </c>
      <c r="AC109" s="110"/>
      <c r="AD109" s="77"/>
      <c r="AE109" s="77"/>
      <c r="AF109" s="75"/>
      <c r="AG109" s="75"/>
      <c r="AH109" s="75"/>
      <c r="AI109" s="75"/>
    </row>
    <row r="110" spans="1:35" ht="22.35" customHeight="1" thickBot="1" x14ac:dyDescent="0.3">
      <c r="A110" s="149"/>
      <c r="B110" s="149"/>
      <c r="C110" s="150"/>
      <c r="D110" s="151"/>
      <c r="E110" s="151"/>
      <c r="F110" s="141"/>
      <c r="H110" s="162"/>
      <c r="I110" s="152"/>
      <c r="J110" s="153"/>
      <c r="K110" s="85"/>
      <c r="L110" s="85"/>
      <c r="M110" s="85"/>
      <c r="O110" s="100"/>
      <c r="P110" s="154"/>
      <c r="Q110" s="90"/>
      <c r="R110" s="91"/>
      <c r="S110" s="144" t="s">
        <v>90</v>
      </c>
      <c r="T110" s="112" t="s">
        <v>43</v>
      </c>
      <c r="U110" s="106"/>
      <c r="V110" s="107">
        <v>9</v>
      </c>
      <c r="W110" s="113"/>
      <c r="X110" s="114"/>
      <c r="Y110" s="20">
        <f t="shared" si="3"/>
        <v>0</v>
      </c>
      <c r="AA110" s="98">
        <f t="shared" si="4"/>
        <v>0</v>
      </c>
      <c r="AB110" s="98">
        <f t="shared" si="5"/>
        <v>0</v>
      </c>
      <c r="AC110" s="110"/>
      <c r="AD110" s="77"/>
      <c r="AE110" s="77"/>
      <c r="AF110" s="75"/>
      <c r="AG110" s="75"/>
      <c r="AH110" s="75"/>
      <c r="AI110" s="75"/>
    </row>
    <row r="111" spans="1:35" ht="22.35" customHeight="1" thickTop="1" thickBot="1" x14ac:dyDescent="0.3">
      <c r="A111" s="163"/>
      <c r="B111" s="163"/>
      <c r="C111" s="164"/>
      <c r="D111" s="165"/>
      <c r="E111" s="165"/>
      <c r="F111" s="166"/>
      <c r="G111" s="167"/>
      <c r="H111" s="168"/>
      <c r="I111" s="167"/>
      <c r="J111" s="165"/>
      <c r="K111" s="169"/>
      <c r="L111" s="167"/>
      <c r="M111" s="169"/>
      <c r="N111" s="170"/>
      <c r="O111" s="170"/>
      <c r="P111" s="170"/>
      <c r="Q111" s="170"/>
      <c r="R111" s="171"/>
      <c r="S111" s="172"/>
      <c r="T111" s="167"/>
      <c r="U111" s="167"/>
      <c r="V111" s="173"/>
      <c r="W111" s="167"/>
      <c r="X111" s="174"/>
      <c r="Y111" s="20">
        <f t="shared" si="3"/>
        <v>0</v>
      </c>
      <c r="AA111" s="98">
        <f t="shared" si="4"/>
        <v>0</v>
      </c>
      <c r="AB111" s="98">
        <f t="shared" si="5"/>
        <v>0</v>
      </c>
    </row>
    <row r="112" spans="1:35" ht="22.35" customHeight="1" thickTop="1" thickBot="1" x14ac:dyDescent="0.3">
      <c r="A112" s="175"/>
      <c r="B112" s="175"/>
      <c r="C112" s="176"/>
      <c r="D112" s="177" t="s">
        <v>98</v>
      </c>
      <c r="E112" s="178"/>
      <c r="F112" s="179"/>
      <c r="G112" s="180"/>
      <c r="H112" s="181"/>
      <c r="I112" s="180"/>
      <c r="J112" s="178"/>
      <c r="K112" s="182"/>
      <c r="L112" s="182"/>
      <c r="M112" s="182"/>
      <c r="N112" s="183"/>
      <c r="O112" s="184"/>
      <c r="P112" s="184"/>
      <c r="Q112" s="184"/>
      <c r="R112" s="185"/>
      <c r="S112" s="186"/>
      <c r="T112" s="187" t="s">
        <v>99</v>
      </c>
      <c r="U112" s="188"/>
      <c r="V112" s="189"/>
      <c r="W112" s="188"/>
      <c r="X112" s="190"/>
      <c r="Y112" s="20">
        <f t="shared" si="3"/>
        <v>0</v>
      </c>
      <c r="AA112" s="98">
        <f t="shared" si="4"/>
        <v>0</v>
      </c>
      <c r="AB112" s="98">
        <f t="shared" si="5"/>
        <v>0</v>
      </c>
    </row>
    <row r="113" spans="1:28" ht="22.35" customHeight="1" thickBot="1" x14ac:dyDescent="0.3">
      <c r="A113" s="127"/>
      <c r="B113" s="127"/>
      <c r="C113" s="128"/>
      <c r="D113" s="129"/>
      <c r="E113" s="129"/>
      <c r="F113" s="130"/>
      <c r="G113" s="132"/>
      <c r="H113" s="191"/>
      <c r="I113" s="158"/>
      <c r="J113" s="129"/>
      <c r="K113" s="159"/>
      <c r="L113" s="133"/>
      <c r="M113" s="133"/>
      <c r="N113" s="134"/>
      <c r="O113" s="135"/>
      <c r="P113" s="136"/>
      <c r="Q113" s="137"/>
      <c r="R113" s="138"/>
      <c r="S113" s="144" t="s">
        <v>100</v>
      </c>
      <c r="T113" s="112" t="s">
        <v>99</v>
      </c>
      <c r="U113" s="106" t="s">
        <v>101</v>
      </c>
      <c r="V113" s="107">
        <v>10</v>
      </c>
      <c r="W113" s="96"/>
      <c r="X113" s="97"/>
      <c r="Y113" s="20">
        <f t="shared" si="3"/>
        <v>0</v>
      </c>
      <c r="AA113" s="98">
        <f t="shared" si="4"/>
        <v>0</v>
      </c>
      <c r="AB113" s="98">
        <f t="shared" si="5"/>
        <v>0</v>
      </c>
    </row>
    <row r="114" spans="1:28" ht="22.35" customHeight="1" thickBot="1" x14ac:dyDescent="0.3">
      <c r="A114" s="80"/>
      <c r="B114" s="80"/>
      <c r="F114" s="141"/>
      <c r="H114" s="191"/>
      <c r="I114" s="84"/>
      <c r="K114" s="86"/>
      <c r="L114" s="86"/>
      <c r="M114" s="86"/>
      <c r="O114" s="100"/>
      <c r="P114" s="143"/>
      <c r="Q114" s="102"/>
      <c r="R114" s="103"/>
      <c r="S114" s="144" t="s">
        <v>100</v>
      </c>
      <c r="T114" s="112" t="s">
        <v>99</v>
      </c>
      <c r="U114" s="106" t="s">
        <v>101</v>
      </c>
      <c r="V114" s="107">
        <v>10</v>
      </c>
      <c r="W114" s="108"/>
      <c r="X114" s="109"/>
      <c r="Y114" s="20">
        <f t="shared" si="3"/>
        <v>0</v>
      </c>
      <c r="AA114" s="98">
        <f t="shared" si="4"/>
        <v>0</v>
      </c>
      <c r="AB114" s="98">
        <f t="shared" si="5"/>
        <v>0</v>
      </c>
    </row>
    <row r="115" spans="1:28" ht="22.35" customHeight="1" thickBot="1" x14ac:dyDescent="0.3">
      <c r="A115" s="80"/>
      <c r="B115" s="80"/>
      <c r="F115" s="141"/>
      <c r="H115" s="191"/>
      <c r="I115" s="84"/>
      <c r="K115" s="86"/>
      <c r="L115" s="86"/>
      <c r="M115" s="86"/>
      <c r="O115" s="100"/>
      <c r="P115" s="143"/>
      <c r="Q115" s="102"/>
      <c r="R115" s="103"/>
      <c r="S115" s="144" t="s">
        <v>100</v>
      </c>
      <c r="T115" s="112" t="s">
        <v>99</v>
      </c>
      <c r="U115" s="106" t="s">
        <v>101</v>
      </c>
      <c r="V115" s="107">
        <v>10</v>
      </c>
      <c r="W115" s="108"/>
      <c r="X115" s="109"/>
      <c r="Y115" s="20">
        <f t="shared" si="3"/>
        <v>0</v>
      </c>
      <c r="AA115" s="98">
        <f t="shared" si="4"/>
        <v>0</v>
      </c>
      <c r="AB115" s="98">
        <f t="shared" si="5"/>
        <v>0</v>
      </c>
    </row>
    <row r="116" spans="1:28" ht="22.35" customHeight="1" thickBot="1" x14ac:dyDescent="0.3">
      <c r="A116" s="80"/>
      <c r="B116" s="80"/>
      <c r="F116" s="141"/>
      <c r="H116" s="191"/>
      <c r="I116" s="84"/>
      <c r="K116" s="86"/>
      <c r="L116" s="86"/>
      <c r="M116" s="86"/>
      <c r="O116" s="100"/>
      <c r="P116" s="143"/>
      <c r="Q116" s="102"/>
      <c r="R116" s="103"/>
      <c r="S116" s="144" t="s">
        <v>100</v>
      </c>
      <c r="T116" s="112" t="s">
        <v>99</v>
      </c>
      <c r="U116" s="106" t="s">
        <v>101</v>
      </c>
      <c r="V116" s="107">
        <v>10</v>
      </c>
      <c r="W116" s="108"/>
      <c r="X116" s="109"/>
      <c r="Y116" s="20">
        <f t="shared" si="3"/>
        <v>0</v>
      </c>
      <c r="AA116" s="98">
        <f t="shared" si="4"/>
        <v>0</v>
      </c>
      <c r="AB116" s="98">
        <f t="shared" si="5"/>
        <v>0</v>
      </c>
    </row>
    <row r="117" spans="1:28" ht="22.35" customHeight="1" thickBot="1" x14ac:dyDescent="0.3">
      <c r="A117" s="80"/>
      <c r="B117" s="80"/>
      <c r="F117" s="141"/>
      <c r="H117" s="191"/>
      <c r="I117" s="84"/>
      <c r="K117" s="86"/>
      <c r="L117" s="86"/>
      <c r="M117" s="86"/>
      <c r="O117" s="100"/>
      <c r="P117" s="143"/>
      <c r="Q117" s="102"/>
      <c r="R117" s="103"/>
      <c r="S117" s="144" t="s">
        <v>100</v>
      </c>
      <c r="T117" s="112" t="s">
        <v>99</v>
      </c>
      <c r="U117" s="106" t="s">
        <v>101</v>
      </c>
      <c r="V117" s="107">
        <v>10</v>
      </c>
      <c r="W117" s="108"/>
      <c r="X117" s="109"/>
      <c r="Y117" s="20">
        <f t="shared" si="3"/>
        <v>0</v>
      </c>
      <c r="AA117" s="98">
        <f t="shared" si="4"/>
        <v>0</v>
      </c>
      <c r="AB117" s="98">
        <f t="shared" si="5"/>
        <v>0</v>
      </c>
    </row>
    <row r="118" spans="1:28" ht="22.35" customHeight="1" thickBot="1" x14ac:dyDescent="0.3">
      <c r="A118" s="80"/>
      <c r="B118" s="80"/>
      <c r="F118" s="141"/>
      <c r="H118" s="191"/>
      <c r="I118" s="84"/>
      <c r="K118" s="86"/>
      <c r="L118" s="86"/>
      <c r="M118" s="86"/>
      <c r="O118" s="100"/>
      <c r="P118" s="143"/>
      <c r="Q118" s="102"/>
      <c r="R118" s="103"/>
      <c r="S118" s="144" t="s">
        <v>100</v>
      </c>
      <c r="T118" s="112" t="s">
        <v>99</v>
      </c>
      <c r="U118" s="106" t="s">
        <v>101</v>
      </c>
      <c r="V118" s="107">
        <v>10</v>
      </c>
      <c r="W118" s="108"/>
      <c r="X118" s="109"/>
      <c r="Y118" s="20">
        <f t="shared" si="3"/>
        <v>0</v>
      </c>
      <c r="AA118" s="98">
        <f t="shared" si="4"/>
        <v>0</v>
      </c>
      <c r="AB118" s="98">
        <f t="shared" si="5"/>
        <v>0</v>
      </c>
    </row>
    <row r="119" spans="1:28" ht="22.35" customHeight="1" thickBot="1" x14ac:dyDescent="0.3">
      <c r="A119" s="80"/>
      <c r="B119" s="80"/>
      <c r="F119" s="141"/>
      <c r="H119" s="191"/>
      <c r="I119" s="84"/>
      <c r="K119" s="86"/>
      <c r="L119" s="86"/>
      <c r="M119" s="86"/>
      <c r="O119" s="100"/>
      <c r="P119" s="143"/>
      <c r="Q119" s="102"/>
      <c r="R119" s="103"/>
      <c r="S119" s="144" t="s">
        <v>100</v>
      </c>
      <c r="T119" s="112" t="s">
        <v>99</v>
      </c>
      <c r="U119" s="106" t="s">
        <v>102</v>
      </c>
      <c r="V119" s="107">
        <v>10</v>
      </c>
      <c r="W119" s="108"/>
      <c r="X119" s="109"/>
      <c r="Y119" s="20">
        <f t="shared" si="3"/>
        <v>0</v>
      </c>
      <c r="AA119" s="98">
        <f t="shared" si="4"/>
        <v>0</v>
      </c>
      <c r="AB119" s="98">
        <f t="shared" si="5"/>
        <v>0</v>
      </c>
    </row>
    <row r="120" spans="1:28" ht="22.35" customHeight="1" thickBot="1" x14ac:dyDescent="0.3">
      <c r="A120" s="80"/>
      <c r="B120" s="80"/>
      <c r="F120" s="141"/>
      <c r="H120" s="191"/>
      <c r="I120" s="84"/>
      <c r="K120" s="86"/>
      <c r="L120" s="86"/>
      <c r="M120" s="86"/>
      <c r="O120" s="100"/>
      <c r="P120" s="143"/>
      <c r="Q120" s="102"/>
      <c r="R120" s="103"/>
      <c r="S120" s="144" t="s">
        <v>100</v>
      </c>
      <c r="T120" s="112" t="s">
        <v>99</v>
      </c>
      <c r="U120" s="106" t="s">
        <v>102</v>
      </c>
      <c r="V120" s="107">
        <v>10</v>
      </c>
      <c r="W120" s="108"/>
      <c r="X120" s="109"/>
      <c r="Y120" s="20">
        <f t="shared" si="3"/>
        <v>0</v>
      </c>
      <c r="AA120" s="98">
        <f t="shared" si="4"/>
        <v>0</v>
      </c>
      <c r="AB120" s="98">
        <f t="shared" si="5"/>
        <v>0</v>
      </c>
    </row>
    <row r="121" spans="1:28" ht="22.35" customHeight="1" thickBot="1" x14ac:dyDescent="0.3">
      <c r="A121" s="80"/>
      <c r="B121" s="80"/>
      <c r="F121" s="141"/>
      <c r="H121" s="191"/>
      <c r="I121" s="84"/>
      <c r="K121" s="86"/>
      <c r="L121" s="86"/>
      <c r="M121" s="86"/>
      <c r="O121" s="100"/>
      <c r="P121" s="143"/>
      <c r="Q121" s="102"/>
      <c r="R121" s="103"/>
      <c r="S121" s="144" t="s">
        <v>100</v>
      </c>
      <c r="T121" s="112" t="s">
        <v>99</v>
      </c>
      <c r="U121" s="106" t="s">
        <v>102</v>
      </c>
      <c r="V121" s="107">
        <v>10</v>
      </c>
      <c r="W121" s="108"/>
      <c r="X121" s="109"/>
      <c r="Y121" s="20">
        <f t="shared" si="3"/>
        <v>0</v>
      </c>
      <c r="AA121" s="98">
        <f t="shared" si="4"/>
        <v>0</v>
      </c>
      <c r="AB121" s="98">
        <f t="shared" si="5"/>
        <v>0</v>
      </c>
    </row>
    <row r="122" spans="1:28" ht="22.35" customHeight="1" thickBot="1" x14ac:dyDescent="0.3">
      <c r="A122" s="80"/>
      <c r="B122" s="80"/>
      <c r="F122" s="141"/>
      <c r="H122" s="191"/>
      <c r="I122" s="84"/>
      <c r="K122" s="86"/>
      <c r="L122" s="86"/>
      <c r="M122" s="86"/>
      <c r="O122" s="100"/>
      <c r="P122" s="143"/>
      <c r="Q122" s="102"/>
      <c r="R122" s="103"/>
      <c r="S122" s="144" t="s">
        <v>100</v>
      </c>
      <c r="T122" s="112" t="s">
        <v>99</v>
      </c>
      <c r="U122" s="106" t="s">
        <v>102</v>
      </c>
      <c r="V122" s="107">
        <v>10</v>
      </c>
      <c r="W122" s="108"/>
      <c r="X122" s="109"/>
      <c r="Y122" s="20">
        <f t="shared" si="3"/>
        <v>0</v>
      </c>
      <c r="AA122" s="98">
        <f t="shared" si="4"/>
        <v>0</v>
      </c>
      <c r="AB122" s="98">
        <f t="shared" si="5"/>
        <v>0</v>
      </c>
    </row>
    <row r="123" spans="1:28" ht="22.35" customHeight="1" thickBot="1" x14ac:dyDescent="0.3">
      <c r="A123" s="192"/>
      <c r="B123" s="192"/>
      <c r="C123" s="193"/>
      <c r="D123" s="194"/>
      <c r="E123" s="194"/>
      <c r="F123" s="195"/>
      <c r="G123" s="196"/>
      <c r="H123" s="191"/>
      <c r="I123" s="197"/>
      <c r="J123" s="194"/>
      <c r="K123" s="198"/>
      <c r="L123" s="198"/>
      <c r="M123" s="198"/>
      <c r="N123" s="199"/>
      <c r="O123" s="200"/>
      <c r="P123" s="201"/>
      <c r="Q123" s="202"/>
      <c r="R123" s="203"/>
      <c r="S123" s="155" t="s">
        <v>100</v>
      </c>
      <c r="T123" s="124" t="s">
        <v>99</v>
      </c>
      <c r="U123" s="125" t="s">
        <v>102</v>
      </c>
      <c r="V123" s="156">
        <v>10</v>
      </c>
      <c r="W123" s="108"/>
      <c r="X123" s="109"/>
      <c r="Y123" s="20">
        <f t="shared" si="3"/>
        <v>0</v>
      </c>
      <c r="AA123" s="98">
        <f t="shared" si="4"/>
        <v>0</v>
      </c>
      <c r="AB123" s="98">
        <f t="shared" si="5"/>
        <v>0</v>
      </c>
    </row>
    <row r="124" spans="1:28" ht="22.35" customHeight="1" thickBot="1" x14ac:dyDescent="0.3">
      <c r="A124" s="80" t="s">
        <v>103</v>
      </c>
      <c r="B124" s="80" t="s">
        <v>104</v>
      </c>
      <c r="C124" s="81">
        <v>24</v>
      </c>
      <c r="D124" s="23" t="s">
        <v>105</v>
      </c>
      <c r="E124" s="23" t="s">
        <v>106</v>
      </c>
      <c r="F124" s="82" t="s">
        <v>107</v>
      </c>
      <c r="G124" s="21" t="s">
        <v>108</v>
      </c>
      <c r="H124" s="204">
        <v>36.9</v>
      </c>
      <c r="I124" s="21">
        <v>36.299999999999997</v>
      </c>
      <c r="J124" s="23" t="s">
        <v>109</v>
      </c>
      <c r="K124" s="86" t="s">
        <v>110</v>
      </c>
      <c r="L124" s="86">
        <v>4</v>
      </c>
      <c r="M124" s="86"/>
      <c r="N124" s="87">
        <v>1</v>
      </c>
      <c r="O124" s="205"/>
      <c r="P124" s="206">
        <v>1</v>
      </c>
      <c r="Q124" s="206">
        <v>1</v>
      </c>
      <c r="R124" s="207" t="s">
        <v>111</v>
      </c>
      <c r="S124" s="208" t="s">
        <v>109</v>
      </c>
      <c r="T124" s="94" t="str">
        <f>INDEX([1]data!$B$1:$B$100,MATCH('04.02 - 10.02'!S124,[0]!exclusive01,))</f>
        <v>VU</v>
      </c>
      <c r="U124" s="94" t="s">
        <v>112</v>
      </c>
      <c r="V124" s="95">
        <v>10</v>
      </c>
      <c r="W124" s="108"/>
      <c r="X124" s="109" t="s">
        <v>45</v>
      </c>
      <c r="Y124" s="20">
        <f t="shared" si="3"/>
        <v>1</v>
      </c>
      <c r="AA124" s="98">
        <f t="shared" si="4"/>
        <v>0.60000000000000142</v>
      </c>
      <c r="AB124" s="98" t="e">
        <f t="shared" si="5"/>
        <v>#VALUE!</v>
      </c>
    </row>
    <row r="125" spans="1:28" ht="22.35" customHeight="1" thickBot="1" x14ac:dyDescent="0.3">
      <c r="A125" s="209"/>
      <c r="B125" s="209"/>
      <c r="C125" s="210"/>
      <c r="D125" s="211"/>
      <c r="E125" s="211"/>
      <c r="F125" s="212"/>
      <c r="G125" s="213"/>
      <c r="H125" s="214"/>
      <c r="I125" s="213"/>
      <c r="J125" s="211"/>
      <c r="K125" s="215"/>
      <c r="L125" s="215">
        <v>4</v>
      </c>
      <c r="M125" s="215"/>
      <c r="N125" s="216">
        <v>1</v>
      </c>
      <c r="O125" s="217"/>
      <c r="P125" s="218"/>
      <c r="Q125" s="218"/>
      <c r="R125" s="219"/>
      <c r="S125" s="220" t="s">
        <v>113</v>
      </c>
      <c r="T125" s="221" t="str">
        <f>INDEX([1]data!$B$1:$B$100,MATCH('04.02 - 10.02'!S125,[0]!exclusive01,))</f>
        <v>CHIEN</v>
      </c>
      <c r="U125" s="221" t="s">
        <v>101</v>
      </c>
      <c r="V125" s="222">
        <v>10</v>
      </c>
      <c r="W125" s="108"/>
      <c r="X125" s="109" t="s">
        <v>55</v>
      </c>
      <c r="Y125" s="20">
        <f t="shared" si="3"/>
        <v>0</v>
      </c>
      <c r="AA125" s="98">
        <f t="shared" si="4"/>
        <v>0</v>
      </c>
      <c r="AB125" s="98">
        <f t="shared" si="5"/>
        <v>0</v>
      </c>
    </row>
    <row r="126" spans="1:28" ht="22.35" customHeight="1" thickBot="1" x14ac:dyDescent="0.3">
      <c r="A126" s="80"/>
      <c r="B126" s="80"/>
      <c r="H126" s="191"/>
      <c r="K126" s="86"/>
      <c r="L126" s="86">
        <v>4</v>
      </c>
      <c r="M126" s="86"/>
      <c r="N126" s="87">
        <v>1</v>
      </c>
      <c r="O126" s="223"/>
      <c r="P126" s="224"/>
      <c r="Q126" s="224"/>
      <c r="R126" s="225"/>
      <c r="S126" s="208" t="s">
        <v>114</v>
      </c>
      <c r="T126" s="94" t="str">
        <f>INDEX([1]data!$B$1:$B$100,MATCH('04.02 - 10.02'!S126,[0]!exclusive01,))</f>
        <v>CHIEN</v>
      </c>
      <c r="U126" s="94" t="s">
        <v>102</v>
      </c>
      <c r="V126" s="95">
        <v>11</v>
      </c>
      <c r="W126" s="108"/>
      <c r="X126" s="109" t="s">
        <v>45</v>
      </c>
      <c r="Y126" s="20">
        <f t="shared" si="3"/>
        <v>0</v>
      </c>
      <c r="AA126" s="98">
        <f t="shared" si="4"/>
        <v>0</v>
      </c>
      <c r="AB126" s="98">
        <f t="shared" si="5"/>
        <v>0</v>
      </c>
    </row>
    <row r="127" spans="1:28" ht="22.35" customHeight="1" thickBot="1" x14ac:dyDescent="0.3">
      <c r="A127" s="80"/>
      <c r="B127" s="80"/>
      <c r="H127" s="191"/>
      <c r="K127" s="86"/>
      <c r="L127" s="86">
        <v>4</v>
      </c>
      <c r="M127" s="86"/>
      <c r="N127" s="87">
        <v>1</v>
      </c>
      <c r="O127" s="223"/>
      <c r="P127" s="224"/>
      <c r="Q127" s="224"/>
      <c r="R127" s="225"/>
      <c r="S127" s="226" t="s">
        <v>115</v>
      </c>
      <c r="T127" s="94" t="str">
        <f>INDEX([1]data!$B$1:$B$100,MATCH('04.02 - 10.02'!S127,[0]!exclusive01,))</f>
        <v>CHIEN</v>
      </c>
      <c r="U127" s="106" t="s">
        <v>102</v>
      </c>
      <c r="V127" s="107">
        <v>11</v>
      </c>
      <c r="W127" s="108"/>
      <c r="X127" s="109" t="s">
        <v>55</v>
      </c>
      <c r="Y127" s="20">
        <f t="shared" si="3"/>
        <v>0</v>
      </c>
      <c r="AA127" s="98">
        <f t="shared" si="4"/>
        <v>0</v>
      </c>
      <c r="AB127" s="98">
        <f t="shared" si="5"/>
        <v>0</v>
      </c>
    </row>
    <row r="128" spans="1:28" ht="22.35" customHeight="1" thickBot="1" x14ac:dyDescent="0.3">
      <c r="A128" s="80"/>
      <c r="B128" s="80"/>
      <c r="H128" s="191"/>
      <c r="K128" s="86"/>
      <c r="L128" s="86">
        <v>4</v>
      </c>
      <c r="M128" s="86"/>
      <c r="N128" s="87">
        <v>1</v>
      </c>
      <c r="O128" s="223"/>
      <c r="P128" s="224"/>
      <c r="Q128" s="224"/>
      <c r="R128" s="225"/>
      <c r="S128" s="226" t="s">
        <v>116</v>
      </c>
      <c r="T128" s="94" t="str">
        <f>INDEX([1]data!$B$1:$B$100,MATCH('04.02 - 10.02'!S128,[0]!exclusive01,))</f>
        <v>CHIEN</v>
      </c>
      <c r="U128" s="106" t="s">
        <v>102</v>
      </c>
      <c r="V128" s="107">
        <v>11</v>
      </c>
      <c r="W128" s="108"/>
      <c r="X128" s="109" t="s">
        <v>117</v>
      </c>
      <c r="Y128" s="20">
        <f t="shared" si="3"/>
        <v>0</v>
      </c>
      <c r="AA128" s="98">
        <f t="shared" si="4"/>
        <v>0</v>
      </c>
      <c r="AB128" s="98">
        <f t="shared" si="5"/>
        <v>0</v>
      </c>
    </row>
    <row r="129" spans="1:28" ht="22.35" customHeight="1" thickBot="1" x14ac:dyDescent="0.3">
      <c r="A129" s="209"/>
      <c r="B129" s="209"/>
      <c r="C129" s="193"/>
      <c r="D129" s="194"/>
      <c r="E129" s="194"/>
      <c r="F129" s="227"/>
      <c r="G129" s="196"/>
      <c r="H129" s="191"/>
      <c r="I129" s="196"/>
      <c r="J129" s="194"/>
      <c r="K129" s="198"/>
      <c r="L129" s="198">
        <v>4</v>
      </c>
      <c r="M129" s="198"/>
      <c r="N129" s="228">
        <v>1</v>
      </c>
      <c r="O129" s="229"/>
      <c r="P129" s="230"/>
      <c r="Q129" s="230"/>
      <c r="R129" s="231"/>
      <c r="S129" s="232" t="s">
        <v>118</v>
      </c>
      <c r="T129" s="125" t="str">
        <f>INDEX([1]data!$B$1:$B$100,MATCH('04.02 - 10.02'!S129,[0]!exclusive01,))</f>
        <v>CHIEN</v>
      </c>
      <c r="U129" s="125" t="s">
        <v>102</v>
      </c>
      <c r="V129" s="233">
        <v>11</v>
      </c>
      <c r="W129" s="108"/>
      <c r="X129" s="109" t="s">
        <v>119</v>
      </c>
      <c r="Y129" s="20">
        <f t="shared" si="3"/>
        <v>0</v>
      </c>
      <c r="AA129" s="98">
        <f t="shared" si="4"/>
        <v>0</v>
      </c>
      <c r="AB129" s="98">
        <f t="shared" si="5"/>
        <v>0</v>
      </c>
    </row>
    <row r="130" spans="1:28" ht="22.35" customHeight="1" thickBot="1" x14ac:dyDescent="0.3">
      <c r="A130" s="80"/>
      <c r="B130" s="80"/>
      <c r="C130" s="128"/>
      <c r="D130" s="129"/>
      <c r="E130" s="129"/>
      <c r="F130" s="234"/>
      <c r="G130" s="132"/>
      <c r="H130" s="191"/>
      <c r="I130" s="132"/>
      <c r="J130" s="129"/>
      <c r="K130" s="133"/>
      <c r="L130" s="133">
        <v>4</v>
      </c>
      <c r="M130" s="133"/>
      <c r="N130" s="134">
        <v>1</v>
      </c>
      <c r="O130" s="235"/>
      <c r="P130" s="206"/>
      <c r="Q130" s="206"/>
      <c r="R130" s="207"/>
      <c r="S130" s="226" t="s">
        <v>120</v>
      </c>
      <c r="T130" s="94" t="str">
        <f>INDEX([1]data!$B$1:$B$100,MATCH('04.02 - 10.02'!S130,[0]!exclusive01,))</f>
        <v>CHIEN</v>
      </c>
      <c r="U130" s="106" t="s">
        <v>102</v>
      </c>
      <c r="V130" s="107">
        <v>12</v>
      </c>
      <c r="W130" s="108"/>
      <c r="X130" s="109" t="s">
        <v>45</v>
      </c>
      <c r="Y130" s="20">
        <f t="shared" si="3"/>
        <v>0</v>
      </c>
      <c r="AA130" s="98">
        <f t="shared" si="4"/>
        <v>0</v>
      </c>
      <c r="AB130" s="98">
        <f t="shared" si="5"/>
        <v>0</v>
      </c>
    </row>
    <row r="131" spans="1:28" ht="22.35" customHeight="1" thickBot="1" x14ac:dyDescent="0.3">
      <c r="A131" s="80"/>
      <c r="B131" s="80"/>
      <c r="H131" s="191"/>
      <c r="K131" s="86"/>
      <c r="L131" s="86">
        <v>4</v>
      </c>
      <c r="M131" s="86"/>
      <c r="N131" s="87">
        <v>1</v>
      </c>
      <c r="O131" s="223"/>
      <c r="P131" s="224"/>
      <c r="Q131" s="224"/>
      <c r="R131" s="225"/>
      <c r="S131" s="226" t="s">
        <v>121</v>
      </c>
      <c r="T131" s="94" t="str">
        <f>INDEX([1]data!$B$1:$B$100,MATCH('04.02 - 10.02'!S131,[0]!exclusive01,))</f>
        <v>CHIEN</v>
      </c>
      <c r="U131" s="106" t="s">
        <v>102</v>
      </c>
      <c r="V131" s="107">
        <v>12</v>
      </c>
      <c r="W131" s="108"/>
      <c r="X131" s="109" t="s">
        <v>55</v>
      </c>
      <c r="Y131" s="20">
        <f t="shared" si="3"/>
        <v>0</v>
      </c>
      <c r="AA131" s="98">
        <f t="shared" si="4"/>
        <v>0</v>
      </c>
      <c r="AB131" s="98">
        <f t="shared" si="5"/>
        <v>0</v>
      </c>
    </row>
    <row r="132" spans="1:28" ht="22.35" customHeight="1" thickBot="1" x14ac:dyDescent="0.3">
      <c r="A132" s="80"/>
      <c r="B132" s="80"/>
      <c r="H132" s="191"/>
      <c r="K132" s="86"/>
      <c r="L132" s="86">
        <v>4</v>
      </c>
      <c r="M132" s="86"/>
      <c r="N132" s="87">
        <v>1</v>
      </c>
      <c r="O132" s="223"/>
      <c r="P132" s="224"/>
      <c r="Q132" s="224"/>
      <c r="R132" s="225"/>
      <c r="S132" s="226" t="s">
        <v>122</v>
      </c>
      <c r="T132" s="94" t="str">
        <f>INDEX([1]data!$B$1:$B$100,MATCH('04.02 - 10.02'!S132,[0]!exclusive01,))</f>
        <v>CHIEN</v>
      </c>
      <c r="U132" s="106" t="s">
        <v>102</v>
      </c>
      <c r="V132" s="107">
        <v>12</v>
      </c>
      <c r="W132" s="108"/>
      <c r="X132" s="109" t="s">
        <v>117</v>
      </c>
      <c r="Y132" s="20">
        <f t="shared" si="3"/>
        <v>0</v>
      </c>
      <c r="AA132" s="98">
        <f t="shared" si="4"/>
        <v>0</v>
      </c>
      <c r="AB132" s="98">
        <f t="shared" si="5"/>
        <v>0</v>
      </c>
    </row>
    <row r="133" spans="1:28" ht="22.35" customHeight="1" thickBot="1" x14ac:dyDescent="0.3">
      <c r="A133" s="209"/>
      <c r="B133" s="209"/>
      <c r="C133" s="193"/>
      <c r="D133" s="194"/>
      <c r="E133" s="194"/>
      <c r="F133" s="227"/>
      <c r="G133" s="196"/>
      <c r="H133" s="191"/>
      <c r="I133" s="196"/>
      <c r="J133" s="194"/>
      <c r="K133" s="198"/>
      <c r="L133" s="198">
        <v>4</v>
      </c>
      <c r="M133" s="198"/>
      <c r="N133" s="228">
        <v>1</v>
      </c>
      <c r="O133" s="229"/>
      <c r="P133" s="230"/>
      <c r="Q133" s="230"/>
      <c r="R133" s="231"/>
      <c r="S133" s="232" t="s">
        <v>123</v>
      </c>
      <c r="T133" s="125" t="str">
        <f>INDEX([1]data!$B$1:$B$100,MATCH('04.02 - 10.02'!S133,[0]!exclusive01,))</f>
        <v>CHIEN</v>
      </c>
      <c r="U133" s="125" t="s">
        <v>102</v>
      </c>
      <c r="V133" s="233">
        <v>12</v>
      </c>
      <c r="W133" s="108"/>
      <c r="X133" s="109" t="s">
        <v>119</v>
      </c>
      <c r="Y133" s="20">
        <f t="shared" si="3"/>
        <v>0</v>
      </c>
      <c r="AA133" s="98">
        <f t="shared" si="4"/>
        <v>0</v>
      </c>
      <c r="AB133" s="98">
        <f t="shared" si="5"/>
        <v>0</v>
      </c>
    </row>
    <row r="134" spans="1:28" ht="22.35" customHeight="1" thickBot="1" x14ac:dyDescent="0.3">
      <c r="A134" s="80"/>
      <c r="B134" s="80"/>
      <c r="C134" s="128"/>
      <c r="D134" s="129"/>
      <c r="E134" s="129"/>
      <c r="F134" s="234"/>
      <c r="G134" s="132"/>
      <c r="H134" s="191"/>
      <c r="I134" s="132"/>
      <c r="J134" s="129"/>
      <c r="K134" s="133"/>
      <c r="L134" s="133">
        <v>4</v>
      </c>
      <c r="M134" s="133"/>
      <c r="N134" s="134">
        <v>1</v>
      </c>
      <c r="O134" s="235"/>
      <c r="P134" s="206"/>
      <c r="Q134" s="206"/>
      <c r="R134" s="207"/>
      <c r="S134" s="226" t="s">
        <v>124</v>
      </c>
      <c r="T134" s="94" t="str">
        <f>INDEX([1]data!$B$1:$B$100,MATCH('04.02 - 10.02'!S134,[0]!exclusive01,))</f>
        <v>CHIEN</v>
      </c>
      <c r="U134" s="106" t="s">
        <v>102</v>
      </c>
      <c r="V134" s="107">
        <v>13</v>
      </c>
      <c r="W134" s="108"/>
      <c r="X134" s="109" t="s">
        <v>45</v>
      </c>
      <c r="Y134" s="20">
        <f t="shared" si="3"/>
        <v>0</v>
      </c>
      <c r="AA134" s="98">
        <f t="shared" si="4"/>
        <v>0</v>
      </c>
      <c r="AB134" s="98">
        <f t="shared" si="5"/>
        <v>0</v>
      </c>
    </row>
    <row r="135" spans="1:28" ht="22.35" customHeight="1" thickBot="1" x14ac:dyDescent="0.3">
      <c r="A135" s="80"/>
      <c r="B135" s="80"/>
      <c r="H135" s="191"/>
      <c r="K135" s="86"/>
      <c r="L135" s="86">
        <v>4</v>
      </c>
      <c r="M135" s="86"/>
      <c r="N135" s="87">
        <v>1</v>
      </c>
      <c r="O135" s="223"/>
      <c r="P135" s="224"/>
      <c r="Q135" s="224"/>
      <c r="R135" s="225"/>
      <c r="S135" s="226" t="s">
        <v>125</v>
      </c>
      <c r="T135" s="94" t="str">
        <f>INDEX([1]data!$B$1:$B$100,MATCH('04.02 - 10.02'!S135,[0]!exclusive01,))</f>
        <v>CHIEN</v>
      </c>
      <c r="U135" s="106" t="s">
        <v>102</v>
      </c>
      <c r="V135" s="107">
        <v>13</v>
      </c>
      <c r="W135" s="108"/>
      <c r="X135" s="109" t="s">
        <v>55</v>
      </c>
      <c r="Y135" s="20">
        <f t="shared" ref="Y135:Y198" si="6">COUNTIF(K:K,K135)</f>
        <v>0</v>
      </c>
      <c r="AA135" s="98">
        <f t="shared" si="4"/>
        <v>0</v>
      </c>
      <c r="AB135" s="98">
        <f t="shared" si="5"/>
        <v>0</v>
      </c>
    </row>
    <row r="136" spans="1:28" ht="22.35" customHeight="1" thickBot="1" x14ac:dyDescent="0.3">
      <c r="A136" s="80"/>
      <c r="B136" s="80"/>
      <c r="H136" s="191"/>
      <c r="K136" s="86"/>
      <c r="L136" s="86">
        <v>4</v>
      </c>
      <c r="M136" s="86"/>
      <c r="N136" s="87">
        <v>1</v>
      </c>
      <c r="O136" s="223"/>
      <c r="P136" s="224"/>
      <c r="Q136" s="224"/>
      <c r="R136" s="225"/>
      <c r="S136" s="226" t="s">
        <v>126</v>
      </c>
      <c r="T136" s="94" t="str">
        <f>INDEX([1]data!$B$1:$B$100,MATCH('04.02 - 10.02'!S136,[0]!exclusive01,))</f>
        <v>CHIEN</v>
      </c>
      <c r="U136" s="106" t="s">
        <v>102</v>
      </c>
      <c r="V136" s="107">
        <v>13</v>
      </c>
      <c r="W136" s="108"/>
      <c r="X136" s="109" t="s">
        <v>117</v>
      </c>
      <c r="Y136" s="20">
        <f t="shared" si="6"/>
        <v>0</v>
      </c>
      <c r="AA136" s="98">
        <f t="shared" ref="AA136:AA199" si="7">H136-I136</f>
        <v>0</v>
      </c>
      <c r="AB136" s="98">
        <f t="shared" ref="AB136:AB199" si="8">R136-H136</f>
        <v>0</v>
      </c>
    </row>
    <row r="137" spans="1:28" ht="22.35" customHeight="1" thickBot="1" x14ac:dyDescent="0.3">
      <c r="A137" s="209"/>
      <c r="B137" s="209"/>
      <c r="C137" s="193"/>
      <c r="D137" s="194"/>
      <c r="E137" s="194"/>
      <c r="F137" s="227"/>
      <c r="G137" s="196"/>
      <c r="H137" s="191"/>
      <c r="I137" s="196"/>
      <c r="J137" s="194"/>
      <c r="K137" s="198"/>
      <c r="L137" s="198">
        <v>4</v>
      </c>
      <c r="M137" s="198"/>
      <c r="N137" s="228">
        <v>1</v>
      </c>
      <c r="O137" s="229"/>
      <c r="P137" s="230"/>
      <c r="Q137" s="230"/>
      <c r="R137" s="231"/>
      <c r="S137" s="232" t="s">
        <v>127</v>
      </c>
      <c r="T137" s="125" t="str">
        <f>INDEX([1]data!$B$1:$B$100,MATCH('04.02 - 10.02'!S137,[0]!exclusive01,))</f>
        <v>CHIEN</v>
      </c>
      <c r="U137" s="125" t="s">
        <v>102</v>
      </c>
      <c r="V137" s="233">
        <v>13</v>
      </c>
      <c r="W137" s="108"/>
      <c r="X137" s="109" t="s">
        <v>119</v>
      </c>
      <c r="Y137" s="20">
        <f t="shared" si="6"/>
        <v>0</v>
      </c>
      <c r="AA137" s="98">
        <f t="shared" si="7"/>
        <v>0</v>
      </c>
      <c r="AB137" s="98">
        <f t="shared" si="8"/>
        <v>0</v>
      </c>
    </row>
    <row r="138" spans="1:28" ht="22.35" customHeight="1" thickBot="1" x14ac:dyDescent="0.3">
      <c r="A138" s="80"/>
      <c r="B138" s="80"/>
      <c r="F138" s="141"/>
      <c r="H138" s="191"/>
      <c r="I138" s="84"/>
      <c r="K138" s="86"/>
      <c r="L138" s="86"/>
      <c r="M138" s="86"/>
      <c r="O138" s="88"/>
      <c r="P138" s="136"/>
      <c r="Q138" s="90"/>
      <c r="R138" s="91"/>
      <c r="S138" s="139" t="s">
        <v>100</v>
      </c>
      <c r="T138" s="140" t="s">
        <v>99</v>
      </c>
      <c r="U138" s="94" t="s">
        <v>128</v>
      </c>
      <c r="V138" s="95">
        <v>14</v>
      </c>
      <c r="W138" s="108"/>
      <c r="X138" s="109"/>
      <c r="Y138" s="20">
        <f t="shared" si="6"/>
        <v>0</v>
      </c>
      <c r="AA138" s="98">
        <f t="shared" si="7"/>
        <v>0</v>
      </c>
      <c r="AB138" s="98">
        <f t="shared" si="8"/>
        <v>0</v>
      </c>
    </row>
    <row r="139" spans="1:28" ht="22.35" customHeight="1" thickBot="1" x14ac:dyDescent="0.3">
      <c r="A139" s="80"/>
      <c r="B139" s="80"/>
      <c r="F139" s="141"/>
      <c r="H139" s="191"/>
      <c r="I139" s="84"/>
      <c r="K139" s="86"/>
      <c r="L139" s="86"/>
      <c r="M139" s="86"/>
      <c r="O139" s="100"/>
      <c r="P139" s="143"/>
      <c r="Q139" s="102"/>
      <c r="R139" s="103"/>
      <c r="S139" s="144" t="s">
        <v>100</v>
      </c>
      <c r="T139" s="112" t="s">
        <v>99</v>
      </c>
      <c r="U139" s="106" t="s">
        <v>128</v>
      </c>
      <c r="V139" s="107">
        <v>14</v>
      </c>
      <c r="W139" s="108"/>
      <c r="X139" s="109"/>
      <c r="Y139" s="20">
        <f t="shared" si="6"/>
        <v>0</v>
      </c>
      <c r="AA139" s="98">
        <f t="shared" si="7"/>
        <v>0</v>
      </c>
      <c r="AB139" s="98">
        <f t="shared" si="8"/>
        <v>0</v>
      </c>
    </row>
    <row r="140" spans="1:28" ht="22.35" customHeight="1" thickBot="1" x14ac:dyDescent="0.3">
      <c r="A140" s="80"/>
      <c r="B140" s="80"/>
      <c r="F140" s="141"/>
      <c r="H140" s="191"/>
      <c r="I140" s="84"/>
      <c r="K140" s="86"/>
      <c r="L140" s="86"/>
      <c r="M140" s="86"/>
      <c r="O140" s="100"/>
      <c r="P140" s="143"/>
      <c r="Q140" s="102"/>
      <c r="R140" s="103"/>
      <c r="S140" s="144" t="s">
        <v>100</v>
      </c>
      <c r="T140" s="112" t="s">
        <v>99</v>
      </c>
      <c r="U140" s="106" t="s">
        <v>128</v>
      </c>
      <c r="V140" s="107">
        <v>14</v>
      </c>
      <c r="W140" s="108"/>
      <c r="X140" s="109"/>
      <c r="Y140" s="20">
        <f t="shared" si="6"/>
        <v>0</v>
      </c>
      <c r="AA140" s="98">
        <f t="shared" si="7"/>
        <v>0</v>
      </c>
      <c r="AB140" s="98">
        <f t="shared" si="8"/>
        <v>0</v>
      </c>
    </row>
    <row r="141" spans="1:28" ht="22.35" customHeight="1" thickBot="1" x14ac:dyDescent="0.3">
      <c r="A141" s="80"/>
      <c r="B141" s="80"/>
      <c r="F141" s="141"/>
      <c r="H141" s="191"/>
      <c r="I141" s="84"/>
      <c r="K141" s="86"/>
      <c r="L141" s="86"/>
      <c r="M141" s="86"/>
      <c r="O141" s="100"/>
      <c r="P141" s="143"/>
      <c r="Q141" s="102"/>
      <c r="R141" s="103"/>
      <c r="S141" s="144" t="s">
        <v>100</v>
      </c>
      <c r="T141" s="112" t="s">
        <v>99</v>
      </c>
      <c r="U141" s="106" t="s">
        <v>128</v>
      </c>
      <c r="V141" s="107">
        <v>14</v>
      </c>
      <c r="W141" s="108"/>
      <c r="X141" s="109"/>
      <c r="Y141" s="20">
        <f t="shared" si="6"/>
        <v>0</v>
      </c>
      <c r="AA141" s="98">
        <f t="shared" si="7"/>
        <v>0</v>
      </c>
      <c r="AB141" s="98">
        <f t="shared" si="8"/>
        <v>0</v>
      </c>
    </row>
    <row r="142" spans="1:28" ht="22.35" customHeight="1" thickBot="1" x14ac:dyDescent="0.3">
      <c r="A142" s="80"/>
      <c r="B142" s="80"/>
      <c r="F142" s="141"/>
      <c r="H142" s="191"/>
      <c r="I142" s="84"/>
      <c r="K142" s="86"/>
      <c r="L142" s="86"/>
      <c r="M142" s="86"/>
      <c r="O142" s="100"/>
      <c r="P142" s="143"/>
      <c r="Q142" s="102"/>
      <c r="R142" s="103"/>
      <c r="S142" s="144" t="s">
        <v>100</v>
      </c>
      <c r="T142" s="112" t="s">
        <v>99</v>
      </c>
      <c r="U142" s="106" t="s">
        <v>128</v>
      </c>
      <c r="V142" s="107">
        <v>14</v>
      </c>
      <c r="W142" s="108"/>
      <c r="X142" s="109"/>
      <c r="Y142" s="20">
        <f t="shared" si="6"/>
        <v>0</v>
      </c>
      <c r="AA142" s="98">
        <f t="shared" si="7"/>
        <v>0</v>
      </c>
      <c r="AB142" s="98">
        <f t="shared" si="8"/>
        <v>0</v>
      </c>
    </row>
    <row r="143" spans="1:28" ht="22.35" customHeight="1" thickBot="1" x14ac:dyDescent="0.3">
      <c r="A143" s="80"/>
      <c r="B143" s="80"/>
      <c r="F143" s="141"/>
      <c r="H143" s="191"/>
      <c r="I143" s="84"/>
      <c r="K143" s="86"/>
      <c r="L143" s="86"/>
      <c r="M143" s="86"/>
      <c r="O143" s="100"/>
      <c r="P143" s="143"/>
      <c r="Q143" s="102"/>
      <c r="R143" s="103"/>
      <c r="S143" s="144" t="s">
        <v>100</v>
      </c>
      <c r="T143" s="112" t="s">
        <v>99</v>
      </c>
      <c r="U143" s="106" t="s">
        <v>128</v>
      </c>
      <c r="V143" s="107">
        <v>14</v>
      </c>
      <c r="W143" s="108"/>
      <c r="X143" s="109"/>
      <c r="Y143" s="20">
        <f t="shared" si="6"/>
        <v>0</v>
      </c>
      <c r="AA143" s="98">
        <f t="shared" si="7"/>
        <v>0</v>
      </c>
      <c r="AB143" s="98">
        <f t="shared" si="8"/>
        <v>0</v>
      </c>
    </row>
    <row r="144" spans="1:28" ht="22.35" customHeight="1" thickBot="1" x14ac:dyDescent="0.3">
      <c r="A144" s="80"/>
      <c r="B144" s="80"/>
      <c r="F144" s="141"/>
      <c r="H144" s="191"/>
      <c r="I144" s="84"/>
      <c r="K144" s="86"/>
      <c r="L144" s="86"/>
      <c r="M144" s="86"/>
      <c r="O144" s="100"/>
      <c r="P144" s="143"/>
      <c r="Q144" s="102"/>
      <c r="R144" s="103"/>
      <c r="S144" s="144" t="s">
        <v>100</v>
      </c>
      <c r="T144" s="112" t="s">
        <v>99</v>
      </c>
      <c r="U144" s="106" t="s">
        <v>128</v>
      </c>
      <c r="V144" s="107">
        <v>14</v>
      </c>
      <c r="W144" s="108"/>
      <c r="X144" s="109"/>
      <c r="Y144" s="20">
        <f t="shared" si="6"/>
        <v>0</v>
      </c>
      <c r="AA144" s="98">
        <f t="shared" si="7"/>
        <v>0</v>
      </c>
      <c r="AB144" s="98">
        <f t="shared" si="8"/>
        <v>0</v>
      </c>
    </row>
    <row r="145" spans="1:28" ht="22.35" customHeight="1" thickBot="1" x14ac:dyDescent="0.3">
      <c r="A145" s="209"/>
      <c r="B145" s="209"/>
      <c r="C145" s="210"/>
      <c r="D145" s="211"/>
      <c r="E145" s="211"/>
      <c r="F145" s="236"/>
      <c r="G145" s="213"/>
      <c r="H145" s="237"/>
      <c r="I145" s="238"/>
      <c r="J145" s="211"/>
      <c r="K145" s="215"/>
      <c r="L145" s="215"/>
      <c r="M145" s="215"/>
      <c r="N145" s="216"/>
      <c r="O145" s="239"/>
      <c r="P145" s="240"/>
      <c r="Q145" s="154"/>
      <c r="R145" s="241"/>
      <c r="S145" s="242" t="s">
        <v>100</v>
      </c>
      <c r="T145" s="243" t="s">
        <v>99</v>
      </c>
      <c r="U145" s="244" t="s">
        <v>128</v>
      </c>
      <c r="V145" s="245">
        <v>14</v>
      </c>
      <c r="W145" s="108"/>
      <c r="X145" s="109"/>
      <c r="Y145" s="20">
        <f t="shared" si="6"/>
        <v>0</v>
      </c>
      <c r="AA145" s="98">
        <f t="shared" si="7"/>
        <v>0</v>
      </c>
      <c r="AB145" s="98">
        <f t="shared" si="8"/>
        <v>0</v>
      </c>
    </row>
    <row r="146" spans="1:28" ht="22.35" customHeight="1" thickBot="1" x14ac:dyDescent="0.3">
      <c r="A146" s="80"/>
      <c r="B146" s="80"/>
      <c r="H146" s="246"/>
      <c r="K146" s="86"/>
      <c r="L146" s="86">
        <v>4</v>
      </c>
      <c r="M146" s="86"/>
      <c r="N146" s="87">
        <v>1</v>
      </c>
      <c r="O146" s="235"/>
      <c r="P146" s="206"/>
      <c r="Q146" s="206"/>
      <c r="R146" s="207"/>
      <c r="S146" s="208" t="s">
        <v>129</v>
      </c>
      <c r="T146" s="94" t="str">
        <f>INDEX([1]data!$B$1:$B$100,MATCH('04.02 - 10.02'!S136,[0]!exclusive01,))</f>
        <v>CHIEN</v>
      </c>
      <c r="U146" s="94" t="s">
        <v>128</v>
      </c>
      <c r="V146" s="95">
        <v>14</v>
      </c>
      <c r="W146" s="108"/>
      <c r="X146" s="109" t="s">
        <v>45</v>
      </c>
      <c r="Y146" s="20">
        <f t="shared" si="6"/>
        <v>0</v>
      </c>
      <c r="AA146" s="98">
        <f t="shared" si="7"/>
        <v>0</v>
      </c>
      <c r="AB146" s="98">
        <f t="shared" si="8"/>
        <v>0</v>
      </c>
    </row>
    <row r="147" spans="1:28" ht="22.35" customHeight="1" thickBot="1" x14ac:dyDescent="0.3">
      <c r="A147" s="209"/>
      <c r="B147" s="209"/>
      <c r="C147" s="210"/>
      <c r="D147" s="211"/>
      <c r="E147" s="211"/>
      <c r="F147" s="212"/>
      <c r="G147" s="213"/>
      <c r="H147" s="237"/>
      <c r="I147" s="213"/>
      <c r="J147" s="211"/>
      <c r="K147" s="215"/>
      <c r="L147" s="215">
        <v>4</v>
      </c>
      <c r="M147" s="215"/>
      <c r="N147" s="216">
        <v>1</v>
      </c>
      <c r="O147" s="247"/>
      <c r="P147" s="248"/>
      <c r="Q147" s="248"/>
      <c r="R147" s="249"/>
      <c r="S147" s="250" t="s">
        <v>130</v>
      </c>
      <c r="T147" s="251" t="str">
        <f>INDEX([1]data!$B$1:$B$100,MATCH('04.02 - 10.02'!S137,[0]!exclusive01,))</f>
        <v>CHIEN</v>
      </c>
      <c r="U147" s="244" t="s">
        <v>128</v>
      </c>
      <c r="V147" s="245">
        <v>14</v>
      </c>
      <c r="W147" s="108"/>
      <c r="X147" s="109" t="s">
        <v>55</v>
      </c>
      <c r="Y147" s="20">
        <f t="shared" si="6"/>
        <v>0</v>
      </c>
      <c r="AA147" s="98">
        <f t="shared" si="7"/>
        <v>0</v>
      </c>
      <c r="AB147" s="98">
        <f t="shared" si="8"/>
        <v>0</v>
      </c>
    </row>
    <row r="148" spans="1:28" ht="22.35" customHeight="1" thickBot="1" x14ac:dyDescent="0.3">
      <c r="A148" s="80"/>
      <c r="B148" s="80"/>
      <c r="F148" s="141"/>
      <c r="H148" s="246"/>
      <c r="I148" s="84"/>
      <c r="K148" s="86"/>
      <c r="L148" s="86"/>
      <c r="M148" s="86"/>
      <c r="O148" s="88"/>
      <c r="P148" s="136"/>
      <c r="Q148" s="90"/>
      <c r="R148" s="91"/>
      <c r="S148" s="139" t="s">
        <v>100</v>
      </c>
      <c r="T148" s="140" t="s">
        <v>99</v>
      </c>
      <c r="U148" s="94" t="s">
        <v>131</v>
      </c>
      <c r="V148" s="95">
        <v>15</v>
      </c>
      <c r="W148" s="108"/>
      <c r="X148" s="109"/>
      <c r="Y148" s="20">
        <f t="shared" si="6"/>
        <v>0</v>
      </c>
      <c r="AA148" s="98">
        <f t="shared" si="7"/>
        <v>0</v>
      </c>
      <c r="AB148" s="98">
        <f t="shared" si="8"/>
        <v>0</v>
      </c>
    </row>
    <row r="149" spans="1:28" ht="22.35" customHeight="1" thickBot="1" x14ac:dyDescent="0.3">
      <c r="A149" s="80"/>
      <c r="B149" s="80"/>
      <c r="F149" s="141"/>
      <c r="H149" s="191"/>
      <c r="I149" s="84"/>
      <c r="K149" s="86"/>
      <c r="L149" s="86"/>
      <c r="M149" s="86"/>
      <c r="O149" s="100"/>
      <c r="P149" s="143"/>
      <c r="Q149" s="102"/>
      <c r="R149" s="103"/>
      <c r="S149" s="144" t="s">
        <v>100</v>
      </c>
      <c r="T149" s="112" t="s">
        <v>99</v>
      </c>
      <c r="U149" s="106" t="s">
        <v>131</v>
      </c>
      <c r="V149" s="107">
        <v>15</v>
      </c>
      <c r="W149" s="108"/>
      <c r="X149" s="109"/>
      <c r="Y149" s="20">
        <f t="shared" si="6"/>
        <v>0</v>
      </c>
      <c r="AA149" s="98">
        <f t="shared" si="7"/>
        <v>0</v>
      </c>
      <c r="AB149" s="98">
        <f t="shared" si="8"/>
        <v>0</v>
      </c>
    </row>
    <row r="150" spans="1:28" ht="22.35" customHeight="1" thickBot="1" x14ac:dyDescent="0.3">
      <c r="A150" s="80"/>
      <c r="B150" s="80"/>
      <c r="F150" s="141"/>
      <c r="H150" s="191"/>
      <c r="I150" s="84"/>
      <c r="K150" s="86"/>
      <c r="L150" s="86"/>
      <c r="M150" s="86"/>
      <c r="O150" s="100"/>
      <c r="P150" s="143"/>
      <c r="Q150" s="102"/>
      <c r="R150" s="103"/>
      <c r="S150" s="144" t="s">
        <v>100</v>
      </c>
      <c r="T150" s="112" t="s">
        <v>99</v>
      </c>
      <c r="U150" s="106" t="s">
        <v>131</v>
      </c>
      <c r="V150" s="107">
        <v>15</v>
      </c>
      <c r="W150" s="108"/>
      <c r="X150" s="109"/>
      <c r="Y150" s="20">
        <f t="shared" si="6"/>
        <v>0</v>
      </c>
      <c r="AA150" s="98">
        <f t="shared" si="7"/>
        <v>0</v>
      </c>
      <c r="AB150" s="98">
        <f t="shared" si="8"/>
        <v>0</v>
      </c>
    </row>
    <row r="151" spans="1:28" ht="22.35" customHeight="1" thickBot="1" x14ac:dyDescent="0.3">
      <c r="A151" s="80"/>
      <c r="B151" s="80"/>
      <c r="F151" s="141"/>
      <c r="H151" s="191"/>
      <c r="I151" s="84"/>
      <c r="K151" s="86"/>
      <c r="L151" s="86"/>
      <c r="M151" s="86"/>
      <c r="O151" s="100"/>
      <c r="P151" s="143"/>
      <c r="Q151" s="102"/>
      <c r="R151" s="103"/>
      <c r="S151" s="144" t="s">
        <v>100</v>
      </c>
      <c r="T151" s="112" t="s">
        <v>99</v>
      </c>
      <c r="U151" s="106" t="s">
        <v>131</v>
      </c>
      <c r="V151" s="107">
        <v>15</v>
      </c>
      <c r="W151" s="108"/>
      <c r="X151" s="109"/>
      <c r="Y151" s="20">
        <f t="shared" si="6"/>
        <v>0</v>
      </c>
      <c r="AA151" s="98">
        <f t="shared" si="7"/>
        <v>0</v>
      </c>
      <c r="AB151" s="98">
        <f t="shared" si="8"/>
        <v>0</v>
      </c>
    </row>
    <row r="152" spans="1:28" ht="22.35" customHeight="1" thickBot="1" x14ac:dyDescent="0.3">
      <c r="A152" s="80"/>
      <c r="B152" s="80"/>
      <c r="F152" s="141"/>
      <c r="H152" s="191"/>
      <c r="I152" s="84"/>
      <c r="K152" s="86"/>
      <c r="L152" s="86"/>
      <c r="M152" s="86"/>
      <c r="O152" s="100"/>
      <c r="P152" s="143"/>
      <c r="Q152" s="102"/>
      <c r="R152" s="103"/>
      <c r="S152" s="144" t="s">
        <v>100</v>
      </c>
      <c r="T152" s="112" t="s">
        <v>99</v>
      </c>
      <c r="U152" s="106" t="s">
        <v>131</v>
      </c>
      <c r="V152" s="107">
        <v>15</v>
      </c>
      <c r="W152" s="108"/>
      <c r="X152" s="109"/>
      <c r="Y152" s="20">
        <f t="shared" si="6"/>
        <v>0</v>
      </c>
      <c r="AA152" s="98">
        <f t="shared" si="7"/>
        <v>0</v>
      </c>
      <c r="AB152" s="98">
        <f t="shared" si="8"/>
        <v>0</v>
      </c>
    </row>
    <row r="153" spans="1:28" ht="22.35" customHeight="1" thickBot="1" x14ac:dyDescent="0.3">
      <c r="A153" s="80"/>
      <c r="B153" s="80"/>
      <c r="F153" s="141"/>
      <c r="H153" s="191"/>
      <c r="I153" s="84"/>
      <c r="K153" s="86"/>
      <c r="L153" s="86"/>
      <c r="M153" s="86"/>
      <c r="O153" s="100"/>
      <c r="P153" s="143"/>
      <c r="Q153" s="102"/>
      <c r="R153" s="103"/>
      <c r="S153" s="144" t="s">
        <v>100</v>
      </c>
      <c r="T153" s="112" t="s">
        <v>99</v>
      </c>
      <c r="U153" s="106" t="s">
        <v>131</v>
      </c>
      <c r="V153" s="107">
        <v>15</v>
      </c>
      <c r="W153" s="108"/>
      <c r="X153" s="109"/>
      <c r="Y153" s="20">
        <f t="shared" si="6"/>
        <v>0</v>
      </c>
      <c r="AA153" s="98">
        <f t="shared" si="7"/>
        <v>0</v>
      </c>
      <c r="AB153" s="98">
        <f t="shared" si="8"/>
        <v>0</v>
      </c>
    </row>
    <row r="154" spans="1:28" ht="22.35" customHeight="1" thickBot="1" x14ac:dyDescent="0.3">
      <c r="A154" s="80"/>
      <c r="B154" s="80"/>
      <c r="F154" s="141"/>
      <c r="H154" s="191"/>
      <c r="I154" s="84"/>
      <c r="K154" s="86"/>
      <c r="L154" s="86"/>
      <c r="M154" s="86"/>
      <c r="O154" s="100"/>
      <c r="P154" s="143"/>
      <c r="Q154" s="102"/>
      <c r="R154" s="103"/>
      <c r="S154" s="144" t="s">
        <v>100</v>
      </c>
      <c r="T154" s="112" t="s">
        <v>99</v>
      </c>
      <c r="U154" s="106" t="s">
        <v>131</v>
      </c>
      <c r="V154" s="107">
        <v>15</v>
      </c>
      <c r="W154" s="108"/>
      <c r="X154" s="109"/>
      <c r="Y154" s="20">
        <f t="shared" si="6"/>
        <v>0</v>
      </c>
      <c r="AA154" s="98">
        <f t="shared" si="7"/>
        <v>0</v>
      </c>
      <c r="AB154" s="98">
        <f t="shared" si="8"/>
        <v>0</v>
      </c>
    </row>
    <row r="155" spans="1:28" ht="22.35" customHeight="1" thickBot="1" x14ac:dyDescent="0.3">
      <c r="A155" s="209"/>
      <c r="B155" s="209"/>
      <c r="C155" s="210"/>
      <c r="D155" s="211"/>
      <c r="E155" s="211"/>
      <c r="F155" s="236"/>
      <c r="G155" s="213"/>
      <c r="H155" s="191"/>
      <c r="I155" s="238"/>
      <c r="J155" s="211"/>
      <c r="K155" s="215"/>
      <c r="L155" s="215"/>
      <c r="M155" s="215"/>
      <c r="N155" s="216"/>
      <c r="O155" s="239"/>
      <c r="P155" s="240"/>
      <c r="Q155" s="154"/>
      <c r="R155" s="241"/>
      <c r="S155" s="242" t="s">
        <v>100</v>
      </c>
      <c r="T155" s="243" t="s">
        <v>99</v>
      </c>
      <c r="U155" s="244" t="s">
        <v>131</v>
      </c>
      <c r="V155" s="233">
        <v>15</v>
      </c>
      <c r="W155" s="108"/>
      <c r="X155" s="109"/>
      <c r="Y155" s="20">
        <f t="shared" si="6"/>
        <v>0</v>
      </c>
      <c r="AA155" s="98">
        <f t="shared" si="7"/>
        <v>0</v>
      </c>
      <c r="AB155" s="98">
        <f t="shared" si="8"/>
        <v>0</v>
      </c>
    </row>
    <row r="156" spans="1:28" ht="22.35" customHeight="1" thickBot="1" x14ac:dyDescent="0.3">
      <c r="A156" s="80"/>
      <c r="B156" s="80"/>
      <c r="H156" s="191"/>
      <c r="K156" s="86"/>
      <c r="L156" s="86">
        <v>4</v>
      </c>
      <c r="M156" s="86"/>
      <c r="N156" s="87">
        <v>1</v>
      </c>
      <c r="O156" s="223"/>
      <c r="P156" s="224"/>
      <c r="Q156" s="224"/>
      <c r="R156" s="225"/>
      <c r="S156" s="226" t="s">
        <v>132</v>
      </c>
      <c r="T156" s="94" t="s">
        <v>99</v>
      </c>
      <c r="U156" s="106" t="s">
        <v>131</v>
      </c>
      <c r="V156" s="107">
        <v>15</v>
      </c>
      <c r="W156" s="108"/>
      <c r="X156" s="109" t="s">
        <v>45</v>
      </c>
      <c r="Y156" s="20">
        <f t="shared" si="6"/>
        <v>0</v>
      </c>
      <c r="AA156" s="98">
        <f t="shared" si="7"/>
        <v>0</v>
      </c>
      <c r="AB156" s="98">
        <f t="shared" si="8"/>
        <v>0</v>
      </c>
    </row>
    <row r="157" spans="1:28" ht="22.35" customHeight="1" thickBot="1" x14ac:dyDescent="0.3">
      <c r="A157" s="209"/>
      <c r="B157" s="209"/>
      <c r="C157" s="193"/>
      <c r="D157" s="194"/>
      <c r="E157" s="194"/>
      <c r="F157" s="227"/>
      <c r="G157" s="196"/>
      <c r="H157" s="191"/>
      <c r="I157" s="196"/>
      <c r="J157" s="194"/>
      <c r="K157" s="198"/>
      <c r="L157" s="198">
        <v>4</v>
      </c>
      <c r="M157" s="198"/>
      <c r="N157" s="228">
        <v>1</v>
      </c>
      <c r="O157" s="229"/>
      <c r="P157" s="230"/>
      <c r="Q157" s="230"/>
      <c r="R157" s="231"/>
      <c r="S157" s="232" t="s">
        <v>133</v>
      </c>
      <c r="T157" s="251" t="s">
        <v>99</v>
      </c>
      <c r="U157" s="125" t="s">
        <v>131</v>
      </c>
      <c r="V157" s="233">
        <v>15</v>
      </c>
      <c r="W157" s="108"/>
      <c r="X157" s="109" t="s">
        <v>55</v>
      </c>
      <c r="Y157" s="20">
        <f t="shared" si="6"/>
        <v>0</v>
      </c>
      <c r="AA157" s="98">
        <f t="shared" si="7"/>
        <v>0</v>
      </c>
      <c r="AB157" s="98">
        <f t="shared" si="8"/>
        <v>0</v>
      </c>
    </row>
    <row r="158" spans="1:28" ht="22.35" customHeight="1" thickBot="1" x14ac:dyDescent="0.3">
      <c r="A158" s="80"/>
      <c r="B158" s="80"/>
      <c r="C158" s="128"/>
      <c r="D158" s="129"/>
      <c r="E158" s="129"/>
      <c r="F158" s="234"/>
      <c r="G158" s="132"/>
      <c r="H158" s="191"/>
      <c r="I158" s="132"/>
      <c r="J158" s="129"/>
      <c r="K158" s="133"/>
      <c r="L158" s="133">
        <v>4</v>
      </c>
      <c r="M158" s="133"/>
      <c r="N158" s="134">
        <v>1</v>
      </c>
      <c r="O158" s="235"/>
      <c r="P158" s="206"/>
      <c r="Q158" s="206"/>
      <c r="R158" s="207"/>
      <c r="S158" s="226" t="s">
        <v>134</v>
      </c>
      <c r="T158" s="140" t="s">
        <v>99</v>
      </c>
      <c r="U158" s="106" t="s">
        <v>131</v>
      </c>
      <c r="V158" s="107">
        <v>16</v>
      </c>
      <c r="W158" s="108"/>
      <c r="X158" s="109" t="s">
        <v>45</v>
      </c>
      <c r="Y158" s="20">
        <f t="shared" si="6"/>
        <v>0</v>
      </c>
      <c r="AA158" s="98">
        <f t="shared" si="7"/>
        <v>0</v>
      </c>
      <c r="AB158" s="98">
        <f t="shared" si="8"/>
        <v>0</v>
      </c>
    </row>
    <row r="159" spans="1:28" ht="22.35" customHeight="1" thickBot="1" x14ac:dyDescent="0.3">
      <c r="A159" s="80"/>
      <c r="B159" s="80"/>
      <c r="H159" s="191"/>
      <c r="K159" s="86"/>
      <c r="L159" s="86">
        <v>4</v>
      </c>
      <c r="M159" s="86"/>
      <c r="N159" s="87">
        <v>1</v>
      </c>
      <c r="O159" s="223"/>
      <c r="P159" s="224"/>
      <c r="Q159" s="224"/>
      <c r="R159" s="225"/>
      <c r="S159" s="226" t="s">
        <v>135</v>
      </c>
      <c r="T159" s="112" t="s">
        <v>99</v>
      </c>
      <c r="U159" s="106" t="s">
        <v>131</v>
      </c>
      <c r="V159" s="107">
        <v>16</v>
      </c>
      <c r="W159" s="108"/>
      <c r="X159" s="109" t="s">
        <v>55</v>
      </c>
      <c r="Y159" s="20">
        <f t="shared" si="6"/>
        <v>0</v>
      </c>
      <c r="AA159" s="98">
        <f t="shared" si="7"/>
        <v>0</v>
      </c>
      <c r="AB159" s="98">
        <f t="shared" si="8"/>
        <v>0</v>
      </c>
    </row>
    <row r="160" spans="1:28" ht="22.35" customHeight="1" thickBot="1" x14ac:dyDescent="0.3">
      <c r="A160" s="80"/>
      <c r="B160" s="80"/>
      <c r="H160" s="191"/>
      <c r="K160" s="86"/>
      <c r="L160" s="86">
        <v>4</v>
      </c>
      <c r="M160" s="86"/>
      <c r="N160" s="87">
        <v>1</v>
      </c>
      <c r="O160" s="223"/>
      <c r="P160" s="224"/>
      <c r="Q160" s="224"/>
      <c r="R160" s="225"/>
      <c r="S160" s="226" t="s">
        <v>136</v>
      </c>
      <c r="T160" s="112" t="s">
        <v>99</v>
      </c>
      <c r="U160" s="106" t="s">
        <v>131</v>
      </c>
      <c r="V160" s="107">
        <v>16</v>
      </c>
      <c r="W160" s="108"/>
      <c r="X160" s="109" t="s">
        <v>117</v>
      </c>
      <c r="Y160" s="20">
        <f t="shared" si="6"/>
        <v>0</v>
      </c>
      <c r="AA160" s="98">
        <f t="shared" si="7"/>
        <v>0</v>
      </c>
      <c r="AB160" s="98">
        <f t="shared" si="8"/>
        <v>0</v>
      </c>
    </row>
    <row r="161" spans="1:35" ht="22.35" customHeight="1" thickBot="1" x14ac:dyDescent="0.3">
      <c r="A161" s="209"/>
      <c r="B161" s="209"/>
      <c r="C161" s="193"/>
      <c r="D161" s="194"/>
      <c r="E161" s="194"/>
      <c r="F161" s="227"/>
      <c r="G161" s="196"/>
      <c r="H161" s="191"/>
      <c r="I161" s="196"/>
      <c r="J161" s="194"/>
      <c r="K161" s="198"/>
      <c r="L161" s="198">
        <v>4</v>
      </c>
      <c r="M161" s="198"/>
      <c r="N161" s="228">
        <v>1</v>
      </c>
      <c r="O161" s="229"/>
      <c r="P161" s="230"/>
      <c r="Q161" s="230"/>
      <c r="R161" s="231"/>
      <c r="S161" s="232" t="s">
        <v>137</v>
      </c>
      <c r="T161" s="251" t="s">
        <v>99</v>
      </c>
      <c r="U161" s="125" t="s">
        <v>131</v>
      </c>
      <c r="V161" s="233">
        <v>16</v>
      </c>
      <c r="W161" s="108"/>
      <c r="X161" s="109" t="s">
        <v>119</v>
      </c>
      <c r="Y161" s="20">
        <f t="shared" si="6"/>
        <v>0</v>
      </c>
      <c r="AA161" s="98">
        <f t="shared" si="7"/>
        <v>0</v>
      </c>
      <c r="AB161" s="98">
        <f t="shared" si="8"/>
        <v>0</v>
      </c>
    </row>
    <row r="162" spans="1:35" ht="22.35" customHeight="1" thickBot="1" x14ac:dyDescent="0.3">
      <c r="A162" s="127"/>
      <c r="B162" s="127"/>
      <c r="C162" s="128"/>
      <c r="D162" s="129"/>
      <c r="E162" s="129"/>
      <c r="F162" s="130"/>
      <c r="G162" s="132"/>
      <c r="H162" s="99"/>
      <c r="I162" s="158"/>
      <c r="J162" s="129"/>
      <c r="K162" s="159"/>
      <c r="L162" s="133"/>
      <c r="M162" s="133"/>
      <c r="N162" s="134"/>
      <c r="O162" s="135"/>
      <c r="P162" s="136"/>
      <c r="Q162" s="137"/>
      <c r="R162" s="138"/>
      <c r="S162" s="144" t="s">
        <v>138</v>
      </c>
      <c r="T162" s="140" t="s">
        <v>99</v>
      </c>
      <c r="U162" s="106"/>
      <c r="V162" s="107">
        <v>17</v>
      </c>
      <c r="W162" s="96"/>
      <c r="X162" s="97"/>
      <c r="Y162" s="20">
        <f t="shared" si="6"/>
        <v>0</v>
      </c>
      <c r="AA162" s="98">
        <f t="shared" si="7"/>
        <v>0</v>
      </c>
      <c r="AB162" s="98">
        <f t="shared" si="8"/>
        <v>0</v>
      </c>
      <c r="AC162" s="110"/>
      <c r="AD162" s="77"/>
      <c r="AE162" s="77"/>
      <c r="AF162" s="75"/>
      <c r="AG162" s="75"/>
      <c r="AH162" s="75"/>
      <c r="AI162" s="75"/>
    </row>
    <row r="163" spans="1:35" ht="22.35" customHeight="1" thickBot="1" x14ac:dyDescent="0.3">
      <c r="A163" s="80"/>
      <c r="B163" s="80"/>
      <c r="F163" s="141"/>
      <c r="H163" s="99"/>
      <c r="I163" s="84"/>
      <c r="K163" s="86"/>
      <c r="L163" s="86"/>
      <c r="M163" s="86"/>
      <c r="O163" s="100"/>
      <c r="P163" s="143"/>
      <c r="Q163" s="102"/>
      <c r="R163" s="103"/>
      <c r="S163" s="144" t="s">
        <v>138</v>
      </c>
      <c r="T163" s="112" t="s">
        <v>99</v>
      </c>
      <c r="U163" s="106"/>
      <c r="V163" s="107">
        <v>17</v>
      </c>
      <c r="W163" s="108"/>
      <c r="X163" s="109"/>
      <c r="Y163" s="20">
        <f t="shared" si="6"/>
        <v>0</v>
      </c>
      <c r="AA163" s="98">
        <f t="shared" si="7"/>
        <v>0</v>
      </c>
      <c r="AB163" s="98">
        <f t="shared" si="8"/>
        <v>0</v>
      </c>
      <c r="AC163" s="110"/>
      <c r="AD163" s="77"/>
      <c r="AE163" s="77"/>
      <c r="AF163" s="75"/>
      <c r="AG163" s="75"/>
      <c r="AH163" s="75"/>
      <c r="AI163" s="75"/>
    </row>
    <row r="164" spans="1:35" ht="22.35" customHeight="1" thickBot="1" x14ac:dyDescent="0.3">
      <c r="A164" s="80"/>
      <c r="B164" s="80"/>
      <c r="F164" s="141"/>
      <c r="H164" s="99"/>
      <c r="I164" s="84"/>
      <c r="K164" s="86"/>
      <c r="L164" s="86"/>
      <c r="M164" s="86"/>
      <c r="O164" s="100"/>
      <c r="P164" s="143"/>
      <c r="Q164" s="90"/>
      <c r="R164" s="91"/>
      <c r="S164" s="144" t="s">
        <v>138</v>
      </c>
      <c r="T164" s="112" t="s">
        <v>99</v>
      </c>
      <c r="U164" s="106"/>
      <c r="V164" s="107">
        <v>17</v>
      </c>
      <c r="W164" s="108"/>
      <c r="X164" s="109"/>
      <c r="Y164" s="20">
        <f t="shared" si="6"/>
        <v>0</v>
      </c>
      <c r="AA164" s="98">
        <f t="shared" si="7"/>
        <v>0</v>
      </c>
      <c r="AB164" s="98">
        <f t="shared" si="8"/>
        <v>0</v>
      </c>
      <c r="AC164" s="110"/>
      <c r="AD164" s="77"/>
      <c r="AE164" s="77"/>
      <c r="AF164" s="75"/>
      <c r="AG164" s="75"/>
      <c r="AH164" s="75"/>
      <c r="AI164" s="75"/>
    </row>
    <row r="165" spans="1:35" ht="22.35" customHeight="1" thickBot="1" x14ac:dyDescent="0.3">
      <c r="A165" s="80"/>
      <c r="B165" s="80"/>
      <c r="F165" s="141"/>
      <c r="H165" s="99"/>
      <c r="I165" s="84"/>
      <c r="K165" s="86"/>
      <c r="L165" s="86"/>
      <c r="M165" s="86"/>
      <c r="O165" s="100"/>
      <c r="P165" s="143"/>
      <c r="Q165" s="90"/>
      <c r="R165" s="91"/>
      <c r="S165" s="144" t="s">
        <v>138</v>
      </c>
      <c r="T165" s="112" t="s">
        <v>99</v>
      </c>
      <c r="U165" s="106"/>
      <c r="V165" s="107">
        <v>17</v>
      </c>
      <c r="W165" s="108"/>
      <c r="X165" s="109"/>
      <c r="Y165" s="20">
        <f t="shared" si="6"/>
        <v>0</v>
      </c>
      <c r="AA165" s="98">
        <f t="shared" si="7"/>
        <v>0</v>
      </c>
      <c r="AB165" s="98">
        <f t="shared" si="8"/>
        <v>0</v>
      </c>
      <c r="AC165" s="110"/>
      <c r="AD165" s="77"/>
      <c r="AE165" s="77"/>
      <c r="AF165" s="75"/>
      <c r="AG165" s="75"/>
      <c r="AH165" s="75"/>
      <c r="AI165" s="75"/>
    </row>
    <row r="166" spans="1:35" ht="22.35" customHeight="1" thickBot="1" x14ac:dyDescent="0.3">
      <c r="A166" s="80"/>
      <c r="B166" s="80"/>
      <c r="F166" s="141"/>
      <c r="H166" s="99"/>
      <c r="I166" s="84"/>
      <c r="K166" s="86"/>
      <c r="L166" s="86"/>
      <c r="M166" s="86"/>
      <c r="O166" s="100"/>
      <c r="P166" s="143"/>
      <c r="Q166" s="90"/>
      <c r="R166" s="91"/>
      <c r="S166" s="144" t="s">
        <v>138</v>
      </c>
      <c r="T166" s="112" t="s">
        <v>99</v>
      </c>
      <c r="U166" s="106"/>
      <c r="V166" s="107">
        <v>17</v>
      </c>
      <c r="W166" s="108"/>
      <c r="X166" s="109"/>
      <c r="Y166" s="20">
        <f t="shared" si="6"/>
        <v>0</v>
      </c>
      <c r="AA166" s="98">
        <f t="shared" si="7"/>
        <v>0</v>
      </c>
      <c r="AB166" s="98">
        <f t="shared" si="8"/>
        <v>0</v>
      </c>
      <c r="AC166" s="110"/>
      <c r="AD166" s="77"/>
      <c r="AE166" s="77"/>
      <c r="AF166" s="75"/>
      <c r="AG166" s="75"/>
      <c r="AH166" s="75"/>
      <c r="AI166" s="75"/>
    </row>
    <row r="167" spans="1:35" ht="22.35" customHeight="1" thickBot="1" x14ac:dyDescent="0.3">
      <c r="A167" s="80"/>
      <c r="B167" s="80"/>
      <c r="F167" s="141"/>
      <c r="H167" s="99"/>
      <c r="I167" s="84"/>
      <c r="K167" s="86"/>
      <c r="L167" s="86"/>
      <c r="M167" s="86"/>
      <c r="O167" s="100"/>
      <c r="P167" s="143"/>
      <c r="Q167" s="90"/>
      <c r="R167" s="91"/>
      <c r="S167" s="144" t="s">
        <v>138</v>
      </c>
      <c r="T167" s="112" t="s">
        <v>99</v>
      </c>
      <c r="U167" s="106"/>
      <c r="V167" s="107">
        <v>17</v>
      </c>
      <c r="W167" s="108"/>
      <c r="X167" s="109"/>
      <c r="Y167" s="20">
        <f t="shared" si="6"/>
        <v>0</v>
      </c>
      <c r="AA167" s="98">
        <f t="shared" si="7"/>
        <v>0</v>
      </c>
      <c r="AB167" s="98">
        <f t="shared" si="8"/>
        <v>0</v>
      </c>
      <c r="AC167" s="110"/>
      <c r="AD167" s="77"/>
      <c r="AE167" s="77"/>
      <c r="AF167" s="75"/>
      <c r="AG167" s="75"/>
      <c r="AH167" s="75"/>
      <c r="AI167" s="75"/>
    </row>
    <row r="168" spans="1:35" ht="22.35" customHeight="1" thickBot="1" x14ac:dyDescent="0.3">
      <c r="A168" s="80"/>
      <c r="B168" s="80"/>
      <c r="F168" s="141"/>
      <c r="H168" s="99"/>
      <c r="I168" s="84"/>
      <c r="K168" s="86"/>
      <c r="L168" s="86"/>
      <c r="M168" s="86"/>
      <c r="O168" s="100"/>
      <c r="P168" s="143"/>
      <c r="Q168" s="90"/>
      <c r="R168" s="91"/>
      <c r="S168" s="144" t="s">
        <v>138</v>
      </c>
      <c r="T168" s="112" t="s">
        <v>99</v>
      </c>
      <c r="U168" s="106"/>
      <c r="V168" s="107">
        <v>17</v>
      </c>
      <c r="W168" s="108"/>
      <c r="X168" s="109"/>
      <c r="Y168" s="20">
        <f t="shared" si="6"/>
        <v>0</v>
      </c>
      <c r="AA168" s="98">
        <f t="shared" si="7"/>
        <v>0</v>
      </c>
      <c r="AB168" s="98">
        <f t="shared" si="8"/>
        <v>0</v>
      </c>
      <c r="AC168" s="110"/>
      <c r="AD168" s="77"/>
      <c r="AE168" s="77"/>
      <c r="AF168" s="75"/>
      <c r="AG168" s="75"/>
      <c r="AH168" s="75"/>
      <c r="AI168" s="75"/>
    </row>
    <row r="169" spans="1:35" ht="22.35" customHeight="1" thickBot="1" x14ac:dyDescent="0.3">
      <c r="A169" s="80"/>
      <c r="B169" s="80"/>
      <c r="F169" s="141"/>
      <c r="H169" s="99"/>
      <c r="I169" s="84"/>
      <c r="K169" s="86"/>
      <c r="L169" s="86"/>
      <c r="M169" s="86"/>
      <c r="O169" s="100"/>
      <c r="P169" s="143"/>
      <c r="Q169" s="90"/>
      <c r="R169" s="91"/>
      <c r="S169" s="144" t="s">
        <v>138</v>
      </c>
      <c r="T169" s="112" t="s">
        <v>99</v>
      </c>
      <c r="U169" s="106"/>
      <c r="V169" s="107">
        <v>17</v>
      </c>
      <c r="W169" s="108"/>
      <c r="X169" s="109"/>
      <c r="Y169" s="20">
        <f t="shared" si="6"/>
        <v>0</v>
      </c>
      <c r="AA169" s="98">
        <f t="shared" si="7"/>
        <v>0</v>
      </c>
      <c r="AB169" s="98">
        <f t="shared" si="8"/>
        <v>0</v>
      </c>
      <c r="AC169" s="110"/>
      <c r="AD169" s="77"/>
      <c r="AE169" s="77"/>
      <c r="AF169" s="75"/>
      <c r="AG169" s="75"/>
      <c r="AH169" s="75"/>
      <c r="AI169" s="75"/>
    </row>
    <row r="170" spans="1:35" ht="22.35" customHeight="1" thickBot="1" x14ac:dyDescent="0.3">
      <c r="A170" s="80"/>
      <c r="B170" s="80"/>
      <c r="F170" s="141"/>
      <c r="H170" s="99"/>
      <c r="I170" s="84"/>
      <c r="K170" s="86"/>
      <c r="L170" s="86"/>
      <c r="M170" s="86"/>
      <c r="O170" s="100"/>
      <c r="P170" s="143"/>
      <c r="Q170" s="90"/>
      <c r="R170" s="91"/>
      <c r="S170" s="144" t="s">
        <v>138</v>
      </c>
      <c r="T170" s="112" t="s">
        <v>99</v>
      </c>
      <c r="U170" s="106"/>
      <c r="V170" s="107">
        <v>17</v>
      </c>
      <c r="W170" s="108"/>
      <c r="X170" s="109"/>
      <c r="Y170" s="20">
        <f t="shared" si="6"/>
        <v>0</v>
      </c>
      <c r="AA170" s="98">
        <f t="shared" si="7"/>
        <v>0</v>
      </c>
      <c r="AB170" s="98">
        <f t="shared" si="8"/>
        <v>0</v>
      </c>
      <c r="AC170" s="110"/>
      <c r="AD170" s="77"/>
      <c r="AE170" s="77"/>
      <c r="AF170" s="75"/>
      <c r="AG170" s="75"/>
      <c r="AH170" s="75"/>
      <c r="AI170" s="75"/>
    </row>
    <row r="171" spans="1:35" ht="22.35" customHeight="1" thickBot="1" x14ac:dyDescent="0.3">
      <c r="A171" s="80"/>
      <c r="B171" s="80"/>
      <c r="F171" s="141"/>
      <c r="H171" s="99"/>
      <c r="I171" s="84"/>
      <c r="K171" s="86"/>
      <c r="L171" s="86"/>
      <c r="M171" s="86"/>
      <c r="O171" s="100"/>
      <c r="P171" s="143"/>
      <c r="Q171" s="90"/>
      <c r="R171" s="91"/>
      <c r="S171" s="144" t="s">
        <v>138</v>
      </c>
      <c r="T171" s="112" t="s">
        <v>99</v>
      </c>
      <c r="U171" s="106"/>
      <c r="V171" s="107">
        <v>17</v>
      </c>
      <c r="W171" s="108"/>
      <c r="X171" s="109"/>
      <c r="Y171" s="20">
        <f t="shared" si="6"/>
        <v>0</v>
      </c>
      <c r="AA171" s="98">
        <f t="shared" si="7"/>
        <v>0</v>
      </c>
      <c r="AB171" s="98">
        <f t="shared" si="8"/>
        <v>0</v>
      </c>
      <c r="AC171" s="110"/>
      <c r="AD171" s="77"/>
      <c r="AE171" s="77"/>
      <c r="AF171" s="75"/>
      <c r="AG171" s="75"/>
      <c r="AH171" s="75"/>
      <c r="AI171" s="75"/>
    </row>
    <row r="172" spans="1:35" ht="22.35" customHeight="1" thickBot="1" x14ac:dyDescent="0.3">
      <c r="A172" s="80"/>
      <c r="B172" s="80"/>
      <c r="F172" s="141"/>
      <c r="H172" s="99"/>
      <c r="I172" s="84"/>
      <c r="K172" s="86"/>
      <c r="L172" s="86"/>
      <c r="M172" s="86"/>
      <c r="O172" s="100"/>
      <c r="P172" s="143"/>
      <c r="Q172" s="90"/>
      <c r="R172" s="91"/>
      <c r="S172" s="144" t="s">
        <v>138</v>
      </c>
      <c r="T172" s="112" t="s">
        <v>99</v>
      </c>
      <c r="U172" s="106"/>
      <c r="V172" s="107">
        <v>17</v>
      </c>
      <c r="W172" s="108"/>
      <c r="X172" s="109"/>
      <c r="Y172" s="20">
        <f t="shared" si="6"/>
        <v>0</v>
      </c>
      <c r="AA172" s="98">
        <f t="shared" si="7"/>
        <v>0</v>
      </c>
      <c r="AB172" s="98">
        <f t="shared" si="8"/>
        <v>0</v>
      </c>
      <c r="AC172" s="110"/>
      <c r="AD172" s="77"/>
      <c r="AE172" s="77"/>
      <c r="AF172" s="75"/>
      <c r="AG172" s="75"/>
      <c r="AH172" s="75"/>
      <c r="AI172" s="75"/>
    </row>
    <row r="173" spans="1:35" ht="22.35" customHeight="1" thickBot="1" x14ac:dyDescent="0.3">
      <c r="A173" s="80"/>
      <c r="B173" s="80"/>
      <c r="F173" s="141"/>
      <c r="H173" s="99"/>
      <c r="I173" s="84"/>
      <c r="K173" s="86"/>
      <c r="L173" s="86"/>
      <c r="M173" s="86"/>
      <c r="O173" s="100"/>
      <c r="P173" s="143"/>
      <c r="Q173" s="90"/>
      <c r="R173" s="91"/>
      <c r="S173" s="144" t="s">
        <v>138</v>
      </c>
      <c r="T173" s="112" t="s">
        <v>99</v>
      </c>
      <c r="U173" s="106"/>
      <c r="V173" s="107">
        <v>17</v>
      </c>
      <c r="W173" s="108"/>
      <c r="X173" s="109"/>
      <c r="Y173" s="20">
        <f t="shared" si="6"/>
        <v>0</v>
      </c>
      <c r="AA173" s="98">
        <f t="shared" si="7"/>
        <v>0</v>
      </c>
      <c r="AB173" s="98">
        <f t="shared" si="8"/>
        <v>0</v>
      </c>
      <c r="AC173" s="110"/>
      <c r="AD173" s="77"/>
      <c r="AE173" s="77"/>
      <c r="AF173" s="75"/>
      <c r="AG173" s="75"/>
      <c r="AH173" s="75"/>
      <c r="AI173" s="75"/>
    </row>
    <row r="174" spans="1:35" ht="22.35" customHeight="1" thickBot="1" x14ac:dyDescent="0.3">
      <c r="A174" s="80"/>
      <c r="B174" s="80"/>
      <c r="F174" s="141"/>
      <c r="H174" s="99"/>
      <c r="I174" s="84"/>
      <c r="K174" s="86"/>
      <c r="L174" s="86"/>
      <c r="M174" s="86"/>
      <c r="O174" s="100"/>
      <c r="P174" s="143"/>
      <c r="Q174" s="90"/>
      <c r="R174" s="91"/>
      <c r="S174" s="144" t="s">
        <v>138</v>
      </c>
      <c r="T174" s="112" t="s">
        <v>99</v>
      </c>
      <c r="U174" s="106"/>
      <c r="V174" s="107">
        <v>17</v>
      </c>
      <c r="W174" s="108"/>
      <c r="X174" s="109"/>
      <c r="Y174" s="20">
        <f t="shared" si="6"/>
        <v>0</v>
      </c>
      <c r="AA174" s="98">
        <f t="shared" si="7"/>
        <v>0</v>
      </c>
      <c r="AB174" s="98">
        <f t="shared" si="8"/>
        <v>0</v>
      </c>
      <c r="AC174" s="110"/>
      <c r="AD174" s="77"/>
      <c r="AE174" s="77"/>
      <c r="AF174" s="75"/>
      <c r="AG174" s="75"/>
      <c r="AH174" s="75"/>
      <c r="AI174" s="75"/>
    </row>
    <row r="175" spans="1:35" ht="22.35" customHeight="1" thickBot="1" x14ac:dyDescent="0.3">
      <c r="A175" s="80"/>
      <c r="B175" s="80"/>
      <c r="F175" s="141"/>
      <c r="H175" s="99"/>
      <c r="I175" s="84"/>
      <c r="K175" s="86"/>
      <c r="L175" s="86"/>
      <c r="M175" s="86"/>
      <c r="O175" s="100"/>
      <c r="P175" s="143"/>
      <c r="Q175" s="90"/>
      <c r="R175" s="91"/>
      <c r="S175" s="144" t="s">
        <v>138</v>
      </c>
      <c r="T175" s="112" t="s">
        <v>99</v>
      </c>
      <c r="U175" s="106"/>
      <c r="V175" s="107">
        <v>17</v>
      </c>
      <c r="W175" s="160"/>
      <c r="X175" s="161"/>
      <c r="Y175" s="20">
        <f t="shared" si="6"/>
        <v>0</v>
      </c>
      <c r="AA175" s="98">
        <f t="shared" si="7"/>
        <v>0</v>
      </c>
      <c r="AB175" s="98">
        <f t="shared" si="8"/>
        <v>0</v>
      </c>
      <c r="AC175" s="110"/>
      <c r="AD175" s="77"/>
      <c r="AE175" s="77"/>
      <c r="AF175" s="75"/>
      <c r="AG175" s="75"/>
      <c r="AH175" s="75"/>
      <c r="AI175" s="75"/>
    </row>
    <row r="176" spans="1:35" ht="22.35" customHeight="1" thickBot="1" x14ac:dyDescent="0.3">
      <c r="A176" s="80"/>
      <c r="B176" s="80"/>
      <c r="F176" s="141"/>
      <c r="H176" s="99"/>
      <c r="I176" s="84"/>
      <c r="K176" s="86"/>
      <c r="L176" s="86"/>
      <c r="M176" s="86"/>
      <c r="O176" s="100"/>
      <c r="P176" s="143"/>
      <c r="Q176" s="90"/>
      <c r="R176" s="91"/>
      <c r="S176" s="144" t="s">
        <v>138</v>
      </c>
      <c r="T176" s="112" t="s">
        <v>99</v>
      </c>
      <c r="U176" s="106"/>
      <c r="V176" s="107">
        <v>17</v>
      </c>
      <c r="W176" s="160"/>
      <c r="X176" s="161"/>
      <c r="Y176" s="20">
        <f t="shared" si="6"/>
        <v>0</v>
      </c>
      <c r="AA176" s="98">
        <f t="shared" si="7"/>
        <v>0</v>
      </c>
      <c r="AB176" s="98">
        <f t="shared" si="8"/>
        <v>0</v>
      </c>
      <c r="AC176" s="110"/>
      <c r="AD176" s="77"/>
      <c r="AE176" s="77"/>
      <c r="AF176" s="75"/>
      <c r="AG176" s="75"/>
      <c r="AH176" s="75"/>
      <c r="AI176" s="75"/>
    </row>
    <row r="177" spans="1:35" ht="22.35" customHeight="1" thickBot="1" x14ac:dyDescent="0.3">
      <c r="A177" s="252"/>
      <c r="B177" s="252"/>
      <c r="C177" s="253"/>
      <c r="D177" s="254"/>
      <c r="E177" s="254"/>
      <c r="F177" s="195"/>
      <c r="G177" s="196"/>
      <c r="H177" s="255"/>
      <c r="I177" s="256"/>
      <c r="J177" s="257"/>
      <c r="K177" s="258"/>
      <c r="L177" s="258"/>
      <c r="M177" s="258"/>
      <c r="N177" s="228"/>
      <c r="O177" s="200"/>
      <c r="P177" s="202"/>
      <c r="Q177" s="259"/>
      <c r="R177" s="260"/>
      <c r="S177" s="155" t="s">
        <v>138</v>
      </c>
      <c r="T177" s="124" t="s">
        <v>99</v>
      </c>
      <c r="U177" s="125"/>
      <c r="V177" s="126">
        <v>17</v>
      </c>
      <c r="W177" s="261"/>
      <c r="X177" s="262"/>
      <c r="Y177" s="20">
        <f t="shared" si="6"/>
        <v>0</v>
      </c>
      <c r="AA177" s="98">
        <f t="shared" si="7"/>
        <v>0</v>
      </c>
      <c r="AB177" s="98">
        <f t="shared" si="8"/>
        <v>0</v>
      </c>
      <c r="AC177" s="110"/>
      <c r="AD177" s="77"/>
      <c r="AE177" s="77"/>
      <c r="AF177" s="75"/>
      <c r="AG177" s="75"/>
      <c r="AH177" s="75"/>
      <c r="AI177" s="75"/>
    </row>
    <row r="178" spans="1:35" ht="22.35" customHeight="1" thickBot="1" x14ac:dyDescent="0.3">
      <c r="A178" s="127"/>
      <c r="B178" s="127"/>
      <c r="C178" s="128"/>
      <c r="D178" s="129"/>
      <c r="E178" s="129"/>
      <c r="F178" s="130"/>
      <c r="G178" s="132"/>
      <c r="H178" s="99"/>
      <c r="I178" s="158"/>
      <c r="J178" s="129"/>
      <c r="K178" s="159"/>
      <c r="L178" s="133"/>
      <c r="M178" s="133"/>
      <c r="N178" s="134"/>
      <c r="O178" s="135"/>
      <c r="P178" s="136"/>
      <c r="Q178" s="137"/>
      <c r="R178" s="138"/>
      <c r="S178" s="144" t="s">
        <v>138</v>
      </c>
      <c r="T178" s="112" t="s">
        <v>99</v>
      </c>
      <c r="U178" s="106"/>
      <c r="V178" s="107">
        <v>18</v>
      </c>
      <c r="W178" s="96"/>
      <c r="X178" s="97"/>
      <c r="Y178" s="20">
        <f t="shared" si="6"/>
        <v>0</v>
      </c>
      <c r="AA178" s="98">
        <f t="shared" si="7"/>
        <v>0</v>
      </c>
      <c r="AB178" s="98">
        <f t="shared" si="8"/>
        <v>0</v>
      </c>
      <c r="AC178" s="110"/>
      <c r="AD178" s="77"/>
      <c r="AE178" s="77"/>
      <c r="AF178" s="75"/>
      <c r="AG178" s="75"/>
      <c r="AH178" s="75"/>
      <c r="AI178" s="75"/>
    </row>
    <row r="179" spans="1:35" ht="22.35" customHeight="1" thickBot="1" x14ac:dyDescent="0.3">
      <c r="A179" s="80"/>
      <c r="B179" s="80"/>
      <c r="F179" s="141"/>
      <c r="H179" s="99"/>
      <c r="I179" s="84"/>
      <c r="K179" s="86"/>
      <c r="L179" s="86"/>
      <c r="M179" s="86"/>
      <c r="O179" s="100"/>
      <c r="P179" s="143"/>
      <c r="Q179" s="102"/>
      <c r="R179" s="103"/>
      <c r="S179" s="144" t="s">
        <v>138</v>
      </c>
      <c r="T179" s="112" t="s">
        <v>99</v>
      </c>
      <c r="U179" s="106"/>
      <c r="V179" s="107">
        <v>18</v>
      </c>
      <c r="W179" s="108"/>
      <c r="X179" s="109"/>
      <c r="Y179" s="20">
        <f t="shared" si="6"/>
        <v>0</v>
      </c>
      <c r="AA179" s="98">
        <f t="shared" si="7"/>
        <v>0</v>
      </c>
      <c r="AB179" s="98">
        <f t="shared" si="8"/>
        <v>0</v>
      </c>
      <c r="AC179" s="110"/>
      <c r="AD179" s="77"/>
      <c r="AE179" s="77"/>
      <c r="AF179" s="75"/>
      <c r="AG179" s="75"/>
      <c r="AH179" s="75"/>
      <c r="AI179" s="75"/>
    </row>
    <row r="180" spans="1:35" ht="22.35" customHeight="1" thickBot="1" x14ac:dyDescent="0.3">
      <c r="A180" s="80"/>
      <c r="B180" s="80"/>
      <c r="F180" s="141"/>
      <c r="H180" s="99"/>
      <c r="I180" s="84"/>
      <c r="K180" s="86"/>
      <c r="L180" s="86"/>
      <c r="M180" s="86"/>
      <c r="O180" s="100"/>
      <c r="P180" s="143"/>
      <c r="Q180" s="90"/>
      <c r="R180" s="91"/>
      <c r="S180" s="144" t="s">
        <v>138</v>
      </c>
      <c r="T180" s="112" t="s">
        <v>99</v>
      </c>
      <c r="U180" s="106"/>
      <c r="V180" s="107">
        <v>18</v>
      </c>
      <c r="W180" s="108"/>
      <c r="X180" s="109"/>
      <c r="Y180" s="20">
        <f t="shared" si="6"/>
        <v>0</v>
      </c>
      <c r="AA180" s="98">
        <f t="shared" si="7"/>
        <v>0</v>
      </c>
      <c r="AB180" s="98">
        <f t="shared" si="8"/>
        <v>0</v>
      </c>
      <c r="AC180" s="110"/>
      <c r="AD180" s="77"/>
      <c r="AE180" s="77"/>
      <c r="AF180" s="75"/>
      <c r="AG180" s="75"/>
      <c r="AH180" s="75"/>
      <c r="AI180" s="75"/>
    </row>
    <row r="181" spans="1:35" ht="22.35" customHeight="1" thickBot="1" x14ac:dyDescent="0.3">
      <c r="A181" s="80"/>
      <c r="B181" s="80"/>
      <c r="F181" s="141"/>
      <c r="H181" s="99"/>
      <c r="I181" s="84"/>
      <c r="K181" s="86"/>
      <c r="L181" s="86"/>
      <c r="M181" s="86"/>
      <c r="O181" s="100"/>
      <c r="P181" s="143"/>
      <c r="Q181" s="90"/>
      <c r="R181" s="91"/>
      <c r="S181" s="144" t="s">
        <v>138</v>
      </c>
      <c r="T181" s="112" t="s">
        <v>99</v>
      </c>
      <c r="U181" s="106"/>
      <c r="V181" s="107">
        <v>18</v>
      </c>
      <c r="W181" s="108"/>
      <c r="X181" s="109"/>
      <c r="Y181" s="20">
        <f t="shared" si="6"/>
        <v>0</v>
      </c>
      <c r="AA181" s="98">
        <f t="shared" si="7"/>
        <v>0</v>
      </c>
      <c r="AB181" s="98">
        <f t="shared" si="8"/>
        <v>0</v>
      </c>
      <c r="AC181" s="110"/>
      <c r="AD181" s="77"/>
      <c r="AE181" s="77"/>
      <c r="AF181" s="75"/>
      <c r="AG181" s="75"/>
      <c r="AH181" s="75"/>
      <c r="AI181" s="75"/>
    </row>
    <row r="182" spans="1:35" ht="22.35" customHeight="1" thickBot="1" x14ac:dyDescent="0.3">
      <c r="A182" s="80"/>
      <c r="B182" s="80"/>
      <c r="F182" s="141"/>
      <c r="H182" s="99"/>
      <c r="I182" s="84"/>
      <c r="K182" s="86"/>
      <c r="L182" s="86"/>
      <c r="M182" s="86"/>
      <c r="O182" s="100"/>
      <c r="P182" s="143"/>
      <c r="Q182" s="90"/>
      <c r="R182" s="91"/>
      <c r="S182" s="144" t="s">
        <v>138</v>
      </c>
      <c r="T182" s="112" t="s">
        <v>99</v>
      </c>
      <c r="U182" s="106"/>
      <c r="V182" s="107">
        <v>18</v>
      </c>
      <c r="W182" s="108"/>
      <c r="X182" s="109"/>
      <c r="Y182" s="20">
        <f t="shared" si="6"/>
        <v>0</v>
      </c>
      <c r="AA182" s="98">
        <f t="shared" si="7"/>
        <v>0</v>
      </c>
      <c r="AB182" s="98">
        <f t="shared" si="8"/>
        <v>0</v>
      </c>
      <c r="AC182" s="110"/>
      <c r="AD182" s="77"/>
      <c r="AE182" s="77"/>
      <c r="AF182" s="75"/>
      <c r="AG182" s="75"/>
      <c r="AH182" s="75"/>
      <c r="AI182" s="75"/>
    </row>
    <row r="183" spans="1:35" ht="22.35" customHeight="1" thickBot="1" x14ac:dyDescent="0.3">
      <c r="A183" s="80"/>
      <c r="B183" s="80"/>
      <c r="F183" s="141"/>
      <c r="H183" s="99"/>
      <c r="I183" s="84"/>
      <c r="K183" s="86"/>
      <c r="L183" s="86"/>
      <c r="M183" s="86"/>
      <c r="O183" s="100"/>
      <c r="P183" s="143"/>
      <c r="Q183" s="90"/>
      <c r="R183" s="91"/>
      <c r="S183" s="144" t="s">
        <v>138</v>
      </c>
      <c r="T183" s="112" t="s">
        <v>99</v>
      </c>
      <c r="U183" s="106"/>
      <c r="V183" s="107">
        <v>18</v>
      </c>
      <c r="W183" s="108"/>
      <c r="X183" s="109"/>
      <c r="Y183" s="20">
        <f t="shared" si="6"/>
        <v>0</v>
      </c>
      <c r="AA183" s="98">
        <f t="shared" si="7"/>
        <v>0</v>
      </c>
      <c r="AB183" s="98">
        <f t="shared" si="8"/>
        <v>0</v>
      </c>
      <c r="AC183" s="110"/>
      <c r="AD183" s="77"/>
      <c r="AE183" s="77"/>
      <c r="AF183" s="75"/>
      <c r="AG183" s="75"/>
      <c r="AH183" s="75"/>
      <c r="AI183" s="75"/>
    </row>
    <row r="184" spans="1:35" ht="22.35" customHeight="1" thickBot="1" x14ac:dyDescent="0.3">
      <c r="A184" s="80"/>
      <c r="B184" s="80"/>
      <c r="F184" s="141"/>
      <c r="H184" s="99"/>
      <c r="I184" s="84"/>
      <c r="K184" s="86"/>
      <c r="L184" s="86"/>
      <c r="M184" s="86"/>
      <c r="O184" s="100"/>
      <c r="P184" s="143"/>
      <c r="Q184" s="90"/>
      <c r="R184" s="91"/>
      <c r="S184" s="144" t="s">
        <v>138</v>
      </c>
      <c r="T184" s="112" t="s">
        <v>99</v>
      </c>
      <c r="U184" s="106"/>
      <c r="V184" s="107">
        <v>18</v>
      </c>
      <c r="W184" s="108"/>
      <c r="X184" s="109"/>
      <c r="Y184" s="20">
        <f t="shared" si="6"/>
        <v>0</v>
      </c>
      <c r="AA184" s="98">
        <f t="shared" si="7"/>
        <v>0</v>
      </c>
      <c r="AB184" s="98">
        <f t="shared" si="8"/>
        <v>0</v>
      </c>
      <c r="AC184" s="110"/>
      <c r="AD184" s="77"/>
      <c r="AE184" s="77"/>
      <c r="AF184" s="75"/>
      <c r="AG184" s="75"/>
      <c r="AH184" s="75"/>
      <c r="AI184" s="75"/>
    </row>
    <row r="185" spans="1:35" ht="22.35" customHeight="1" thickBot="1" x14ac:dyDescent="0.3">
      <c r="A185" s="80"/>
      <c r="B185" s="80"/>
      <c r="F185" s="141"/>
      <c r="H185" s="99"/>
      <c r="I185" s="84"/>
      <c r="K185" s="86"/>
      <c r="L185" s="86"/>
      <c r="M185" s="86"/>
      <c r="O185" s="100"/>
      <c r="P185" s="143"/>
      <c r="Q185" s="90"/>
      <c r="R185" s="91"/>
      <c r="S185" s="144" t="s">
        <v>138</v>
      </c>
      <c r="T185" s="112" t="s">
        <v>99</v>
      </c>
      <c r="U185" s="106"/>
      <c r="V185" s="107">
        <v>18</v>
      </c>
      <c r="W185" s="108"/>
      <c r="X185" s="109"/>
      <c r="Y185" s="20">
        <f t="shared" si="6"/>
        <v>0</v>
      </c>
      <c r="AA185" s="98">
        <f t="shared" si="7"/>
        <v>0</v>
      </c>
      <c r="AB185" s="98">
        <f t="shared" si="8"/>
        <v>0</v>
      </c>
      <c r="AC185" s="110"/>
      <c r="AD185" s="77"/>
      <c r="AE185" s="77"/>
      <c r="AF185" s="75"/>
      <c r="AG185" s="75"/>
      <c r="AH185" s="75"/>
      <c r="AI185" s="75"/>
    </row>
    <row r="186" spans="1:35" ht="22.35" customHeight="1" thickBot="1" x14ac:dyDescent="0.3">
      <c r="A186" s="80"/>
      <c r="B186" s="80"/>
      <c r="F186" s="141"/>
      <c r="H186" s="99"/>
      <c r="I186" s="84"/>
      <c r="K186" s="86"/>
      <c r="L186" s="86"/>
      <c r="M186" s="86"/>
      <c r="O186" s="100"/>
      <c r="P186" s="143"/>
      <c r="Q186" s="90"/>
      <c r="R186" s="91"/>
      <c r="S186" s="144" t="s">
        <v>138</v>
      </c>
      <c r="T186" s="112" t="s">
        <v>99</v>
      </c>
      <c r="U186" s="106"/>
      <c r="V186" s="107">
        <v>18</v>
      </c>
      <c r="W186" s="108"/>
      <c r="X186" s="109"/>
      <c r="Y186" s="20">
        <f t="shared" si="6"/>
        <v>0</v>
      </c>
      <c r="AA186" s="98">
        <f t="shared" si="7"/>
        <v>0</v>
      </c>
      <c r="AB186" s="98">
        <f t="shared" si="8"/>
        <v>0</v>
      </c>
      <c r="AC186" s="110"/>
      <c r="AD186" s="77"/>
      <c r="AE186" s="77"/>
      <c r="AF186" s="75"/>
      <c r="AG186" s="75"/>
      <c r="AH186" s="75"/>
      <c r="AI186" s="75"/>
    </row>
    <row r="187" spans="1:35" ht="22.35" customHeight="1" thickBot="1" x14ac:dyDescent="0.3">
      <c r="A187" s="80"/>
      <c r="B187" s="80"/>
      <c r="F187" s="141"/>
      <c r="H187" s="99"/>
      <c r="I187" s="84"/>
      <c r="K187" s="86"/>
      <c r="L187" s="86"/>
      <c r="M187" s="86"/>
      <c r="O187" s="100"/>
      <c r="P187" s="143"/>
      <c r="Q187" s="90"/>
      <c r="R187" s="91"/>
      <c r="S187" s="144" t="s">
        <v>138</v>
      </c>
      <c r="T187" s="112" t="s">
        <v>99</v>
      </c>
      <c r="U187" s="106"/>
      <c r="V187" s="107">
        <v>18</v>
      </c>
      <c r="W187" s="108"/>
      <c r="X187" s="109"/>
      <c r="Y187" s="20">
        <f t="shared" si="6"/>
        <v>0</v>
      </c>
      <c r="AA187" s="98">
        <f t="shared" si="7"/>
        <v>0</v>
      </c>
      <c r="AB187" s="98">
        <f t="shared" si="8"/>
        <v>0</v>
      </c>
      <c r="AC187" s="110"/>
      <c r="AD187" s="77"/>
      <c r="AE187" s="77"/>
      <c r="AF187" s="75"/>
      <c r="AG187" s="75"/>
      <c r="AH187" s="75"/>
      <c r="AI187" s="75"/>
    </row>
    <row r="188" spans="1:35" ht="22.35" customHeight="1" thickBot="1" x14ac:dyDescent="0.3">
      <c r="A188" s="80"/>
      <c r="B188" s="80"/>
      <c r="F188" s="141"/>
      <c r="H188" s="99"/>
      <c r="I188" s="84"/>
      <c r="K188" s="86"/>
      <c r="L188" s="86"/>
      <c r="M188" s="86"/>
      <c r="O188" s="100"/>
      <c r="P188" s="143"/>
      <c r="Q188" s="90"/>
      <c r="R188" s="91"/>
      <c r="S188" s="144" t="s">
        <v>138</v>
      </c>
      <c r="T188" s="112" t="s">
        <v>99</v>
      </c>
      <c r="U188" s="106"/>
      <c r="V188" s="107">
        <v>18</v>
      </c>
      <c r="W188" s="108"/>
      <c r="X188" s="109"/>
      <c r="Y188" s="20">
        <f t="shared" si="6"/>
        <v>0</v>
      </c>
      <c r="AA188" s="98">
        <f t="shared" si="7"/>
        <v>0</v>
      </c>
      <c r="AB188" s="98">
        <f t="shared" si="8"/>
        <v>0</v>
      </c>
      <c r="AC188" s="110"/>
      <c r="AD188" s="77"/>
      <c r="AE188" s="77"/>
      <c r="AF188" s="75"/>
      <c r="AG188" s="75"/>
      <c r="AH188" s="75"/>
      <c r="AI188" s="75"/>
    </row>
    <row r="189" spans="1:35" ht="22.35" customHeight="1" thickBot="1" x14ac:dyDescent="0.3">
      <c r="A189" s="80"/>
      <c r="B189" s="80"/>
      <c r="F189" s="141"/>
      <c r="H189" s="99"/>
      <c r="I189" s="84"/>
      <c r="K189" s="86"/>
      <c r="L189" s="86"/>
      <c r="M189" s="86"/>
      <c r="O189" s="100"/>
      <c r="P189" s="143"/>
      <c r="Q189" s="90"/>
      <c r="R189" s="91"/>
      <c r="S189" s="144" t="s">
        <v>138</v>
      </c>
      <c r="T189" s="112" t="s">
        <v>99</v>
      </c>
      <c r="U189" s="106"/>
      <c r="V189" s="107">
        <v>18</v>
      </c>
      <c r="W189" s="108"/>
      <c r="X189" s="109"/>
      <c r="Y189" s="20">
        <f t="shared" si="6"/>
        <v>0</v>
      </c>
      <c r="AA189" s="98">
        <f t="shared" si="7"/>
        <v>0</v>
      </c>
      <c r="AB189" s="98">
        <f t="shared" si="8"/>
        <v>0</v>
      </c>
      <c r="AC189" s="110"/>
      <c r="AD189" s="77"/>
      <c r="AE189" s="77"/>
      <c r="AF189" s="75"/>
      <c r="AG189" s="75"/>
      <c r="AH189" s="75"/>
      <c r="AI189" s="75"/>
    </row>
    <row r="190" spans="1:35" ht="22.35" customHeight="1" thickBot="1" x14ac:dyDescent="0.3">
      <c r="A190" s="80"/>
      <c r="B190" s="80"/>
      <c r="F190" s="141"/>
      <c r="H190" s="99"/>
      <c r="I190" s="84"/>
      <c r="K190" s="86"/>
      <c r="L190" s="86"/>
      <c r="M190" s="86"/>
      <c r="O190" s="100"/>
      <c r="P190" s="143"/>
      <c r="Q190" s="90"/>
      <c r="R190" s="91"/>
      <c r="S190" s="144" t="s">
        <v>138</v>
      </c>
      <c r="T190" s="112" t="s">
        <v>99</v>
      </c>
      <c r="U190" s="106"/>
      <c r="V190" s="107">
        <v>18</v>
      </c>
      <c r="W190" s="108"/>
      <c r="X190" s="109"/>
      <c r="Y190" s="20">
        <f t="shared" si="6"/>
        <v>0</v>
      </c>
      <c r="AA190" s="98">
        <f t="shared" si="7"/>
        <v>0</v>
      </c>
      <c r="AB190" s="98">
        <f t="shared" si="8"/>
        <v>0</v>
      </c>
      <c r="AC190" s="110"/>
      <c r="AD190" s="77"/>
      <c r="AE190" s="77"/>
      <c r="AF190" s="75"/>
      <c r="AG190" s="75"/>
      <c r="AH190" s="75"/>
      <c r="AI190" s="75"/>
    </row>
    <row r="191" spans="1:35" ht="22.35" customHeight="1" thickBot="1" x14ac:dyDescent="0.3">
      <c r="A191" s="80"/>
      <c r="B191" s="80"/>
      <c r="F191" s="141"/>
      <c r="H191" s="99"/>
      <c r="I191" s="84"/>
      <c r="K191" s="86"/>
      <c r="L191" s="86"/>
      <c r="M191" s="86"/>
      <c r="O191" s="100"/>
      <c r="P191" s="143"/>
      <c r="Q191" s="90"/>
      <c r="R191" s="91"/>
      <c r="S191" s="144" t="s">
        <v>138</v>
      </c>
      <c r="T191" s="112" t="s">
        <v>99</v>
      </c>
      <c r="U191" s="106"/>
      <c r="V191" s="107">
        <v>18</v>
      </c>
      <c r="W191" s="160"/>
      <c r="X191" s="161"/>
      <c r="Y191" s="20">
        <f t="shared" si="6"/>
        <v>0</v>
      </c>
      <c r="AA191" s="98">
        <f t="shared" si="7"/>
        <v>0</v>
      </c>
      <c r="AB191" s="98">
        <f t="shared" si="8"/>
        <v>0</v>
      </c>
      <c r="AC191" s="110"/>
      <c r="AD191" s="77"/>
      <c r="AE191" s="77"/>
      <c r="AF191" s="75"/>
      <c r="AG191" s="75"/>
      <c r="AH191" s="75"/>
      <c r="AI191" s="75"/>
    </row>
    <row r="192" spans="1:35" ht="22.35" customHeight="1" thickBot="1" x14ac:dyDescent="0.3">
      <c r="A192" s="80"/>
      <c r="B192" s="80"/>
      <c r="F192" s="141"/>
      <c r="H192" s="99"/>
      <c r="I192" s="84"/>
      <c r="K192" s="86"/>
      <c r="L192" s="86"/>
      <c r="M192" s="86"/>
      <c r="O192" s="100"/>
      <c r="P192" s="143"/>
      <c r="Q192" s="90"/>
      <c r="R192" s="91"/>
      <c r="S192" s="144" t="s">
        <v>138</v>
      </c>
      <c r="T192" s="112" t="s">
        <v>99</v>
      </c>
      <c r="U192" s="106"/>
      <c r="V192" s="107">
        <v>18</v>
      </c>
      <c r="W192" s="160"/>
      <c r="X192" s="161"/>
      <c r="Y192" s="20">
        <f t="shared" si="6"/>
        <v>0</v>
      </c>
      <c r="AA192" s="98">
        <f t="shared" si="7"/>
        <v>0</v>
      </c>
      <c r="AB192" s="98">
        <f t="shared" si="8"/>
        <v>0</v>
      </c>
      <c r="AC192" s="110"/>
      <c r="AD192" s="77"/>
      <c r="AE192" s="77"/>
      <c r="AF192" s="75"/>
      <c r="AG192" s="75"/>
      <c r="AH192" s="75"/>
      <c r="AI192" s="75"/>
    </row>
    <row r="193" spans="1:35" ht="22.35" customHeight="1" thickBot="1" x14ac:dyDescent="0.3">
      <c r="A193" s="252"/>
      <c r="B193" s="252"/>
      <c r="C193" s="253"/>
      <c r="D193" s="254"/>
      <c r="E193" s="254"/>
      <c r="F193" s="195"/>
      <c r="G193" s="196"/>
      <c r="H193" s="255"/>
      <c r="I193" s="256"/>
      <c r="J193" s="257"/>
      <c r="K193" s="258"/>
      <c r="L193" s="258"/>
      <c r="M193" s="258"/>
      <c r="N193" s="228"/>
      <c r="O193" s="200"/>
      <c r="P193" s="202"/>
      <c r="Q193" s="259"/>
      <c r="R193" s="260"/>
      <c r="S193" s="155" t="s">
        <v>138</v>
      </c>
      <c r="T193" s="124" t="s">
        <v>99</v>
      </c>
      <c r="U193" s="125"/>
      <c r="V193" s="126">
        <v>18</v>
      </c>
      <c r="W193" s="261"/>
      <c r="X193" s="262"/>
      <c r="Y193" s="20">
        <f t="shared" si="6"/>
        <v>0</v>
      </c>
      <c r="AA193" s="98">
        <f t="shared" si="7"/>
        <v>0</v>
      </c>
      <c r="AB193" s="98">
        <f t="shared" si="8"/>
        <v>0</v>
      </c>
      <c r="AC193" s="110"/>
      <c r="AD193" s="77"/>
      <c r="AE193" s="77"/>
      <c r="AF193" s="75"/>
      <c r="AG193" s="75"/>
      <c r="AH193" s="75"/>
      <c r="AI193" s="75"/>
    </row>
    <row r="194" spans="1:35" ht="22.35" customHeight="1" thickBot="1" x14ac:dyDescent="0.3">
      <c r="A194" s="263"/>
      <c r="B194" s="263"/>
      <c r="C194" s="264"/>
      <c r="D194" s="265" t="s">
        <v>139</v>
      </c>
      <c r="E194" s="266"/>
      <c r="F194" s="267"/>
      <c r="G194" s="268"/>
      <c r="H194" s="269"/>
      <c r="I194" s="268"/>
      <c r="J194" s="266"/>
      <c r="K194" s="270"/>
      <c r="L194" s="270"/>
      <c r="M194" s="270"/>
      <c r="N194" s="271"/>
      <c r="O194" s="271"/>
      <c r="P194" s="271"/>
      <c r="Q194" s="271"/>
      <c r="R194" s="272"/>
      <c r="S194" s="268"/>
      <c r="T194" s="187" t="s">
        <v>140</v>
      </c>
      <c r="U194" s="268"/>
      <c r="V194" s="273"/>
      <c r="W194" s="268"/>
      <c r="X194" s="274"/>
      <c r="Y194" s="20">
        <f t="shared" si="6"/>
        <v>0</v>
      </c>
      <c r="AA194" s="98">
        <f t="shared" si="7"/>
        <v>0</v>
      </c>
      <c r="AB194" s="98">
        <f t="shared" si="8"/>
        <v>0</v>
      </c>
    </row>
    <row r="195" spans="1:35" ht="22.35" customHeight="1" thickBot="1" x14ac:dyDescent="0.3">
      <c r="A195" s="275" t="s">
        <v>141</v>
      </c>
      <c r="B195" s="127" t="s">
        <v>142</v>
      </c>
      <c r="C195" s="128">
        <v>7</v>
      </c>
      <c r="D195" s="129" t="s">
        <v>143</v>
      </c>
      <c r="E195" s="129" t="s">
        <v>144</v>
      </c>
      <c r="F195" s="130" t="s">
        <v>65</v>
      </c>
      <c r="G195" s="132" t="s">
        <v>145</v>
      </c>
      <c r="H195" s="191">
        <v>28.9</v>
      </c>
      <c r="I195" s="158">
        <v>27.44</v>
      </c>
      <c r="J195" s="129" t="s">
        <v>146</v>
      </c>
      <c r="K195" s="159" t="s">
        <v>147</v>
      </c>
      <c r="L195" s="133">
        <v>1</v>
      </c>
      <c r="M195" s="133"/>
      <c r="N195" s="134">
        <v>0</v>
      </c>
      <c r="O195" s="135"/>
      <c r="P195" s="136">
        <v>1</v>
      </c>
      <c r="Q195" s="137">
        <v>1</v>
      </c>
      <c r="R195" s="138">
        <v>31.9</v>
      </c>
      <c r="S195" s="144" t="s">
        <v>148</v>
      </c>
      <c r="T195" s="112" t="s">
        <v>140</v>
      </c>
      <c r="U195" s="106" t="s">
        <v>149</v>
      </c>
      <c r="V195" s="107">
        <v>19</v>
      </c>
      <c r="W195" s="96"/>
      <c r="X195" s="97" t="s">
        <v>45</v>
      </c>
      <c r="Y195" s="20">
        <f t="shared" si="6"/>
        <v>1</v>
      </c>
      <c r="AA195" s="98">
        <f t="shared" si="7"/>
        <v>1.4599999999999973</v>
      </c>
      <c r="AB195" s="98">
        <f t="shared" si="8"/>
        <v>3</v>
      </c>
    </row>
    <row r="196" spans="1:35" ht="22.35" customHeight="1" thickBot="1" x14ac:dyDescent="0.3">
      <c r="A196" s="276" t="s">
        <v>141</v>
      </c>
      <c r="B196" s="80" t="s">
        <v>150</v>
      </c>
      <c r="C196" s="81">
        <v>7</v>
      </c>
      <c r="D196" s="23" t="s">
        <v>143</v>
      </c>
      <c r="E196" s="23" t="s">
        <v>151</v>
      </c>
      <c r="F196" s="141" t="s">
        <v>65</v>
      </c>
      <c r="G196" s="21" t="s">
        <v>145</v>
      </c>
      <c r="H196" s="191">
        <v>28.9</v>
      </c>
      <c r="I196" s="84">
        <v>27.44</v>
      </c>
      <c r="J196" s="23" t="s">
        <v>146</v>
      </c>
      <c r="K196" s="86" t="s">
        <v>152</v>
      </c>
      <c r="L196" s="86">
        <v>1</v>
      </c>
      <c r="M196" s="86"/>
      <c r="N196" s="87">
        <v>0</v>
      </c>
      <c r="O196" s="100"/>
      <c r="P196" s="143">
        <v>1</v>
      </c>
      <c r="Q196" s="102">
        <v>1</v>
      </c>
      <c r="R196" s="103">
        <v>31.9</v>
      </c>
      <c r="S196" s="144" t="s">
        <v>148</v>
      </c>
      <c r="T196" s="112" t="s">
        <v>140</v>
      </c>
      <c r="U196" s="106" t="s">
        <v>149</v>
      </c>
      <c r="V196" s="107">
        <v>19</v>
      </c>
      <c r="W196" s="108"/>
      <c r="X196" s="109" t="s">
        <v>50</v>
      </c>
      <c r="Y196" s="20">
        <f t="shared" si="6"/>
        <v>1</v>
      </c>
      <c r="AA196" s="98">
        <f t="shared" si="7"/>
        <v>1.4599999999999973</v>
      </c>
      <c r="AB196" s="98">
        <f t="shared" si="8"/>
        <v>3</v>
      </c>
    </row>
    <row r="197" spans="1:35" ht="22.35" customHeight="1" thickBot="1" x14ac:dyDescent="0.3">
      <c r="A197" s="276" t="s">
        <v>141</v>
      </c>
      <c r="B197" s="80" t="s">
        <v>153</v>
      </c>
      <c r="C197" s="81">
        <v>7</v>
      </c>
      <c r="D197" s="23" t="s">
        <v>143</v>
      </c>
      <c r="E197" s="23" t="s">
        <v>154</v>
      </c>
      <c r="F197" s="141" t="s">
        <v>65</v>
      </c>
      <c r="G197" s="21" t="s">
        <v>145</v>
      </c>
      <c r="H197" s="191">
        <v>28.9</v>
      </c>
      <c r="I197" s="84">
        <v>27.44</v>
      </c>
      <c r="J197" s="23" t="s">
        <v>146</v>
      </c>
      <c r="K197" s="86" t="s">
        <v>155</v>
      </c>
      <c r="L197" s="86">
        <v>1</v>
      </c>
      <c r="M197" s="86"/>
      <c r="N197" s="87">
        <v>0</v>
      </c>
      <c r="O197" s="100"/>
      <c r="P197" s="143">
        <v>1</v>
      </c>
      <c r="Q197" s="102">
        <v>1</v>
      </c>
      <c r="R197" s="103">
        <v>31.9</v>
      </c>
      <c r="S197" s="144" t="s">
        <v>148</v>
      </c>
      <c r="T197" s="112" t="s">
        <v>140</v>
      </c>
      <c r="U197" s="106" t="s">
        <v>149</v>
      </c>
      <c r="V197" s="107">
        <v>19</v>
      </c>
      <c r="W197" s="108"/>
      <c r="X197" s="109" t="s">
        <v>55</v>
      </c>
      <c r="Y197" s="20">
        <f t="shared" si="6"/>
        <v>1</v>
      </c>
      <c r="AA197" s="98">
        <f t="shared" si="7"/>
        <v>1.4599999999999973</v>
      </c>
      <c r="AB197" s="98">
        <f t="shared" si="8"/>
        <v>3</v>
      </c>
    </row>
    <row r="198" spans="1:35" ht="22.35" customHeight="1" thickBot="1" x14ac:dyDescent="0.3">
      <c r="A198" s="276" t="s">
        <v>156</v>
      </c>
      <c r="B198" s="80" t="s">
        <v>157</v>
      </c>
      <c r="C198" s="81">
        <v>36</v>
      </c>
      <c r="D198" s="23" t="s">
        <v>158</v>
      </c>
      <c r="E198" s="23" t="s">
        <v>159</v>
      </c>
      <c r="F198" s="141" t="s">
        <v>86</v>
      </c>
      <c r="G198" s="21" t="s">
        <v>145</v>
      </c>
      <c r="H198" s="191">
        <v>21.9</v>
      </c>
      <c r="I198" s="84">
        <v>20.38</v>
      </c>
      <c r="J198" s="23" t="s">
        <v>160</v>
      </c>
      <c r="K198" s="86" t="s">
        <v>161</v>
      </c>
      <c r="L198" s="86">
        <v>1</v>
      </c>
      <c r="M198" s="86"/>
      <c r="N198" s="87">
        <v>0</v>
      </c>
      <c r="O198" s="100"/>
      <c r="P198" s="143">
        <v>1</v>
      </c>
      <c r="Q198" s="102">
        <v>1</v>
      </c>
      <c r="R198" s="103">
        <v>23.9</v>
      </c>
      <c r="S198" s="144" t="s">
        <v>148</v>
      </c>
      <c r="T198" s="112" t="s">
        <v>140</v>
      </c>
      <c r="U198" s="106" t="s">
        <v>149</v>
      </c>
      <c r="V198" s="107">
        <v>19</v>
      </c>
      <c r="W198" s="108"/>
      <c r="X198" s="109" t="s">
        <v>59</v>
      </c>
      <c r="Y198" s="20">
        <f t="shared" si="6"/>
        <v>1</v>
      </c>
      <c r="AA198" s="98">
        <f t="shared" si="7"/>
        <v>1.5199999999999996</v>
      </c>
      <c r="AB198" s="98">
        <f t="shared" si="8"/>
        <v>2</v>
      </c>
    </row>
    <row r="199" spans="1:35" ht="22.35" customHeight="1" thickBot="1" x14ac:dyDescent="0.3">
      <c r="A199" s="276" t="s">
        <v>162</v>
      </c>
      <c r="B199" s="80" t="s">
        <v>163</v>
      </c>
      <c r="C199" s="81">
        <v>12</v>
      </c>
      <c r="D199" s="23" t="s">
        <v>164</v>
      </c>
      <c r="F199" s="141" t="s">
        <v>86</v>
      </c>
      <c r="G199" s="21" t="s">
        <v>145</v>
      </c>
      <c r="H199" s="191">
        <v>38.9</v>
      </c>
      <c r="I199" s="84">
        <v>36.270000000000003</v>
      </c>
      <c r="J199" s="23" t="s">
        <v>165</v>
      </c>
      <c r="K199" s="86" t="s">
        <v>166</v>
      </c>
      <c r="L199" s="86">
        <v>1</v>
      </c>
      <c r="M199" s="86"/>
      <c r="N199" s="87">
        <v>0</v>
      </c>
      <c r="O199" s="100"/>
      <c r="P199" s="143">
        <v>1</v>
      </c>
      <c r="Q199" s="102">
        <v>1</v>
      </c>
      <c r="R199" s="103">
        <v>41.9</v>
      </c>
      <c r="S199" s="144" t="s">
        <v>148</v>
      </c>
      <c r="T199" s="112" t="s">
        <v>140</v>
      </c>
      <c r="U199" s="106" t="s">
        <v>149</v>
      </c>
      <c r="V199" s="107">
        <v>19</v>
      </c>
      <c r="W199" s="108"/>
      <c r="X199" s="109" t="s">
        <v>63</v>
      </c>
      <c r="Y199" s="20">
        <f t="shared" ref="Y199:Y262" si="9">COUNTIF(K:K,K199)</f>
        <v>1</v>
      </c>
      <c r="AA199" s="98">
        <f t="shared" si="7"/>
        <v>2.6299999999999955</v>
      </c>
      <c r="AB199" s="98">
        <f t="shared" si="8"/>
        <v>3</v>
      </c>
    </row>
    <row r="200" spans="1:35" ht="22.35" customHeight="1" thickBot="1" x14ac:dyDescent="0.3">
      <c r="A200" s="276" t="s">
        <v>167</v>
      </c>
      <c r="B200" s="80" t="s">
        <v>168</v>
      </c>
      <c r="C200" s="81">
        <v>12</v>
      </c>
      <c r="D200" s="23" t="s">
        <v>164</v>
      </c>
      <c r="E200" s="23" t="s">
        <v>169</v>
      </c>
      <c r="F200" s="141" t="s">
        <v>86</v>
      </c>
      <c r="G200" s="21" t="s">
        <v>145</v>
      </c>
      <c r="H200" s="191">
        <v>39.9</v>
      </c>
      <c r="I200" s="84">
        <v>36.61</v>
      </c>
      <c r="J200" s="23" t="s">
        <v>165</v>
      </c>
      <c r="K200" s="86" t="s">
        <v>170</v>
      </c>
      <c r="L200" s="86">
        <v>1</v>
      </c>
      <c r="M200" s="86"/>
      <c r="N200" s="87">
        <v>0</v>
      </c>
      <c r="O200" s="100"/>
      <c r="P200" s="143">
        <v>1</v>
      </c>
      <c r="Q200" s="102">
        <v>1</v>
      </c>
      <c r="R200" s="103">
        <v>42.9</v>
      </c>
      <c r="S200" s="144" t="s">
        <v>148</v>
      </c>
      <c r="T200" s="112" t="s">
        <v>140</v>
      </c>
      <c r="U200" s="106" t="s">
        <v>149</v>
      </c>
      <c r="V200" s="107">
        <v>19</v>
      </c>
      <c r="W200" s="108"/>
      <c r="X200" s="109" t="s">
        <v>66</v>
      </c>
      <c r="Y200" s="20">
        <f t="shared" si="9"/>
        <v>1</v>
      </c>
      <c r="AA200" s="98">
        <f t="shared" ref="AA200:AA263" si="10">H200-I200</f>
        <v>3.2899999999999991</v>
      </c>
      <c r="AB200" s="98">
        <f t="shared" ref="AB200:AB263" si="11">R200-H200</f>
        <v>3</v>
      </c>
    </row>
    <row r="201" spans="1:35" ht="22.35" customHeight="1" thickBot="1" x14ac:dyDescent="0.3">
      <c r="A201" s="276" t="s">
        <v>171</v>
      </c>
      <c r="B201" s="80" t="s">
        <v>172</v>
      </c>
      <c r="C201" s="81">
        <v>20</v>
      </c>
      <c r="D201" s="23" t="s">
        <v>173</v>
      </c>
      <c r="E201" s="23" t="s">
        <v>174</v>
      </c>
      <c r="F201" s="141" t="s">
        <v>175</v>
      </c>
      <c r="G201" s="21" t="s">
        <v>145</v>
      </c>
      <c r="H201" s="191">
        <v>39.9</v>
      </c>
      <c r="I201" s="84">
        <v>45.43</v>
      </c>
      <c r="J201" s="23" t="s">
        <v>176</v>
      </c>
      <c r="K201" s="86" t="s">
        <v>177</v>
      </c>
      <c r="L201" s="86">
        <v>2</v>
      </c>
      <c r="M201" s="86"/>
      <c r="N201" s="87">
        <v>0</v>
      </c>
      <c r="O201" s="100"/>
      <c r="P201" s="143">
        <v>1</v>
      </c>
      <c r="Q201" s="102">
        <v>1</v>
      </c>
      <c r="R201" s="103">
        <v>44.9</v>
      </c>
      <c r="S201" s="144" t="s">
        <v>148</v>
      </c>
      <c r="T201" s="112" t="s">
        <v>140</v>
      </c>
      <c r="U201" s="106" t="s">
        <v>178</v>
      </c>
      <c r="V201" s="107">
        <v>19</v>
      </c>
      <c r="W201" s="108"/>
      <c r="X201" s="109" t="s">
        <v>179</v>
      </c>
      <c r="Y201" s="20">
        <f t="shared" si="9"/>
        <v>1</v>
      </c>
      <c r="AA201" s="98">
        <f t="shared" si="10"/>
        <v>-5.5300000000000011</v>
      </c>
      <c r="AB201" s="98">
        <f t="shared" si="11"/>
        <v>5</v>
      </c>
      <c r="AC201" s="23" t="s">
        <v>180</v>
      </c>
    </row>
    <row r="202" spans="1:35" ht="22.35" customHeight="1" thickBot="1" x14ac:dyDescent="0.3">
      <c r="A202" s="276" t="s">
        <v>181</v>
      </c>
      <c r="B202" s="80" t="s">
        <v>182</v>
      </c>
      <c r="C202" s="81">
        <v>8</v>
      </c>
      <c r="D202" s="23" t="s">
        <v>183</v>
      </c>
      <c r="E202" s="23" t="s">
        <v>184</v>
      </c>
      <c r="F202" s="141" t="s">
        <v>185</v>
      </c>
      <c r="G202" s="21" t="s">
        <v>186</v>
      </c>
      <c r="H202" s="277">
        <v>25.9</v>
      </c>
      <c r="I202" s="84">
        <v>28</v>
      </c>
      <c r="J202" s="23" t="s">
        <v>176</v>
      </c>
      <c r="K202" s="86" t="s">
        <v>187</v>
      </c>
      <c r="L202" s="86">
        <v>1</v>
      </c>
      <c r="M202" s="86"/>
      <c r="N202" s="87">
        <v>0</v>
      </c>
      <c r="O202" s="100"/>
      <c r="P202" s="143">
        <v>1</v>
      </c>
      <c r="Q202" s="102">
        <v>1</v>
      </c>
      <c r="R202" s="103">
        <v>29.9</v>
      </c>
      <c r="S202" s="144" t="s">
        <v>148</v>
      </c>
      <c r="T202" s="112" t="s">
        <v>140</v>
      </c>
      <c r="U202" s="106" t="s">
        <v>178</v>
      </c>
      <c r="V202" s="107">
        <v>19</v>
      </c>
      <c r="W202" s="108">
        <v>1</v>
      </c>
      <c r="X202" s="109" t="s">
        <v>70</v>
      </c>
      <c r="Y202" s="20">
        <f t="shared" si="9"/>
        <v>1</v>
      </c>
      <c r="AA202" s="98">
        <f t="shared" si="10"/>
        <v>-2.1000000000000014</v>
      </c>
      <c r="AB202" s="98">
        <f t="shared" si="11"/>
        <v>4</v>
      </c>
      <c r="AC202" s="23" t="s">
        <v>188</v>
      </c>
    </row>
    <row r="203" spans="1:35" ht="22.35" customHeight="1" thickBot="1" x14ac:dyDescent="0.3">
      <c r="A203" s="276" t="s">
        <v>189</v>
      </c>
      <c r="B203" s="80" t="s">
        <v>190</v>
      </c>
      <c r="C203" s="81">
        <v>14</v>
      </c>
      <c r="D203" s="23" t="s">
        <v>191</v>
      </c>
      <c r="E203" s="23" t="s">
        <v>192</v>
      </c>
      <c r="F203" s="141" t="s">
        <v>86</v>
      </c>
      <c r="G203" s="21" t="s">
        <v>145</v>
      </c>
      <c r="H203" s="191">
        <v>35.9</v>
      </c>
      <c r="I203" s="84">
        <v>33.49</v>
      </c>
      <c r="J203" s="23" t="s">
        <v>193</v>
      </c>
      <c r="K203" s="86" t="s">
        <v>194</v>
      </c>
      <c r="L203" s="86">
        <v>1</v>
      </c>
      <c r="M203" s="86"/>
      <c r="N203" s="87">
        <v>0</v>
      </c>
      <c r="O203" s="100"/>
      <c r="P203" s="143">
        <v>1</v>
      </c>
      <c r="Q203" s="102">
        <v>1</v>
      </c>
      <c r="R203" s="103">
        <v>38.9</v>
      </c>
      <c r="S203" s="144" t="s">
        <v>148</v>
      </c>
      <c r="T203" s="112" t="s">
        <v>140</v>
      </c>
      <c r="U203" s="106" t="s">
        <v>178</v>
      </c>
      <c r="V203" s="107">
        <v>19</v>
      </c>
      <c r="W203" s="108"/>
      <c r="X203" s="109" t="s">
        <v>117</v>
      </c>
      <c r="Y203" s="20">
        <f t="shared" si="9"/>
        <v>1</v>
      </c>
      <c r="AA203" s="98">
        <f t="shared" si="10"/>
        <v>2.4099999999999966</v>
      </c>
      <c r="AB203" s="98">
        <f t="shared" si="11"/>
        <v>3</v>
      </c>
    </row>
    <row r="204" spans="1:35" ht="22.35" customHeight="1" thickBot="1" x14ac:dyDescent="0.3">
      <c r="A204" s="276" t="s">
        <v>195</v>
      </c>
      <c r="B204" s="80" t="s">
        <v>196</v>
      </c>
      <c r="C204" s="81">
        <v>50</v>
      </c>
      <c r="D204" s="23" t="s">
        <v>197</v>
      </c>
      <c r="F204" s="141" t="s">
        <v>185</v>
      </c>
      <c r="G204" s="21" t="s">
        <v>145</v>
      </c>
      <c r="H204" s="191">
        <v>14.9</v>
      </c>
      <c r="I204" s="84">
        <v>13.44</v>
      </c>
      <c r="J204" s="23" t="s">
        <v>193</v>
      </c>
      <c r="K204" s="86" t="s">
        <v>198</v>
      </c>
      <c r="L204" s="86">
        <v>2</v>
      </c>
      <c r="M204" s="86"/>
      <c r="N204" s="87">
        <v>0</v>
      </c>
      <c r="O204" s="100"/>
      <c r="P204" s="143">
        <v>1</v>
      </c>
      <c r="Q204" s="102">
        <v>1</v>
      </c>
      <c r="R204" s="103">
        <v>15.9</v>
      </c>
      <c r="S204" s="144" t="s">
        <v>148</v>
      </c>
      <c r="T204" s="112" t="s">
        <v>140</v>
      </c>
      <c r="U204" s="106" t="s">
        <v>178</v>
      </c>
      <c r="V204" s="107">
        <v>19</v>
      </c>
      <c r="W204" s="108"/>
      <c r="X204" s="109" t="s">
        <v>199</v>
      </c>
      <c r="Y204" s="20">
        <f t="shared" si="9"/>
        <v>1</v>
      </c>
      <c r="AA204" s="98">
        <f t="shared" si="10"/>
        <v>1.4600000000000009</v>
      </c>
      <c r="AB204" s="98">
        <f t="shared" si="11"/>
        <v>1</v>
      </c>
    </row>
    <row r="205" spans="1:35" ht="22.35" customHeight="1" thickBot="1" x14ac:dyDescent="0.3">
      <c r="A205" s="276" t="s">
        <v>189</v>
      </c>
      <c r="B205" s="80" t="s">
        <v>200</v>
      </c>
      <c r="C205" s="81">
        <v>15</v>
      </c>
      <c r="D205" s="23" t="s">
        <v>201</v>
      </c>
      <c r="E205" s="23" t="s">
        <v>202</v>
      </c>
      <c r="F205" s="141" t="s">
        <v>86</v>
      </c>
      <c r="G205" s="21" t="s">
        <v>145</v>
      </c>
      <c r="H205" s="191">
        <v>15.9</v>
      </c>
      <c r="I205" s="84">
        <v>14.56</v>
      </c>
      <c r="J205" s="23" t="s">
        <v>203</v>
      </c>
      <c r="K205" s="86" t="s">
        <v>204</v>
      </c>
      <c r="L205" s="86">
        <v>1</v>
      </c>
      <c r="M205" s="86"/>
      <c r="N205" s="87">
        <v>0</v>
      </c>
      <c r="O205" s="100"/>
      <c r="P205" s="143">
        <v>1</v>
      </c>
      <c r="Q205" s="102">
        <v>1</v>
      </c>
      <c r="R205" s="103">
        <v>16.899999999999999</v>
      </c>
      <c r="S205" s="144" t="s">
        <v>148</v>
      </c>
      <c r="T205" s="112" t="s">
        <v>140</v>
      </c>
      <c r="U205" s="106" t="s">
        <v>178</v>
      </c>
      <c r="V205" s="107">
        <v>19</v>
      </c>
      <c r="W205" s="108"/>
      <c r="X205" s="109" t="s">
        <v>205</v>
      </c>
      <c r="Y205" s="20">
        <f t="shared" si="9"/>
        <v>1</v>
      </c>
      <c r="AA205" s="98">
        <f t="shared" si="10"/>
        <v>1.3399999999999999</v>
      </c>
      <c r="AB205" s="98">
        <f t="shared" si="11"/>
        <v>0.99999999999999822</v>
      </c>
    </row>
    <row r="206" spans="1:35" ht="22.35" customHeight="1" thickBot="1" x14ac:dyDescent="0.3">
      <c r="A206" s="278" t="s">
        <v>189</v>
      </c>
      <c r="B206" s="209" t="s">
        <v>206</v>
      </c>
      <c r="C206" s="210">
        <v>12</v>
      </c>
      <c r="D206" s="211" t="s">
        <v>201</v>
      </c>
      <c r="E206" s="211" t="s">
        <v>207</v>
      </c>
      <c r="F206" s="236" t="s">
        <v>86</v>
      </c>
      <c r="G206" s="213" t="s">
        <v>145</v>
      </c>
      <c r="H206" s="191">
        <v>17.899999999999999</v>
      </c>
      <c r="I206" s="238">
        <v>16.579999999999998</v>
      </c>
      <c r="J206" s="211" t="s">
        <v>203</v>
      </c>
      <c r="K206" s="215" t="s">
        <v>208</v>
      </c>
      <c r="L206" s="215">
        <v>1</v>
      </c>
      <c r="M206" s="215"/>
      <c r="N206" s="216">
        <v>0</v>
      </c>
      <c r="O206" s="239"/>
      <c r="P206" s="240">
        <v>1</v>
      </c>
      <c r="Q206" s="154">
        <v>1</v>
      </c>
      <c r="R206" s="241">
        <v>18.899999999999999</v>
      </c>
      <c r="S206" s="242" t="s">
        <v>148</v>
      </c>
      <c r="T206" s="243" t="s">
        <v>140</v>
      </c>
      <c r="U206" s="244" t="s">
        <v>178</v>
      </c>
      <c r="V206" s="233">
        <v>19</v>
      </c>
      <c r="W206" s="108"/>
      <c r="X206" s="109" t="s">
        <v>209</v>
      </c>
      <c r="Y206" s="20">
        <f t="shared" si="9"/>
        <v>1</v>
      </c>
      <c r="AA206" s="98">
        <f t="shared" si="10"/>
        <v>1.3200000000000003</v>
      </c>
      <c r="AB206" s="98">
        <f t="shared" si="11"/>
        <v>1</v>
      </c>
    </row>
    <row r="207" spans="1:35" ht="22.35" customHeight="1" thickBot="1" x14ac:dyDescent="0.3">
      <c r="A207" s="276" t="s">
        <v>210</v>
      </c>
      <c r="B207" s="80" t="s">
        <v>211</v>
      </c>
      <c r="C207" s="81">
        <v>36</v>
      </c>
      <c r="D207" s="23" t="s">
        <v>212</v>
      </c>
      <c r="E207" s="23" t="s">
        <v>213</v>
      </c>
      <c r="F207" s="82" t="s">
        <v>65</v>
      </c>
      <c r="G207" s="21" t="s">
        <v>214</v>
      </c>
      <c r="H207" s="191">
        <v>29.9</v>
      </c>
      <c r="I207" s="21">
        <v>29.57</v>
      </c>
      <c r="J207" s="23" t="s">
        <v>215</v>
      </c>
      <c r="K207" s="86" t="s">
        <v>216</v>
      </c>
      <c r="L207" s="86">
        <v>2</v>
      </c>
      <c r="M207" s="86"/>
      <c r="N207" s="87">
        <v>0</v>
      </c>
      <c r="O207" s="223"/>
      <c r="P207" s="224">
        <v>1</v>
      </c>
      <c r="Q207" s="224">
        <v>1</v>
      </c>
      <c r="R207" s="225">
        <v>32.9</v>
      </c>
      <c r="S207" s="250" t="s">
        <v>215</v>
      </c>
      <c r="T207" s="251" t="str">
        <f>INDEX([1]data!$B$1:$B$100,MATCH('04.02 - 10.02'!S207,[0]!exclusive01,))</f>
        <v>TU</v>
      </c>
      <c r="U207" s="244" t="s">
        <v>149</v>
      </c>
      <c r="V207" s="245">
        <v>19</v>
      </c>
      <c r="W207" s="108"/>
      <c r="X207" s="109" t="s">
        <v>119</v>
      </c>
      <c r="Y207" s="20">
        <f t="shared" si="9"/>
        <v>1</v>
      </c>
      <c r="AA207" s="98">
        <f t="shared" si="10"/>
        <v>0.32999999999999829</v>
      </c>
      <c r="AB207" s="98">
        <f t="shared" si="11"/>
        <v>3</v>
      </c>
    </row>
    <row r="208" spans="1:35" ht="22.35" customHeight="1" thickBot="1" x14ac:dyDescent="0.3">
      <c r="A208" s="278" t="s">
        <v>217</v>
      </c>
      <c r="B208" s="209" t="s">
        <v>218</v>
      </c>
      <c r="C208" s="193">
        <v>20</v>
      </c>
      <c r="D208" s="194" t="s">
        <v>219</v>
      </c>
      <c r="E208" s="194" t="s">
        <v>220</v>
      </c>
      <c r="F208" s="227" t="s">
        <v>185</v>
      </c>
      <c r="G208" s="196" t="s">
        <v>145</v>
      </c>
      <c r="H208" s="191">
        <v>21.9</v>
      </c>
      <c r="I208" s="196">
        <v>20.329999999999998</v>
      </c>
      <c r="J208" s="194" t="s">
        <v>221</v>
      </c>
      <c r="K208" s="198" t="s">
        <v>222</v>
      </c>
      <c r="L208" s="198">
        <v>4</v>
      </c>
      <c r="M208" s="198"/>
      <c r="N208" s="228">
        <v>0</v>
      </c>
      <c r="O208" s="229"/>
      <c r="P208" s="230">
        <v>1</v>
      </c>
      <c r="Q208" s="230">
        <v>1</v>
      </c>
      <c r="R208" s="231">
        <v>23.9</v>
      </c>
      <c r="S208" s="250" t="s">
        <v>221</v>
      </c>
      <c r="T208" s="251" t="str">
        <f>INDEX([1]data!$B$1:$B$100,MATCH('04.02 - 10.02'!S208,[0]!excl01,))</f>
        <v>TU</v>
      </c>
      <c r="U208" s="244" t="s">
        <v>223</v>
      </c>
      <c r="V208" s="245">
        <v>20</v>
      </c>
      <c r="W208" s="108"/>
      <c r="X208" s="109" t="s">
        <v>45</v>
      </c>
      <c r="Y208" s="20">
        <f t="shared" si="9"/>
        <v>1</v>
      </c>
      <c r="AA208" s="98">
        <f>H208-I208</f>
        <v>1.5700000000000003</v>
      </c>
      <c r="AB208" s="98">
        <f>R208-H208</f>
        <v>2</v>
      </c>
    </row>
    <row r="209" spans="1:29" ht="22.35" customHeight="1" thickBot="1" x14ac:dyDescent="0.3">
      <c r="A209" s="276" t="s">
        <v>224</v>
      </c>
      <c r="B209" s="80" t="s">
        <v>225</v>
      </c>
      <c r="C209" s="81">
        <v>20</v>
      </c>
      <c r="D209" s="23" t="s">
        <v>226</v>
      </c>
      <c r="E209" s="23" t="s">
        <v>227</v>
      </c>
      <c r="F209" s="141" t="s">
        <v>65</v>
      </c>
      <c r="G209" s="21" t="s">
        <v>145</v>
      </c>
      <c r="H209" s="246">
        <v>6.3</v>
      </c>
      <c r="I209" s="84">
        <v>5.77</v>
      </c>
      <c r="J209" s="23" t="s">
        <v>228</v>
      </c>
      <c r="K209" s="86" t="s">
        <v>229</v>
      </c>
      <c r="L209" s="86">
        <v>1</v>
      </c>
      <c r="M209" s="86"/>
      <c r="N209" s="87">
        <v>0</v>
      </c>
      <c r="O209" s="88"/>
      <c r="P209" s="136">
        <v>1</v>
      </c>
      <c r="Q209" s="90">
        <v>1</v>
      </c>
      <c r="R209" s="91">
        <v>6.9</v>
      </c>
      <c r="S209" s="139" t="s">
        <v>230</v>
      </c>
      <c r="T209" s="140" t="s">
        <v>140</v>
      </c>
      <c r="U209" s="94" t="s">
        <v>223</v>
      </c>
      <c r="V209" s="95">
        <v>20</v>
      </c>
      <c r="W209" s="108"/>
      <c r="X209" s="109" t="s">
        <v>55</v>
      </c>
      <c r="Y209" s="20">
        <f t="shared" si="9"/>
        <v>1</v>
      </c>
      <c r="AA209" s="98">
        <f t="shared" si="10"/>
        <v>0.53000000000000025</v>
      </c>
      <c r="AB209" s="98">
        <f t="shared" si="11"/>
        <v>0.60000000000000053</v>
      </c>
    </row>
    <row r="210" spans="1:29" ht="22.35" customHeight="1" thickBot="1" x14ac:dyDescent="0.3">
      <c r="A210" s="276" t="s">
        <v>224</v>
      </c>
      <c r="B210" s="80" t="s">
        <v>231</v>
      </c>
      <c r="C210" s="81">
        <v>20</v>
      </c>
      <c r="D210" s="23" t="s">
        <v>226</v>
      </c>
      <c r="E210" s="23" t="s">
        <v>232</v>
      </c>
      <c r="F210" s="141" t="s">
        <v>65</v>
      </c>
      <c r="G210" s="21" t="s">
        <v>233</v>
      </c>
      <c r="H210" s="191">
        <v>10.9</v>
      </c>
      <c r="I210" s="84">
        <v>10.15</v>
      </c>
      <c r="J210" s="23" t="s">
        <v>228</v>
      </c>
      <c r="K210" s="86" t="s">
        <v>234</v>
      </c>
      <c r="L210" s="86">
        <v>1</v>
      </c>
      <c r="M210" s="86"/>
      <c r="N210" s="87">
        <v>0</v>
      </c>
      <c r="O210" s="100"/>
      <c r="P210" s="143">
        <v>1</v>
      </c>
      <c r="Q210" s="102">
        <v>1</v>
      </c>
      <c r="R210" s="103">
        <v>11.9</v>
      </c>
      <c r="S210" s="144" t="s">
        <v>230</v>
      </c>
      <c r="T210" s="112" t="s">
        <v>140</v>
      </c>
      <c r="U210" s="106" t="s">
        <v>223</v>
      </c>
      <c r="V210" s="107">
        <v>20</v>
      </c>
      <c r="W210" s="108"/>
      <c r="X210" s="109" t="s">
        <v>59</v>
      </c>
      <c r="Y210" s="20">
        <f t="shared" si="9"/>
        <v>1</v>
      </c>
      <c r="AA210" s="98">
        <f t="shared" si="10"/>
        <v>0.75</v>
      </c>
      <c r="AB210" s="98">
        <f t="shared" si="11"/>
        <v>1</v>
      </c>
    </row>
    <row r="211" spans="1:29" ht="22.35" customHeight="1" thickBot="1" x14ac:dyDescent="0.3">
      <c r="A211" s="276" t="s">
        <v>181</v>
      </c>
      <c r="B211" s="80" t="s">
        <v>235</v>
      </c>
      <c r="C211" s="81">
        <v>12</v>
      </c>
      <c r="D211" s="23" t="s">
        <v>236</v>
      </c>
      <c r="E211" s="23" t="s">
        <v>227</v>
      </c>
      <c r="F211" s="141" t="s">
        <v>65</v>
      </c>
      <c r="G211" s="21" t="s">
        <v>145</v>
      </c>
      <c r="H211" s="191">
        <v>11.9</v>
      </c>
      <c r="I211" s="84">
        <v>11.22</v>
      </c>
      <c r="J211" s="23" t="s">
        <v>237</v>
      </c>
      <c r="K211" s="86" t="s">
        <v>238</v>
      </c>
      <c r="L211" s="86">
        <v>1</v>
      </c>
      <c r="M211" s="86"/>
      <c r="N211" s="87">
        <v>0</v>
      </c>
      <c r="O211" s="100"/>
      <c r="P211" s="143">
        <v>1</v>
      </c>
      <c r="Q211" s="102">
        <v>1</v>
      </c>
      <c r="R211" s="103">
        <v>12.9</v>
      </c>
      <c r="S211" s="144" t="s">
        <v>230</v>
      </c>
      <c r="T211" s="112" t="s">
        <v>140</v>
      </c>
      <c r="U211" s="106" t="s">
        <v>223</v>
      </c>
      <c r="V211" s="107">
        <v>20</v>
      </c>
      <c r="W211" s="108"/>
      <c r="X211" s="109" t="s">
        <v>179</v>
      </c>
      <c r="Y211" s="20">
        <f t="shared" si="9"/>
        <v>1</v>
      </c>
      <c r="AA211" s="98">
        <f t="shared" si="10"/>
        <v>0.67999999999999972</v>
      </c>
      <c r="AB211" s="98">
        <f t="shared" si="11"/>
        <v>1</v>
      </c>
    </row>
    <row r="212" spans="1:29" ht="22.35" customHeight="1" thickBot="1" x14ac:dyDescent="0.3">
      <c r="A212" s="276" t="s">
        <v>171</v>
      </c>
      <c r="B212" s="80" t="s">
        <v>239</v>
      </c>
      <c r="C212" s="81">
        <v>10</v>
      </c>
      <c r="D212" s="23" t="s">
        <v>240</v>
      </c>
      <c r="E212" s="23" t="s">
        <v>241</v>
      </c>
      <c r="F212" s="141" t="s">
        <v>242</v>
      </c>
      <c r="G212" s="21" t="s">
        <v>243</v>
      </c>
      <c r="H212" s="191">
        <v>9.5</v>
      </c>
      <c r="I212" s="84">
        <v>8.61</v>
      </c>
      <c r="J212" s="23" t="s">
        <v>237</v>
      </c>
      <c r="K212" s="86" t="s">
        <v>244</v>
      </c>
      <c r="L212" s="86">
        <v>1</v>
      </c>
      <c r="M212" s="86"/>
      <c r="N212" s="87">
        <v>0</v>
      </c>
      <c r="O212" s="100"/>
      <c r="P212" s="143">
        <v>0</v>
      </c>
      <c r="Q212" s="102">
        <v>1</v>
      </c>
      <c r="R212" s="103">
        <v>9.9</v>
      </c>
      <c r="S212" s="144" t="s">
        <v>230</v>
      </c>
      <c r="T212" s="112" t="s">
        <v>140</v>
      </c>
      <c r="U212" s="106" t="s">
        <v>223</v>
      </c>
      <c r="V212" s="107">
        <v>20</v>
      </c>
      <c r="W212" s="108"/>
      <c r="X212" s="109" t="s">
        <v>70</v>
      </c>
      <c r="Y212" s="20">
        <f t="shared" si="9"/>
        <v>1</v>
      </c>
      <c r="AA212" s="98">
        <f t="shared" si="10"/>
        <v>0.89000000000000057</v>
      </c>
      <c r="AB212" s="98">
        <f t="shared" si="11"/>
        <v>0.40000000000000036</v>
      </c>
    </row>
    <row r="213" spans="1:29" ht="22.35" customHeight="1" thickBot="1" x14ac:dyDescent="0.3">
      <c r="A213" s="276" t="s">
        <v>171</v>
      </c>
      <c r="B213" s="80" t="s">
        <v>245</v>
      </c>
      <c r="C213" s="81">
        <v>12</v>
      </c>
      <c r="D213" s="23" t="s">
        <v>246</v>
      </c>
      <c r="E213" s="23" t="s">
        <v>247</v>
      </c>
      <c r="F213" s="141" t="s">
        <v>248</v>
      </c>
      <c r="G213" s="21" t="s">
        <v>214</v>
      </c>
      <c r="H213" s="191">
        <v>12.5</v>
      </c>
      <c r="I213" s="84">
        <v>11.41</v>
      </c>
      <c r="J213" s="23" t="s">
        <v>249</v>
      </c>
      <c r="K213" s="86" t="s">
        <v>250</v>
      </c>
      <c r="L213" s="86">
        <v>1</v>
      </c>
      <c r="M213" s="86"/>
      <c r="N213" s="87">
        <v>0</v>
      </c>
      <c r="O213" s="100"/>
      <c r="P213" s="143">
        <v>1</v>
      </c>
      <c r="Q213" s="102">
        <v>1</v>
      </c>
      <c r="R213" s="103">
        <v>13.9</v>
      </c>
      <c r="S213" s="144" t="s">
        <v>230</v>
      </c>
      <c r="T213" s="112" t="s">
        <v>140</v>
      </c>
      <c r="U213" s="106" t="s">
        <v>223</v>
      </c>
      <c r="V213" s="107">
        <v>20</v>
      </c>
      <c r="W213" s="108"/>
      <c r="X213" s="109" t="s">
        <v>117</v>
      </c>
      <c r="Y213" s="20">
        <f t="shared" si="9"/>
        <v>1</v>
      </c>
      <c r="AA213" s="98">
        <f t="shared" si="10"/>
        <v>1.0899999999999999</v>
      </c>
      <c r="AB213" s="98">
        <f t="shared" si="11"/>
        <v>1.4000000000000004</v>
      </c>
    </row>
    <row r="214" spans="1:29" ht="22.35" customHeight="1" thickBot="1" x14ac:dyDescent="0.3">
      <c r="A214" s="276" t="s">
        <v>224</v>
      </c>
      <c r="B214" s="80" t="s">
        <v>251</v>
      </c>
      <c r="C214" s="81">
        <v>12</v>
      </c>
      <c r="D214" s="23" t="s">
        <v>252</v>
      </c>
      <c r="F214" s="141" t="s">
        <v>65</v>
      </c>
      <c r="G214" s="21" t="s">
        <v>243</v>
      </c>
      <c r="H214" s="191">
        <v>11.9</v>
      </c>
      <c r="I214" s="84">
        <v>12.23</v>
      </c>
      <c r="J214" s="23" t="s">
        <v>249</v>
      </c>
      <c r="K214" s="86" t="s">
        <v>253</v>
      </c>
      <c r="L214" s="86">
        <v>1</v>
      </c>
      <c r="M214" s="86"/>
      <c r="N214" s="87">
        <v>0</v>
      </c>
      <c r="O214" s="100"/>
      <c r="P214" s="143">
        <v>1</v>
      </c>
      <c r="Q214" s="102">
        <v>1</v>
      </c>
      <c r="R214" s="103">
        <v>12.9</v>
      </c>
      <c r="S214" s="144" t="s">
        <v>230</v>
      </c>
      <c r="T214" s="112" t="s">
        <v>140</v>
      </c>
      <c r="U214" s="106" t="s">
        <v>223</v>
      </c>
      <c r="V214" s="107">
        <v>20</v>
      </c>
      <c r="W214" s="108"/>
      <c r="X214" s="109" t="s">
        <v>199</v>
      </c>
      <c r="Y214" s="20">
        <f t="shared" si="9"/>
        <v>1</v>
      </c>
      <c r="AA214" s="98">
        <f t="shared" si="10"/>
        <v>-0.33000000000000007</v>
      </c>
      <c r="AB214" s="98">
        <f t="shared" si="11"/>
        <v>1</v>
      </c>
      <c r="AC214" s="23" t="s">
        <v>254</v>
      </c>
    </row>
    <row r="215" spans="1:29" ht="22.35" customHeight="1" thickBot="1" x14ac:dyDescent="0.3">
      <c r="A215" s="276" t="s">
        <v>255</v>
      </c>
      <c r="B215" s="80" t="s">
        <v>256</v>
      </c>
      <c r="C215" s="81">
        <v>15</v>
      </c>
      <c r="D215" s="23" t="s">
        <v>257</v>
      </c>
      <c r="F215" s="141" t="s">
        <v>258</v>
      </c>
      <c r="G215" s="21" t="s">
        <v>145</v>
      </c>
      <c r="H215" s="191">
        <v>24.9</v>
      </c>
      <c r="I215" s="84">
        <v>22.29</v>
      </c>
      <c r="J215" s="23" t="s">
        <v>259</v>
      </c>
      <c r="K215" s="86" t="s">
        <v>260</v>
      </c>
      <c r="L215" s="86">
        <v>1</v>
      </c>
      <c r="M215" s="86"/>
      <c r="N215" s="87">
        <v>0</v>
      </c>
      <c r="O215" s="100"/>
      <c r="P215" s="143">
        <v>1</v>
      </c>
      <c r="Q215" s="102">
        <v>1</v>
      </c>
      <c r="R215" s="103">
        <v>26.9</v>
      </c>
      <c r="S215" s="144" t="s">
        <v>230</v>
      </c>
      <c r="T215" s="112" t="s">
        <v>140</v>
      </c>
      <c r="U215" s="106" t="s">
        <v>223</v>
      </c>
      <c r="V215" s="107">
        <v>20</v>
      </c>
      <c r="W215" s="108"/>
      <c r="X215" s="109" t="s">
        <v>119</v>
      </c>
      <c r="Y215" s="20">
        <f t="shared" si="9"/>
        <v>1</v>
      </c>
      <c r="AA215" s="98">
        <f t="shared" si="10"/>
        <v>2.6099999999999994</v>
      </c>
      <c r="AB215" s="98">
        <f t="shared" si="11"/>
        <v>2</v>
      </c>
    </row>
    <row r="216" spans="1:29" ht="22.35" customHeight="1" thickBot="1" x14ac:dyDescent="0.3">
      <c r="A216" s="276" t="s">
        <v>255</v>
      </c>
      <c r="B216" s="80" t="s">
        <v>261</v>
      </c>
      <c r="C216" s="81">
        <v>15</v>
      </c>
      <c r="D216" s="23" t="s">
        <v>262</v>
      </c>
      <c r="E216" s="23" t="s">
        <v>263</v>
      </c>
      <c r="F216" s="141" t="s">
        <v>258</v>
      </c>
      <c r="G216" s="21" t="s">
        <v>145</v>
      </c>
      <c r="H216" s="191">
        <v>19.899999999999999</v>
      </c>
      <c r="I216" s="84">
        <v>17.809999999999999</v>
      </c>
      <c r="J216" s="23" t="s">
        <v>259</v>
      </c>
      <c r="K216" s="86" t="s">
        <v>264</v>
      </c>
      <c r="L216" s="86">
        <v>1</v>
      </c>
      <c r="M216" s="86"/>
      <c r="N216" s="87">
        <v>0</v>
      </c>
      <c r="O216" s="100"/>
      <c r="P216" s="143">
        <v>1</v>
      </c>
      <c r="Q216" s="102">
        <v>1</v>
      </c>
      <c r="R216" s="103">
        <v>21.5</v>
      </c>
      <c r="S216" s="144" t="s">
        <v>230</v>
      </c>
      <c r="T216" s="112" t="s">
        <v>140</v>
      </c>
      <c r="U216" s="106" t="s">
        <v>223</v>
      </c>
      <c r="V216" s="107">
        <v>20</v>
      </c>
      <c r="W216" s="108"/>
      <c r="X216" s="109" t="s">
        <v>265</v>
      </c>
      <c r="Y216" s="20">
        <f t="shared" si="9"/>
        <v>1</v>
      </c>
      <c r="AA216" s="98">
        <f t="shared" si="10"/>
        <v>2.09</v>
      </c>
      <c r="AB216" s="98">
        <f t="shared" si="11"/>
        <v>1.6000000000000014</v>
      </c>
    </row>
    <row r="217" spans="1:29" ht="22.35" customHeight="1" thickBot="1" x14ac:dyDescent="0.3">
      <c r="A217" s="276" t="s">
        <v>255</v>
      </c>
      <c r="B217" s="80" t="s">
        <v>266</v>
      </c>
      <c r="C217" s="81">
        <v>40</v>
      </c>
      <c r="D217" s="23" t="s">
        <v>267</v>
      </c>
      <c r="F217" s="141" t="s">
        <v>268</v>
      </c>
      <c r="G217" s="21" t="s">
        <v>145</v>
      </c>
      <c r="H217" s="191">
        <v>29.9</v>
      </c>
      <c r="I217" s="84">
        <v>27.89</v>
      </c>
      <c r="J217" s="23" t="s">
        <v>259</v>
      </c>
      <c r="K217" s="86" t="s">
        <v>269</v>
      </c>
      <c r="L217" s="86">
        <v>1</v>
      </c>
      <c r="M217" s="86"/>
      <c r="N217" s="87">
        <v>0</v>
      </c>
      <c r="O217" s="100"/>
      <c r="P217" s="143">
        <v>1</v>
      </c>
      <c r="Q217" s="102">
        <v>1</v>
      </c>
      <c r="R217" s="103">
        <v>33.9</v>
      </c>
      <c r="S217" s="144" t="s">
        <v>230</v>
      </c>
      <c r="T217" s="112" t="s">
        <v>140</v>
      </c>
      <c r="U217" s="106" t="s">
        <v>270</v>
      </c>
      <c r="V217" s="107">
        <v>20</v>
      </c>
      <c r="W217" s="108"/>
      <c r="X217" s="109" t="s">
        <v>205</v>
      </c>
      <c r="Y217" s="20">
        <f t="shared" si="9"/>
        <v>1</v>
      </c>
      <c r="AA217" s="98">
        <f t="shared" si="10"/>
        <v>2.009999999999998</v>
      </c>
      <c r="AB217" s="98">
        <f t="shared" si="11"/>
        <v>4</v>
      </c>
    </row>
    <row r="218" spans="1:29" ht="22.35" customHeight="1" thickBot="1" x14ac:dyDescent="0.3">
      <c r="A218" s="276" t="s">
        <v>255</v>
      </c>
      <c r="B218" s="80" t="s">
        <v>271</v>
      </c>
      <c r="C218" s="81">
        <v>12</v>
      </c>
      <c r="D218" s="23" t="s">
        <v>272</v>
      </c>
      <c r="E218" s="23" t="s">
        <v>273</v>
      </c>
      <c r="F218" s="141" t="s">
        <v>274</v>
      </c>
      <c r="G218" s="21" t="s">
        <v>186</v>
      </c>
      <c r="H218" s="191">
        <v>33.9</v>
      </c>
      <c r="I218" s="84">
        <v>29.68</v>
      </c>
      <c r="J218" s="23" t="s">
        <v>275</v>
      </c>
      <c r="K218" s="86" t="s">
        <v>276</v>
      </c>
      <c r="L218" s="86">
        <v>1</v>
      </c>
      <c r="M218" s="86"/>
      <c r="N218" s="87">
        <v>0</v>
      </c>
      <c r="O218" s="100"/>
      <c r="P218" s="143">
        <v>1</v>
      </c>
      <c r="Q218" s="102">
        <v>1</v>
      </c>
      <c r="R218" s="103">
        <v>36.9</v>
      </c>
      <c r="S218" s="144" t="s">
        <v>230</v>
      </c>
      <c r="T218" s="112" t="s">
        <v>140</v>
      </c>
      <c r="U218" s="106" t="s">
        <v>270</v>
      </c>
      <c r="V218" s="107">
        <v>20</v>
      </c>
      <c r="W218" s="108"/>
      <c r="X218" s="109" t="s">
        <v>209</v>
      </c>
      <c r="Y218" s="20">
        <f t="shared" si="9"/>
        <v>1</v>
      </c>
      <c r="AA218" s="98">
        <f t="shared" si="10"/>
        <v>4.2199999999999989</v>
      </c>
      <c r="AB218" s="98">
        <f t="shared" si="11"/>
        <v>3</v>
      </c>
    </row>
    <row r="219" spans="1:29" ht="22.35" customHeight="1" thickBot="1" x14ac:dyDescent="0.3">
      <c r="A219" s="276" t="s">
        <v>255</v>
      </c>
      <c r="B219" s="80" t="s">
        <v>277</v>
      </c>
      <c r="C219" s="81">
        <v>10</v>
      </c>
      <c r="D219" s="23" t="s">
        <v>278</v>
      </c>
      <c r="E219" s="23" t="s">
        <v>279</v>
      </c>
      <c r="F219" s="141" t="s">
        <v>274</v>
      </c>
      <c r="G219" s="21" t="s">
        <v>145</v>
      </c>
      <c r="H219" s="191">
        <v>45.9</v>
      </c>
      <c r="I219" s="84">
        <v>42.11</v>
      </c>
      <c r="J219" s="23" t="s">
        <v>280</v>
      </c>
      <c r="K219" s="86" t="s">
        <v>281</v>
      </c>
      <c r="L219" s="86">
        <v>1</v>
      </c>
      <c r="M219" s="86"/>
      <c r="N219" s="87">
        <v>0</v>
      </c>
      <c r="O219" s="100"/>
      <c r="P219" s="143">
        <v>1</v>
      </c>
      <c r="Q219" s="102">
        <v>1</v>
      </c>
      <c r="R219" s="103">
        <v>49.9</v>
      </c>
      <c r="S219" s="144" t="s">
        <v>230</v>
      </c>
      <c r="T219" s="112" t="s">
        <v>140</v>
      </c>
      <c r="U219" s="106" t="s">
        <v>270</v>
      </c>
      <c r="V219" s="107">
        <v>20</v>
      </c>
      <c r="W219" s="108"/>
      <c r="X219" s="109" t="s">
        <v>282</v>
      </c>
      <c r="Y219" s="20">
        <f t="shared" si="9"/>
        <v>1</v>
      </c>
      <c r="AA219" s="98">
        <f t="shared" si="10"/>
        <v>3.7899999999999991</v>
      </c>
      <c r="AB219" s="98">
        <f t="shared" si="11"/>
        <v>4</v>
      </c>
    </row>
    <row r="220" spans="1:29" ht="22.35" customHeight="1" thickBot="1" x14ac:dyDescent="0.3">
      <c r="A220" s="278" t="s">
        <v>255</v>
      </c>
      <c r="B220" s="209" t="s">
        <v>283</v>
      </c>
      <c r="C220" s="210">
        <v>10</v>
      </c>
      <c r="D220" s="211" t="s">
        <v>284</v>
      </c>
      <c r="E220" s="211" t="s">
        <v>285</v>
      </c>
      <c r="F220" s="236" t="s">
        <v>286</v>
      </c>
      <c r="G220" s="213" t="s">
        <v>145</v>
      </c>
      <c r="H220" s="191">
        <v>32.9</v>
      </c>
      <c r="I220" s="238">
        <v>30.02</v>
      </c>
      <c r="J220" s="211" t="s">
        <v>280</v>
      </c>
      <c r="K220" s="215" t="s">
        <v>287</v>
      </c>
      <c r="L220" s="215">
        <v>1</v>
      </c>
      <c r="M220" s="215"/>
      <c r="N220" s="216">
        <v>0</v>
      </c>
      <c r="O220" s="239"/>
      <c r="P220" s="240">
        <v>1</v>
      </c>
      <c r="Q220" s="154">
        <v>1</v>
      </c>
      <c r="R220" s="241">
        <v>35.9</v>
      </c>
      <c r="S220" s="242" t="s">
        <v>230</v>
      </c>
      <c r="T220" s="243" t="s">
        <v>140</v>
      </c>
      <c r="U220" s="244" t="s">
        <v>270</v>
      </c>
      <c r="V220" s="233">
        <v>20</v>
      </c>
      <c r="W220" s="108"/>
      <c r="X220" s="109" t="s">
        <v>288</v>
      </c>
      <c r="Y220" s="20">
        <f t="shared" si="9"/>
        <v>1</v>
      </c>
      <c r="AA220" s="98">
        <f t="shared" si="10"/>
        <v>2.879999999999999</v>
      </c>
      <c r="AB220" s="98">
        <f t="shared" si="11"/>
        <v>3</v>
      </c>
    </row>
    <row r="221" spans="1:29" ht="22.35" customHeight="1" thickBot="1" x14ac:dyDescent="0.3">
      <c r="A221" s="175"/>
      <c r="B221" s="175"/>
      <c r="C221" s="176"/>
      <c r="D221" s="177" t="s">
        <v>289</v>
      </c>
      <c r="E221" s="178"/>
      <c r="F221" s="179"/>
      <c r="G221" s="180"/>
      <c r="H221" s="181"/>
      <c r="I221" s="180"/>
      <c r="J221" s="178"/>
      <c r="K221" s="182"/>
      <c r="L221" s="182"/>
      <c r="M221" s="182"/>
      <c r="N221" s="183"/>
      <c r="O221" s="184"/>
      <c r="P221" s="184"/>
      <c r="Q221" s="184"/>
      <c r="R221" s="185"/>
      <c r="S221" s="268"/>
      <c r="T221" s="187" t="s">
        <v>290</v>
      </c>
      <c r="U221" s="188"/>
      <c r="V221" s="189"/>
      <c r="W221" s="188"/>
      <c r="X221" s="190"/>
      <c r="Y221" s="20">
        <f t="shared" si="9"/>
        <v>0</v>
      </c>
      <c r="AA221" s="98">
        <f t="shared" si="10"/>
        <v>0</v>
      </c>
      <c r="AB221" s="98">
        <f t="shared" si="11"/>
        <v>0</v>
      </c>
    </row>
    <row r="222" spans="1:29" ht="22.35" customHeight="1" thickBot="1" x14ac:dyDescent="0.3">
      <c r="A222" s="127"/>
      <c r="B222" s="127"/>
      <c r="C222" s="128"/>
      <c r="D222" s="129"/>
      <c r="E222" s="129"/>
      <c r="F222" s="130"/>
      <c r="G222" s="132"/>
      <c r="H222" s="191"/>
      <c r="I222" s="158"/>
      <c r="J222" s="129"/>
      <c r="K222" s="159"/>
      <c r="L222" s="133"/>
      <c r="M222" s="133"/>
      <c r="N222" s="134"/>
      <c r="O222" s="135"/>
      <c r="P222" s="136"/>
      <c r="Q222" s="137"/>
      <c r="R222" s="138"/>
      <c r="S222" s="144" t="s">
        <v>291</v>
      </c>
      <c r="T222" s="112" t="s">
        <v>290</v>
      </c>
      <c r="U222" s="106" t="s">
        <v>292</v>
      </c>
      <c r="V222" s="107">
        <v>21</v>
      </c>
      <c r="W222" s="96"/>
      <c r="X222" s="97"/>
      <c r="Y222" s="20">
        <f t="shared" si="9"/>
        <v>0</v>
      </c>
      <c r="AA222" s="98">
        <f t="shared" si="10"/>
        <v>0</v>
      </c>
      <c r="AB222" s="98">
        <f t="shared" si="11"/>
        <v>0</v>
      </c>
    </row>
    <row r="223" spans="1:29" ht="22.35" customHeight="1" thickBot="1" x14ac:dyDescent="0.3">
      <c r="A223" s="80"/>
      <c r="B223" s="80"/>
      <c r="F223" s="141"/>
      <c r="H223" s="191"/>
      <c r="I223" s="84"/>
      <c r="K223" s="86"/>
      <c r="L223" s="86"/>
      <c r="M223" s="86"/>
      <c r="O223" s="100"/>
      <c r="P223" s="143"/>
      <c r="Q223" s="102"/>
      <c r="R223" s="103"/>
      <c r="S223" s="144" t="s">
        <v>291</v>
      </c>
      <c r="T223" s="112" t="s">
        <v>290</v>
      </c>
      <c r="U223" s="106" t="s">
        <v>292</v>
      </c>
      <c r="V223" s="107">
        <v>21</v>
      </c>
      <c r="W223" s="108"/>
      <c r="X223" s="109"/>
      <c r="Y223" s="20">
        <f t="shared" si="9"/>
        <v>0</v>
      </c>
      <c r="AA223" s="98">
        <f t="shared" si="10"/>
        <v>0</v>
      </c>
      <c r="AB223" s="98">
        <f t="shared" si="11"/>
        <v>0</v>
      </c>
    </row>
    <row r="224" spans="1:29" ht="22.35" customHeight="1" thickBot="1" x14ac:dyDescent="0.3">
      <c r="A224" s="80"/>
      <c r="B224" s="80"/>
      <c r="F224" s="141"/>
      <c r="H224" s="191"/>
      <c r="I224" s="84"/>
      <c r="K224" s="86"/>
      <c r="L224" s="86"/>
      <c r="M224" s="86"/>
      <c r="O224" s="100"/>
      <c r="P224" s="143"/>
      <c r="Q224" s="102"/>
      <c r="R224" s="103"/>
      <c r="S224" s="144" t="s">
        <v>291</v>
      </c>
      <c r="T224" s="112" t="s">
        <v>290</v>
      </c>
      <c r="U224" s="106" t="s">
        <v>292</v>
      </c>
      <c r="V224" s="107">
        <v>21</v>
      </c>
      <c r="W224" s="108"/>
      <c r="X224" s="109"/>
      <c r="Y224" s="20">
        <f t="shared" si="9"/>
        <v>0</v>
      </c>
      <c r="AA224" s="98">
        <f t="shared" si="10"/>
        <v>0</v>
      </c>
      <c r="AB224" s="98">
        <f t="shared" si="11"/>
        <v>0</v>
      </c>
    </row>
    <row r="225" spans="1:28" ht="22.35" customHeight="1" thickBot="1" x14ac:dyDescent="0.3">
      <c r="A225" s="80"/>
      <c r="B225" s="80"/>
      <c r="F225" s="141"/>
      <c r="H225" s="191"/>
      <c r="I225" s="84"/>
      <c r="K225" s="86"/>
      <c r="L225" s="86"/>
      <c r="M225" s="86"/>
      <c r="O225" s="100"/>
      <c r="P225" s="143"/>
      <c r="Q225" s="102"/>
      <c r="R225" s="103"/>
      <c r="S225" s="144" t="s">
        <v>291</v>
      </c>
      <c r="T225" s="112" t="s">
        <v>290</v>
      </c>
      <c r="U225" s="106" t="s">
        <v>292</v>
      </c>
      <c r="V225" s="107">
        <v>21</v>
      </c>
      <c r="W225" s="108"/>
      <c r="X225" s="109"/>
      <c r="Y225" s="20">
        <f t="shared" si="9"/>
        <v>0</v>
      </c>
      <c r="AA225" s="98">
        <f t="shared" si="10"/>
        <v>0</v>
      </c>
      <c r="AB225" s="98">
        <f t="shared" si="11"/>
        <v>0</v>
      </c>
    </row>
    <row r="226" spans="1:28" ht="22.35" customHeight="1" thickBot="1" x14ac:dyDescent="0.3">
      <c r="A226" s="80"/>
      <c r="B226" s="80"/>
      <c r="F226" s="141"/>
      <c r="H226" s="191"/>
      <c r="I226" s="84"/>
      <c r="K226" s="86"/>
      <c r="L226" s="86"/>
      <c r="M226" s="86"/>
      <c r="O226" s="100"/>
      <c r="P226" s="143"/>
      <c r="Q226" s="102"/>
      <c r="R226" s="103"/>
      <c r="S226" s="144" t="s">
        <v>291</v>
      </c>
      <c r="T226" s="112" t="s">
        <v>290</v>
      </c>
      <c r="U226" s="106" t="s">
        <v>292</v>
      </c>
      <c r="V226" s="107">
        <v>21</v>
      </c>
      <c r="W226" s="108"/>
      <c r="X226" s="109"/>
      <c r="Y226" s="20">
        <f t="shared" si="9"/>
        <v>0</v>
      </c>
      <c r="AA226" s="98">
        <f t="shared" si="10"/>
        <v>0</v>
      </c>
      <c r="AB226" s="98">
        <f t="shared" si="11"/>
        <v>0</v>
      </c>
    </row>
    <row r="227" spans="1:28" ht="22.35" customHeight="1" thickBot="1" x14ac:dyDescent="0.3">
      <c r="A227" s="80"/>
      <c r="B227" s="80"/>
      <c r="F227" s="141"/>
      <c r="H227" s="191"/>
      <c r="I227" s="84"/>
      <c r="K227" s="86"/>
      <c r="L227" s="86"/>
      <c r="M227" s="86"/>
      <c r="O227" s="100"/>
      <c r="P227" s="143"/>
      <c r="Q227" s="102"/>
      <c r="R227" s="103"/>
      <c r="S227" s="144" t="s">
        <v>291</v>
      </c>
      <c r="T227" s="112" t="s">
        <v>290</v>
      </c>
      <c r="U227" s="106" t="s">
        <v>292</v>
      </c>
      <c r="V227" s="107">
        <v>21</v>
      </c>
      <c r="W227" s="108"/>
      <c r="X227" s="109"/>
      <c r="Y227" s="20">
        <f t="shared" si="9"/>
        <v>0</v>
      </c>
      <c r="AA227" s="98">
        <f t="shared" si="10"/>
        <v>0</v>
      </c>
      <c r="AB227" s="98">
        <f t="shared" si="11"/>
        <v>0</v>
      </c>
    </row>
    <row r="228" spans="1:28" ht="22.35" customHeight="1" thickBot="1" x14ac:dyDescent="0.3">
      <c r="A228" s="80"/>
      <c r="B228" s="80"/>
      <c r="F228" s="141"/>
      <c r="H228" s="191"/>
      <c r="I228" s="84"/>
      <c r="K228" s="86"/>
      <c r="L228" s="86"/>
      <c r="M228" s="86"/>
      <c r="O228" s="100"/>
      <c r="P228" s="143"/>
      <c r="Q228" s="102"/>
      <c r="R228" s="103"/>
      <c r="S228" s="144" t="s">
        <v>291</v>
      </c>
      <c r="T228" s="112" t="s">
        <v>290</v>
      </c>
      <c r="U228" s="106" t="s">
        <v>292</v>
      </c>
      <c r="V228" s="107">
        <v>21</v>
      </c>
      <c r="W228" s="108"/>
      <c r="X228" s="109"/>
      <c r="Y228" s="20">
        <f t="shared" si="9"/>
        <v>0</v>
      </c>
      <c r="AA228" s="98">
        <f t="shared" si="10"/>
        <v>0</v>
      </c>
      <c r="AB228" s="98">
        <f t="shared" si="11"/>
        <v>0</v>
      </c>
    </row>
    <row r="229" spans="1:28" ht="22.35" customHeight="1" thickBot="1" x14ac:dyDescent="0.3">
      <c r="A229" s="80"/>
      <c r="B229" s="80"/>
      <c r="F229" s="141"/>
      <c r="H229" s="191"/>
      <c r="I229" s="84"/>
      <c r="K229" s="86"/>
      <c r="L229" s="86"/>
      <c r="M229" s="86"/>
      <c r="O229" s="100"/>
      <c r="P229" s="143"/>
      <c r="Q229" s="102"/>
      <c r="R229" s="103"/>
      <c r="S229" s="144" t="s">
        <v>291</v>
      </c>
      <c r="T229" s="112" t="s">
        <v>290</v>
      </c>
      <c r="U229" s="106" t="s">
        <v>292</v>
      </c>
      <c r="V229" s="107">
        <v>21</v>
      </c>
      <c r="W229" s="108"/>
      <c r="X229" s="109"/>
      <c r="Y229" s="20">
        <f t="shared" si="9"/>
        <v>0</v>
      </c>
      <c r="AA229" s="98">
        <f t="shared" si="10"/>
        <v>0</v>
      </c>
      <c r="AB229" s="98">
        <f t="shared" si="11"/>
        <v>0</v>
      </c>
    </row>
    <row r="230" spans="1:28" ht="22.35" customHeight="1" thickBot="1" x14ac:dyDescent="0.3">
      <c r="A230" s="80"/>
      <c r="B230" s="80"/>
      <c r="F230" s="141"/>
      <c r="H230" s="191"/>
      <c r="I230" s="84"/>
      <c r="K230" s="86"/>
      <c r="L230" s="86"/>
      <c r="M230" s="86"/>
      <c r="O230" s="100"/>
      <c r="P230" s="143"/>
      <c r="Q230" s="102"/>
      <c r="R230" s="103"/>
      <c r="S230" s="144" t="s">
        <v>291</v>
      </c>
      <c r="T230" s="112" t="s">
        <v>290</v>
      </c>
      <c r="U230" s="106" t="s">
        <v>293</v>
      </c>
      <c r="V230" s="107">
        <v>21</v>
      </c>
      <c r="W230" s="108"/>
      <c r="X230" s="109"/>
      <c r="Y230" s="20">
        <f t="shared" si="9"/>
        <v>0</v>
      </c>
      <c r="AA230" s="98">
        <f t="shared" si="10"/>
        <v>0</v>
      </c>
      <c r="AB230" s="98">
        <f t="shared" si="11"/>
        <v>0</v>
      </c>
    </row>
    <row r="231" spans="1:28" ht="22.35" customHeight="1" thickBot="1" x14ac:dyDescent="0.3">
      <c r="A231" s="80"/>
      <c r="B231" s="80"/>
      <c r="F231" s="141"/>
      <c r="H231" s="191"/>
      <c r="I231" s="84"/>
      <c r="K231" s="86"/>
      <c r="L231" s="86"/>
      <c r="M231" s="86"/>
      <c r="O231" s="100"/>
      <c r="P231" s="143"/>
      <c r="Q231" s="102"/>
      <c r="R231" s="103"/>
      <c r="S231" s="144" t="s">
        <v>291</v>
      </c>
      <c r="T231" s="112" t="s">
        <v>290</v>
      </c>
      <c r="U231" s="106" t="s">
        <v>293</v>
      </c>
      <c r="V231" s="107">
        <v>21</v>
      </c>
      <c r="W231" s="108"/>
      <c r="X231" s="109"/>
      <c r="Y231" s="20">
        <f t="shared" si="9"/>
        <v>0</v>
      </c>
      <c r="AA231" s="98">
        <f t="shared" si="10"/>
        <v>0</v>
      </c>
      <c r="AB231" s="98">
        <f t="shared" si="11"/>
        <v>0</v>
      </c>
    </row>
    <row r="232" spans="1:28" ht="22.35" customHeight="1" thickBot="1" x14ac:dyDescent="0.3">
      <c r="A232" s="80"/>
      <c r="B232" s="80"/>
      <c r="F232" s="141"/>
      <c r="H232" s="191"/>
      <c r="I232" s="84"/>
      <c r="K232" s="86"/>
      <c r="L232" s="86"/>
      <c r="M232" s="86"/>
      <c r="O232" s="100"/>
      <c r="P232" s="143"/>
      <c r="Q232" s="102"/>
      <c r="R232" s="103"/>
      <c r="S232" s="144" t="s">
        <v>291</v>
      </c>
      <c r="T232" s="112" t="s">
        <v>290</v>
      </c>
      <c r="U232" s="106" t="s">
        <v>293</v>
      </c>
      <c r="V232" s="107">
        <v>21</v>
      </c>
      <c r="W232" s="108"/>
      <c r="X232" s="109"/>
      <c r="Y232" s="20">
        <f t="shared" si="9"/>
        <v>0</v>
      </c>
      <c r="AA232" s="98">
        <f t="shared" si="10"/>
        <v>0</v>
      </c>
      <c r="AB232" s="98">
        <f t="shared" si="11"/>
        <v>0</v>
      </c>
    </row>
    <row r="233" spans="1:28" ht="22.35" customHeight="1" thickBot="1" x14ac:dyDescent="0.3">
      <c r="A233" s="80"/>
      <c r="B233" s="80"/>
      <c r="F233" s="141"/>
      <c r="H233" s="191"/>
      <c r="I233" s="84"/>
      <c r="K233" s="86"/>
      <c r="L233" s="86"/>
      <c r="M233" s="86"/>
      <c r="O233" s="100"/>
      <c r="P233" s="143"/>
      <c r="Q233" s="102"/>
      <c r="R233" s="103"/>
      <c r="S233" s="144" t="s">
        <v>291</v>
      </c>
      <c r="T233" s="112" t="s">
        <v>290</v>
      </c>
      <c r="U233" s="106" t="s">
        <v>293</v>
      </c>
      <c r="V233" s="107">
        <v>21</v>
      </c>
      <c r="W233" s="108"/>
      <c r="X233" s="109"/>
      <c r="Y233" s="20">
        <f t="shared" si="9"/>
        <v>0</v>
      </c>
      <c r="AA233" s="98">
        <f t="shared" si="10"/>
        <v>0</v>
      </c>
      <c r="AB233" s="98">
        <f t="shared" si="11"/>
        <v>0</v>
      </c>
    </row>
    <row r="234" spans="1:28" ht="22.35" customHeight="1" thickBot="1" x14ac:dyDescent="0.3">
      <c r="A234" s="80"/>
      <c r="B234" s="80"/>
      <c r="F234" s="141"/>
      <c r="H234" s="191"/>
      <c r="I234" s="84"/>
      <c r="K234" s="86"/>
      <c r="L234" s="86"/>
      <c r="M234" s="86"/>
      <c r="O234" s="100"/>
      <c r="P234" s="143"/>
      <c r="Q234" s="102"/>
      <c r="R234" s="103"/>
      <c r="S234" s="144" t="s">
        <v>291</v>
      </c>
      <c r="T234" s="112" t="s">
        <v>294</v>
      </c>
      <c r="U234" s="106" t="s">
        <v>293</v>
      </c>
      <c r="V234" s="107">
        <v>21</v>
      </c>
      <c r="W234" s="108"/>
      <c r="X234" s="109"/>
      <c r="Y234" s="20">
        <f t="shared" si="9"/>
        <v>0</v>
      </c>
      <c r="AA234" s="98">
        <f t="shared" si="10"/>
        <v>0</v>
      </c>
      <c r="AB234" s="98">
        <f t="shared" si="11"/>
        <v>0</v>
      </c>
    </row>
    <row r="235" spans="1:28" ht="22.35" customHeight="1" thickBot="1" x14ac:dyDescent="0.3">
      <c r="A235" s="80"/>
      <c r="B235" s="80"/>
      <c r="F235" s="141"/>
      <c r="H235" s="191"/>
      <c r="I235" s="84"/>
      <c r="K235" s="86"/>
      <c r="L235" s="86"/>
      <c r="M235" s="86"/>
      <c r="O235" s="100"/>
      <c r="P235" s="143"/>
      <c r="Q235" s="102"/>
      <c r="R235" s="103"/>
      <c r="S235" s="144" t="s">
        <v>291</v>
      </c>
      <c r="T235" s="112" t="s">
        <v>294</v>
      </c>
      <c r="U235" s="106" t="s">
        <v>293</v>
      </c>
      <c r="V235" s="107">
        <v>21</v>
      </c>
      <c r="W235" s="108"/>
      <c r="X235" s="109"/>
      <c r="Y235" s="20">
        <f t="shared" si="9"/>
        <v>0</v>
      </c>
      <c r="AA235" s="98">
        <f t="shared" si="10"/>
        <v>0</v>
      </c>
      <c r="AB235" s="98">
        <f t="shared" si="11"/>
        <v>0</v>
      </c>
    </row>
    <row r="236" spans="1:28" ht="22.35" customHeight="1" thickBot="1" x14ac:dyDescent="0.3">
      <c r="A236" s="80"/>
      <c r="B236" s="80"/>
      <c r="F236" s="141"/>
      <c r="H236" s="191"/>
      <c r="I236" s="84"/>
      <c r="K236" s="86"/>
      <c r="L236" s="86"/>
      <c r="M236" s="86"/>
      <c r="O236" s="100"/>
      <c r="P236" s="143"/>
      <c r="Q236" s="102"/>
      <c r="R236" s="103"/>
      <c r="S236" s="144" t="s">
        <v>291</v>
      </c>
      <c r="T236" s="112" t="s">
        <v>294</v>
      </c>
      <c r="U236" s="106" t="s">
        <v>293</v>
      </c>
      <c r="V236" s="107">
        <v>21</v>
      </c>
      <c r="W236" s="108"/>
      <c r="X236" s="109"/>
      <c r="Y236" s="20">
        <f t="shared" si="9"/>
        <v>0</v>
      </c>
      <c r="AA236" s="98">
        <f t="shared" si="10"/>
        <v>0</v>
      </c>
      <c r="AB236" s="98">
        <f t="shared" si="11"/>
        <v>0</v>
      </c>
    </row>
    <row r="237" spans="1:28" ht="22.35" customHeight="1" thickBot="1" x14ac:dyDescent="0.3">
      <c r="A237" s="209"/>
      <c r="B237" s="209"/>
      <c r="C237" s="210"/>
      <c r="D237" s="211"/>
      <c r="E237" s="211"/>
      <c r="F237" s="236"/>
      <c r="G237" s="213"/>
      <c r="H237" s="191"/>
      <c r="I237" s="238"/>
      <c r="J237" s="211"/>
      <c r="K237" s="215"/>
      <c r="L237" s="215"/>
      <c r="M237" s="215"/>
      <c r="N237" s="216"/>
      <c r="O237" s="239"/>
      <c r="P237" s="240"/>
      <c r="Q237" s="154"/>
      <c r="R237" s="241"/>
      <c r="S237" s="242" t="s">
        <v>291</v>
      </c>
      <c r="T237" s="243" t="s">
        <v>294</v>
      </c>
      <c r="U237" s="244" t="s">
        <v>293</v>
      </c>
      <c r="V237" s="233">
        <v>21</v>
      </c>
      <c r="W237" s="108"/>
      <c r="X237" s="109"/>
      <c r="Y237" s="20">
        <f t="shared" si="9"/>
        <v>0</v>
      </c>
      <c r="AA237" s="98">
        <f t="shared" si="10"/>
        <v>0</v>
      </c>
      <c r="AB237" s="98">
        <f t="shared" si="11"/>
        <v>0</v>
      </c>
    </row>
    <row r="238" spans="1:28" ht="22.35" customHeight="1" thickBot="1" x14ac:dyDescent="0.3">
      <c r="A238" s="175"/>
      <c r="B238" s="175"/>
      <c r="C238" s="176"/>
      <c r="D238" s="177" t="s">
        <v>295</v>
      </c>
      <c r="E238" s="178"/>
      <c r="F238" s="179"/>
      <c r="G238" s="180"/>
      <c r="H238" s="181"/>
      <c r="I238" s="180"/>
      <c r="J238" s="178"/>
      <c r="K238" s="182"/>
      <c r="L238" s="182"/>
      <c r="M238" s="182"/>
      <c r="N238" s="183"/>
      <c r="O238" s="184"/>
      <c r="P238" s="184"/>
      <c r="Q238" s="184"/>
      <c r="R238" s="185"/>
      <c r="S238" s="186"/>
      <c r="T238" s="187" t="s">
        <v>296</v>
      </c>
      <c r="U238" s="188"/>
      <c r="V238" s="189"/>
      <c r="W238" s="188"/>
      <c r="X238" s="190"/>
      <c r="Y238" s="20">
        <f t="shared" si="9"/>
        <v>0</v>
      </c>
      <c r="AA238" s="98">
        <f t="shared" si="10"/>
        <v>0</v>
      </c>
      <c r="AB238" s="98">
        <f t="shared" si="11"/>
        <v>0</v>
      </c>
    </row>
    <row r="239" spans="1:28" ht="22.35" customHeight="1" thickBot="1" x14ac:dyDescent="0.3">
      <c r="A239" s="127" t="s">
        <v>297</v>
      </c>
      <c r="B239" s="127" t="s">
        <v>298</v>
      </c>
      <c r="C239" s="128">
        <v>6</v>
      </c>
      <c r="D239" s="129" t="s">
        <v>299</v>
      </c>
      <c r="E239" s="129" t="s">
        <v>300</v>
      </c>
      <c r="F239" s="130" t="s">
        <v>301</v>
      </c>
      <c r="G239" s="132">
        <v>4</v>
      </c>
      <c r="H239" s="191">
        <v>49.9</v>
      </c>
      <c r="I239" s="158">
        <v>49.089599999999997</v>
      </c>
      <c r="J239" s="129" t="s">
        <v>302</v>
      </c>
      <c r="K239" s="159" t="s">
        <v>303</v>
      </c>
      <c r="L239" s="133">
        <v>1</v>
      </c>
      <c r="M239" s="133"/>
      <c r="N239" s="134"/>
      <c r="O239" s="135"/>
      <c r="P239" s="136">
        <v>1</v>
      </c>
      <c r="Q239" s="137">
        <v>1</v>
      </c>
      <c r="R239" s="138" t="s">
        <v>304</v>
      </c>
      <c r="S239" s="144" t="s">
        <v>305</v>
      </c>
      <c r="T239" s="112" t="s">
        <v>306</v>
      </c>
      <c r="U239" s="106" t="s">
        <v>307</v>
      </c>
      <c r="V239" s="107">
        <v>22</v>
      </c>
      <c r="W239" s="96"/>
      <c r="X239" s="97" t="s">
        <v>45</v>
      </c>
      <c r="Y239" s="20">
        <f t="shared" si="9"/>
        <v>1</v>
      </c>
      <c r="AA239" s="98">
        <f t="shared" si="10"/>
        <v>0.81040000000000134</v>
      </c>
      <c r="AB239" s="98" t="e">
        <f t="shared" si="11"/>
        <v>#VALUE!</v>
      </c>
    </row>
    <row r="240" spans="1:28" ht="22.35" customHeight="1" thickBot="1" x14ac:dyDescent="0.3">
      <c r="A240" s="80" t="s">
        <v>103</v>
      </c>
      <c r="B240" s="80" t="s">
        <v>308</v>
      </c>
      <c r="C240" s="81">
        <v>12</v>
      </c>
      <c r="D240" s="23" t="s">
        <v>309</v>
      </c>
      <c r="E240" s="23" t="s">
        <v>310</v>
      </c>
      <c r="F240" s="141" t="s">
        <v>311</v>
      </c>
      <c r="G240" s="21" t="s">
        <v>108</v>
      </c>
      <c r="H240" s="191">
        <v>29.9</v>
      </c>
      <c r="I240" s="84">
        <v>28.224</v>
      </c>
      <c r="J240" s="23" t="s">
        <v>312</v>
      </c>
      <c r="K240" s="86" t="s">
        <v>313</v>
      </c>
      <c r="L240" s="86">
        <v>2</v>
      </c>
      <c r="M240" s="86"/>
      <c r="O240" s="100"/>
      <c r="P240" s="143">
        <v>1</v>
      </c>
      <c r="Q240" s="102">
        <v>1</v>
      </c>
      <c r="R240" s="103" t="s">
        <v>314</v>
      </c>
      <c r="S240" s="144" t="s">
        <v>305</v>
      </c>
      <c r="T240" s="112" t="s">
        <v>306</v>
      </c>
      <c r="U240" s="106" t="s">
        <v>307</v>
      </c>
      <c r="V240" s="107">
        <v>22</v>
      </c>
      <c r="W240" s="108"/>
      <c r="X240" s="109" t="s">
        <v>50</v>
      </c>
      <c r="Y240" s="20">
        <f t="shared" si="9"/>
        <v>1</v>
      </c>
      <c r="AA240" s="98">
        <f t="shared" si="10"/>
        <v>1.6759999999999984</v>
      </c>
      <c r="AB240" s="98" t="e">
        <f t="shared" si="11"/>
        <v>#VALUE!</v>
      </c>
    </row>
    <row r="241" spans="1:28" ht="22.35" customHeight="1" thickBot="1" x14ac:dyDescent="0.3">
      <c r="A241" s="80" t="s">
        <v>103</v>
      </c>
      <c r="B241" s="80" t="s">
        <v>315</v>
      </c>
      <c r="C241" s="81">
        <v>12</v>
      </c>
      <c r="D241" s="23" t="s">
        <v>316</v>
      </c>
      <c r="E241" s="23" t="s">
        <v>317</v>
      </c>
      <c r="F241" s="141" t="s">
        <v>318</v>
      </c>
      <c r="G241" s="21">
        <v>4</v>
      </c>
      <c r="H241" s="191">
        <v>33.9</v>
      </c>
      <c r="I241" s="84">
        <v>33.08032</v>
      </c>
      <c r="J241" s="23" t="s">
        <v>109</v>
      </c>
      <c r="K241" s="86" t="s">
        <v>319</v>
      </c>
      <c r="L241" s="86">
        <v>1</v>
      </c>
      <c r="M241" s="86"/>
      <c r="O241" s="100"/>
      <c r="P241" s="143">
        <v>1</v>
      </c>
      <c r="Q241" s="102">
        <v>1</v>
      </c>
      <c r="R241" s="103" t="s">
        <v>320</v>
      </c>
      <c r="S241" s="144" t="s">
        <v>305</v>
      </c>
      <c r="T241" s="112" t="s">
        <v>306</v>
      </c>
      <c r="U241" s="106" t="s">
        <v>307</v>
      </c>
      <c r="V241" s="107">
        <v>22</v>
      </c>
      <c r="W241" s="108"/>
      <c r="X241" s="109" t="s">
        <v>55</v>
      </c>
      <c r="Y241" s="20">
        <f t="shared" si="9"/>
        <v>1</v>
      </c>
      <c r="AA241" s="98">
        <f t="shared" si="10"/>
        <v>0.81967999999999819</v>
      </c>
      <c r="AB241" s="98" t="e">
        <f t="shared" si="11"/>
        <v>#VALUE!</v>
      </c>
    </row>
    <row r="242" spans="1:28" ht="22.35" customHeight="1" thickBot="1" x14ac:dyDescent="0.3">
      <c r="A242" s="80" t="s">
        <v>103</v>
      </c>
      <c r="B242" s="80" t="s">
        <v>321</v>
      </c>
      <c r="C242" s="81">
        <v>10</v>
      </c>
      <c r="D242" s="23" t="s">
        <v>322</v>
      </c>
      <c r="E242" s="23" t="s">
        <v>323</v>
      </c>
      <c r="F242" s="141" t="s">
        <v>324</v>
      </c>
      <c r="G242" s="21">
        <v>1</v>
      </c>
      <c r="H242" s="191">
        <v>30.9</v>
      </c>
      <c r="I242" s="84">
        <v>30.41</v>
      </c>
      <c r="J242" s="23" t="s">
        <v>325</v>
      </c>
      <c r="K242" s="86" t="s">
        <v>326</v>
      </c>
      <c r="L242" s="86">
        <v>1</v>
      </c>
      <c r="M242" s="86"/>
      <c r="O242" s="100"/>
      <c r="P242" s="143">
        <v>1</v>
      </c>
      <c r="Q242" s="102">
        <v>1</v>
      </c>
      <c r="R242" s="103" t="s">
        <v>327</v>
      </c>
      <c r="S242" s="144" t="s">
        <v>305</v>
      </c>
      <c r="T242" s="112" t="s">
        <v>306</v>
      </c>
      <c r="U242" s="106" t="s">
        <v>307</v>
      </c>
      <c r="V242" s="107">
        <v>22</v>
      </c>
      <c r="W242" s="108"/>
      <c r="X242" s="109" t="s">
        <v>59</v>
      </c>
      <c r="Y242" s="20">
        <f t="shared" si="9"/>
        <v>1</v>
      </c>
      <c r="AA242" s="98">
        <f t="shared" si="10"/>
        <v>0.48999999999999844</v>
      </c>
      <c r="AB242" s="98" t="e">
        <f t="shared" si="11"/>
        <v>#VALUE!</v>
      </c>
    </row>
    <row r="243" spans="1:28" ht="22.35" customHeight="1" thickBot="1" x14ac:dyDescent="0.3">
      <c r="A243" s="80" t="s">
        <v>328</v>
      </c>
      <c r="B243" s="80" t="s">
        <v>329</v>
      </c>
      <c r="C243" s="81">
        <v>12</v>
      </c>
      <c r="D243" s="23" t="s">
        <v>330</v>
      </c>
      <c r="E243" s="23" t="s">
        <v>331</v>
      </c>
      <c r="F243" s="141" t="s">
        <v>258</v>
      </c>
      <c r="G243" s="21">
        <v>4</v>
      </c>
      <c r="H243" s="191">
        <v>34.9</v>
      </c>
      <c r="I243" s="84">
        <v>34.496000000000002</v>
      </c>
      <c r="J243" s="23" t="s">
        <v>332</v>
      </c>
      <c r="K243" s="86" t="s">
        <v>333</v>
      </c>
      <c r="L243" s="86">
        <v>1</v>
      </c>
      <c r="M243" s="86"/>
      <c r="O243" s="100"/>
      <c r="P243" s="143">
        <v>1</v>
      </c>
      <c r="Q243" s="102">
        <v>1</v>
      </c>
      <c r="R243" s="103" t="s">
        <v>334</v>
      </c>
      <c r="S243" s="144" t="s">
        <v>305</v>
      </c>
      <c r="T243" s="112" t="s">
        <v>306</v>
      </c>
      <c r="U243" s="106" t="s">
        <v>307</v>
      </c>
      <c r="V243" s="107">
        <v>22</v>
      </c>
      <c r="W243" s="108"/>
      <c r="X243" s="109" t="s">
        <v>63</v>
      </c>
      <c r="Y243" s="20">
        <f t="shared" si="9"/>
        <v>1</v>
      </c>
      <c r="AA243" s="98">
        <f t="shared" si="10"/>
        <v>0.40399999999999636</v>
      </c>
      <c r="AB243" s="98" t="e">
        <f t="shared" si="11"/>
        <v>#VALUE!</v>
      </c>
    </row>
    <row r="244" spans="1:28" ht="22.35" customHeight="1" thickBot="1" x14ac:dyDescent="0.3">
      <c r="A244" s="80" t="s">
        <v>103</v>
      </c>
      <c r="B244" s="80" t="s">
        <v>335</v>
      </c>
      <c r="C244" s="81">
        <v>18</v>
      </c>
      <c r="D244" s="23" t="s">
        <v>336</v>
      </c>
      <c r="E244" s="23" t="s">
        <v>337</v>
      </c>
      <c r="F244" s="141" t="s">
        <v>338</v>
      </c>
      <c r="G244" s="21">
        <v>4</v>
      </c>
      <c r="H244" s="277">
        <v>17.899999999999999</v>
      </c>
      <c r="I244" s="84">
        <v>17.579519999999999</v>
      </c>
      <c r="J244" s="23" t="s">
        <v>332</v>
      </c>
      <c r="K244" s="86" t="s">
        <v>339</v>
      </c>
      <c r="L244" s="86">
        <v>1</v>
      </c>
      <c r="M244" s="86"/>
      <c r="O244" s="100"/>
      <c r="P244" s="143">
        <v>1</v>
      </c>
      <c r="Q244" s="102">
        <v>1</v>
      </c>
      <c r="R244" s="103" t="s">
        <v>340</v>
      </c>
      <c r="S244" s="144" t="s">
        <v>305</v>
      </c>
      <c r="T244" s="112" t="s">
        <v>306</v>
      </c>
      <c r="U244" s="106" t="s">
        <v>307</v>
      </c>
      <c r="V244" s="107">
        <v>22</v>
      </c>
      <c r="W244" s="108">
        <v>1</v>
      </c>
      <c r="X244" s="109" t="s">
        <v>179</v>
      </c>
      <c r="Y244" s="20">
        <f t="shared" si="9"/>
        <v>1</v>
      </c>
      <c r="AA244" s="98">
        <f t="shared" si="10"/>
        <v>0.32047999999999988</v>
      </c>
      <c r="AB244" s="98" t="e">
        <f t="shared" si="11"/>
        <v>#VALUE!</v>
      </c>
    </row>
    <row r="245" spans="1:28" ht="22.35" customHeight="1" thickBot="1" x14ac:dyDescent="0.3">
      <c r="A245" s="80" t="s">
        <v>328</v>
      </c>
      <c r="B245" s="80" t="s">
        <v>341</v>
      </c>
      <c r="C245" s="81">
        <v>10</v>
      </c>
      <c r="D245" s="23" t="s">
        <v>342</v>
      </c>
      <c r="E245" s="23" t="s">
        <v>343</v>
      </c>
      <c r="F245" s="141" t="s">
        <v>40</v>
      </c>
      <c r="G245" s="21">
        <v>5</v>
      </c>
      <c r="H245" s="191">
        <v>82.9</v>
      </c>
      <c r="I245" s="84">
        <v>81.2</v>
      </c>
      <c r="J245" s="23" t="s">
        <v>344</v>
      </c>
      <c r="K245" s="86" t="s">
        <v>345</v>
      </c>
      <c r="L245" s="86">
        <v>1</v>
      </c>
      <c r="M245" s="86"/>
      <c r="O245" s="100"/>
      <c r="P245" s="143">
        <v>1</v>
      </c>
      <c r="Q245" s="102">
        <v>1</v>
      </c>
      <c r="R245" s="103" t="s">
        <v>346</v>
      </c>
      <c r="S245" s="144" t="s">
        <v>305</v>
      </c>
      <c r="T245" s="112" t="s">
        <v>306</v>
      </c>
      <c r="U245" s="106" t="s">
        <v>347</v>
      </c>
      <c r="V245" s="107">
        <v>22</v>
      </c>
      <c r="W245" s="108"/>
      <c r="X245" s="109" t="s">
        <v>70</v>
      </c>
      <c r="Y245" s="20">
        <f t="shared" si="9"/>
        <v>1</v>
      </c>
      <c r="AA245" s="98">
        <f t="shared" si="10"/>
        <v>1.7000000000000028</v>
      </c>
      <c r="AB245" s="98" t="e">
        <f t="shared" si="11"/>
        <v>#VALUE!</v>
      </c>
    </row>
    <row r="246" spans="1:28" ht="22.35" customHeight="1" thickBot="1" x14ac:dyDescent="0.3">
      <c r="A246" s="80" t="s">
        <v>255</v>
      </c>
      <c r="B246" s="80" t="s">
        <v>348</v>
      </c>
      <c r="C246" s="81">
        <v>8</v>
      </c>
      <c r="D246" s="23" t="s">
        <v>349</v>
      </c>
      <c r="E246" s="23" t="s">
        <v>350</v>
      </c>
      <c r="F246" s="141" t="s">
        <v>86</v>
      </c>
      <c r="G246" s="21">
        <v>3</v>
      </c>
      <c r="H246" s="277">
        <v>49.9</v>
      </c>
      <c r="I246" s="84">
        <v>49.84</v>
      </c>
      <c r="J246" s="23" t="s">
        <v>344</v>
      </c>
      <c r="K246" s="86" t="s">
        <v>351</v>
      </c>
      <c r="L246" s="86">
        <v>1</v>
      </c>
      <c r="M246" s="86"/>
      <c r="O246" s="100"/>
      <c r="P246" s="143">
        <v>1</v>
      </c>
      <c r="Q246" s="102">
        <v>1</v>
      </c>
      <c r="R246" s="103" t="s">
        <v>304</v>
      </c>
      <c r="S246" s="144" t="s">
        <v>305</v>
      </c>
      <c r="T246" s="112" t="s">
        <v>306</v>
      </c>
      <c r="U246" s="106" t="s">
        <v>347</v>
      </c>
      <c r="V246" s="107">
        <v>22</v>
      </c>
      <c r="W246" s="108">
        <v>1</v>
      </c>
      <c r="X246" s="109" t="s">
        <v>117</v>
      </c>
      <c r="Y246" s="20">
        <f t="shared" si="9"/>
        <v>1</v>
      </c>
      <c r="AA246" s="98">
        <f t="shared" si="10"/>
        <v>5.9999999999995168E-2</v>
      </c>
      <c r="AB246" s="98" t="e">
        <f t="shared" si="11"/>
        <v>#VALUE!</v>
      </c>
    </row>
    <row r="247" spans="1:28" ht="22.35" customHeight="1" thickBot="1" x14ac:dyDescent="0.3">
      <c r="A247" s="80" t="s">
        <v>103</v>
      </c>
      <c r="B247" s="80" t="s">
        <v>352</v>
      </c>
      <c r="C247" s="81">
        <v>8</v>
      </c>
      <c r="D247" s="23" t="s">
        <v>353</v>
      </c>
      <c r="E247" s="23" t="s">
        <v>354</v>
      </c>
      <c r="F247" s="141" t="s">
        <v>274</v>
      </c>
      <c r="G247" s="21">
        <v>2</v>
      </c>
      <c r="H247" s="191">
        <v>132</v>
      </c>
      <c r="I247" s="84">
        <v>129.81</v>
      </c>
      <c r="J247" s="23" t="s">
        <v>355</v>
      </c>
      <c r="K247" s="86" t="s">
        <v>356</v>
      </c>
      <c r="L247" s="86">
        <v>1</v>
      </c>
      <c r="M247" s="86"/>
      <c r="O247" s="100"/>
      <c r="P247" s="143">
        <v>1</v>
      </c>
      <c r="Q247" s="102">
        <v>1</v>
      </c>
      <c r="R247" s="103" t="s">
        <v>357</v>
      </c>
      <c r="S247" s="144" t="s">
        <v>305</v>
      </c>
      <c r="T247" s="112" t="s">
        <v>306</v>
      </c>
      <c r="U247" s="106" t="s">
        <v>347</v>
      </c>
      <c r="V247" s="107">
        <v>22</v>
      </c>
      <c r="W247" s="108"/>
      <c r="X247" s="109" t="s">
        <v>199</v>
      </c>
      <c r="Y247" s="20">
        <f t="shared" si="9"/>
        <v>1</v>
      </c>
      <c r="AA247" s="98">
        <f t="shared" si="10"/>
        <v>2.1899999999999977</v>
      </c>
      <c r="AB247" s="98" t="e">
        <f t="shared" si="11"/>
        <v>#VALUE!</v>
      </c>
    </row>
    <row r="248" spans="1:28" ht="22.35" customHeight="1" thickBot="1" x14ac:dyDescent="0.3">
      <c r="A248" s="80"/>
      <c r="B248" s="80">
        <v>4037014180011</v>
      </c>
      <c r="C248" s="81">
        <v>8</v>
      </c>
      <c r="D248" s="23" t="s">
        <v>358</v>
      </c>
      <c r="E248" s="23" t="s">
        <v>39</v>
      </c>
      <c r="F248" s="141" t="s">
        <v>40</v>
      </c>
      <c r="G248" s="21">
        <v>2</v>
      </c>
      <c r="H248" s="191">
        <v>279</v>
      </c>
      <c r="I248" s="84">
        <v>267.68</v>
      </c>
      <c r="J248" s="23" t="s">
        <v>41</v>
      </c>
      <c r="K248" s="86">
        <v>1051054</v>
      </c>
      <c r="L248" s="86">
        <v>1</v>
      </c>
      <c r="M248" s="86"/>
      <c r="N248" s="87">
        <v>0</v>
      </c>
      <c r="O248" s="100">
        <v>148</v>
      </c>
      <c r="P248" s="143">
        <v>1</v>
      </c>
      <c r="Q248" s="102">
        <v>1</v>
      </c>
      <c r="R248" s="103">
        <v>305</v>
      </c>
      <c r="S248" s="144" t="s">
        <v>305</v>
      </c>
      <c r="T248" s="112" t="s">
        <v>306</v>
      </c>
      <c r="U248" s="106" t="s">
        <v>347</v>
      </c>
      <c r="V248" s="107">
        <v>22</v>
      </c>
      <c r="W248" s="108"/>
      <c r="X248" s="109" t="s">
        <v>205</v>
      </c>
      <c r="Y248" s="20">
        <f t="shared" si="9"/>
        <v>1</v>
      </c>
      <c r="AA248" s="98">
        <f t="shared" si="10"/>
        <v>11.319999999999993</v>
      </c>
      <c r="AB248" s="98">
        <f t="shared" si="11"/>
        <v>26</v>
      </c>
    </row>
    <row r="249" spans="1:28" ht="22.35" customHeight="1" thickBot="1" x14ac:dyDescent="0.3">
      <c r="A249" s="209"/>
      <c r="B249" s="209">
        <v>4013743000646</v>
      </c>
      <c r="C249" s="210">
        <v>12</v>
      </c>
      <c r="D249" s="211" t="s">
        <v>359</v>
      </c>
      <c r="E249" s="211" t="s">
        <v>360</v>
      </c>
      <c r="F249" s="236" t="s">
        <v>175</v>
      </c>
      <c r="G249" s="213">
        <v>2</v>
      </c>
      <c r="H249" s="191">
        <v>125</v>
      </c>
      <c r="I249" s="238">
        <v>122.08</v>
      </c>
      <c r="J249" s="211" t="s">
        <v>41</v>
      </c>
      <c r="K249" s="215">
        <v>1052073</v>
      </c>
      <c r="L249" s="215">
        <v>1</v>
      </c>
      <c r="M249" s="215"/>
      <c r="N249" s="216">
        <v>0</v>
      </c>
      <c r="O249" s="239">
        <v>219</v>
      </c>
      <c r="P249" s="240">
        <v>1</v>
      </c>
      <c r="Q249" s="154">
        <v>1</v>
      </c>
      <c r="R249" s="241">
        <v>129</v>
      </c>
      <c r="S249" s="242" t="s">
        <v>305</v>
      </c>
      <c r="T249" s="243" t="s">
        <v>306</v>
      </c>
      <c r="U249" s="244" t="s">
        <v>347</v>
      </c>
      <c r="V249" s="233">
        <v>22</v>
      </c>
      <c r="W249" s="108"/>
      <c r="X249" s="109" t="s">
        <v>209</v>
      </c>
      <c r="Y249" s="20">
        <f t="shared" si="9"/>
        <v>1</v>
      </c>
      <c r="AA249" s="98">
        <f t="shared" si="10"/>
        <v>2.9200000000000017</v>
      </c>
      <c r="AB249" s="98">
        <f t="shared" si="11"/>
        <v>4</v>
      </c>
    </row>
    <row r="250" spans="1:28" ht="22.35" customHeight="1" thickBot="1" x14ac:dyDescent="0.3">
      <c r="A250" s="209"/>
      <c r="B250" s="209">
        <v>5900649085497</v>
      </c>
      <c r="C250" s="279">
        <v>7</v>
      </c>
      <c r="D250" s="280" t="s">
        <v>361</v>
      </c>
      <c r="E250" s="280" t="s">
        <v>343</v>
      </c>
      <c r="F250" s="281" t="s">
        <v>362</v>
      </c>
      <c r="G250" s="282" t="s">
        <v>89</v>
      </c>
      <c r="H250" s="237">
        <v>9.5</v>
      </c>
      <c r="I250" s="282">
        <v>8.85</v>
      </c>
      <c r="J250" s="280" t="s">
        <v>363</v>
      </c>
      <c r="K250" s="283">
        <v>1052001</v>
      </c>
      <c r="L250" s="283">
        <v>4</v>
      </c>
      <c r="M250" s="283"/>
      <c r="N250" s="284">
        <v>0</v>
      </c>
      <c r="O250" s="217">
        <v>387</v>
      </c>
      <c r="P250" s="218">
        <v>1</v>
      </c>
      <c r="Q250" s="218">
        <v>1</v>
      </c>
      <c r="R250" s="219">
        <v>10.199999999999999</v>
      </c>
      <c r="S250" s="250" t="s">
        <v>363</v>
      </c>
      <c r="T250" s="221" t="str">
        <f>INDEX([1]data!$B$1:$B$100,MATCH('04.02 - 10.02'!S250,[0]!exclusive01,))</f>
        <v>DUCANH</v>
      </c>
      <c r="U250" s="244" t="s">
        <v>364</v>
      </c>
      <c r="V250" s="245">
        <v>22</v>
      </c>
      <c r="W250" s="108"/>
      <c r="X250" s="109" t="s">
        <v>119</v>
      </c>
      <c r="Y250" s="20">
        <f t="shared" si="9"/>
        <v>1</v>
      </c>
      <c r="AA250" s="98">
        <f t="shared" si="10"/>
        <v>0.65000000000000036</v>
      </c>
      <c r="AB250" s="98">
        <f t="shared" si="11"/>
        <v>0.69999999999999929</v>
      </c>
    </row>
    <row r="251" spans="1:28" ht="22.35" customHeight="1" thickBot="1" x14ac:dyDescent="0.3">
      <c r="A251" s="80" t="s">
        <v>365</v>
      </c>
      <c r="B251" s="80" t="s">
        <v>366</v>
      </c>
      <c r="C251" s="81">
        <v>20</v>
      </c>
      <c r="D251" s="23" t="s">
        <v>367</v>
      </c>
      <c r="E251" s="23" t="s">
        <v>368</v>
      </c>
      <c r="F251" s="141" t="s">
        <v>53</v>
      </c>
      <c r="G251" s="21" t="s">
        <v>89</v>
      </c>
      <c r="H251" s="246">
        <v>22.9</v>
      </c>
      <c r="I251" s="84">
        <v>22.4</v>
      </c>
      <c r="J251" s="23" t="s">
        <v>369</v>
      </c>
      <c r="K251" s="86" t="s">
        <v>370</v>
      </c>
      <c r="L251" s="86">
        <v>1</v>
      </c>
      <c r="M251" s="86"/>
      <c r="O251" s="88"/>
      <c r="P251" s="136">
        <v>1</v>
      </c>
      <c r="Q251" s="90">
        <v>1</v>
      </c>
      <c r="R251" s="91" t="s">
        <v>371</v>
      </c>
      <c r="S251" s="139" t="s">
        <v>372</v>
      </c>
      <c r="T251" s="140" t="s">
        <v>306</v>
      </c>
      <c r="U251" s="94" t="s">
        <v>373</v>
      </c>
      <c r="V251" s="95">
        <v>23</v>
      </c>
      <c r="W251" s="108"/>
      <c r="X251" s="109" t="s">
        <v>45</v>
      </c>
      <c r="Y251" s="20">
        <f t="shared" si="9"/>
        <v>1</v>
      </c>
      <c r="AA251" s="98">
        <f t="shared" si="10"/>
        <v>0.5</v>
      </c>
      <c r="AB251" s="98" t="e">
        <f t="shared" si="11"/>
        <v>#VALUE!</v>
      </c>
    </row>
    <row r="252" spans="1:28" ht="22.35" customHeight="1" thickBot="1" x14ac:dyDescent="0.3">
      <c r="A252" s="80" t="s">
        <v>374</v>
      </c>
      <c r="B252" s="80" t="s">
        <v>375</v>
      </c>
      <c r="C252" s="81">
        <v>22</v>
      </c>
      <c r="D252" s="23" t="s">
        <v>376</v>
      </c>
      <c r="E252" s="23" t="s">
        <v>377</v>
      </c>
      <c r="F252" s="141" t="s">
        <v>65</v>
      </c>
      <c r="G252" s="21">
        <v>3</v>
      </c>
      <c r="H252" s="277">
        <v>22.9</v>
      </c>
      <c r="I252" s="84">
        <v>22.478400000000001</v>
      </c>
      <c r="J252" s="23" t="s">
        <v>378</v>
      </c>
      <c r="K252" s="86" t="s">
        <v>379</v>
      </c>
      <c r="L252" s="86">
        <v>1</v>
      </c>
      <c r="M252" s="86"/>
      <c r="O252" s="100"/>
      <c r="P252" s="143">
        <v>1</v>
      </c>
      <c r="Q252" s="102">
        <v>1</v>
      </c>
      <c r="R252" s="103" t="s">
        <v>380</v>
      </c>
      <c r="S252" s="144" t="s">
        <v>372</v>
      </c>
      <c r="T252" s="112" t="s">
        <v>306</v>
      </c>
      <c r="U252" s="106" t="s">
        <v>373</v>
      </c>
      <c r="V252" s="107">
        <v>23</v>
      </c>
      <c r="W252" s="108">
        <v>1</v>
      </c>
      <c r="X252" s="109" t="s">
        <v>50</v>
      </c>
      <c r="Y252" s="20">
        <f t="shared" si="9"/>
        <v>1</v>
      </c>
      <c r="AA252" s="98">
        <f t="shared" si="10"/>
        <v>0.42159999999999798</v>
      </c>
      <c r="AB252" s="98" t="e">
        <f t="shared" si="11"/>
        <v>#VALUE!</v>
      </c>
    </row>
    <row r="253" spans="1:28" ht="22.35" customHeight="1" thickBot="1" x14ac:dyDescent="0.3">
      <c r="A253" s="80" t="s">
        <v>381</v>
      </c>
      <c r="B253" s="80" t="s">
        <v>382</v>
      </c>
      <c r="C253" s="81">
        <v>25</v>
      </c>
      <c r="D253" s="23" t="s">
        <v>383</v>
      </c>
      <c r="E253" s="23" t="s">
        <v>384</v>
      </c>
      <c r="F253" s="141" t="s">
        <v>385</v>
      </c>
      <c r="G253" s="21">
        <v>3</v>
      </c>
      <c r="H253" s="191">
        <v>12.9</v>
      </c>
      <c r="I253" s="84">
        <v>12.50032</v>
      </c>
      <c r="J253" s="23" t="s">
        <v>386</v>
      </c>
      <c r="K253" s="86" t="s">
        <v>387</v>
      </c>
      <c r="L253" s="86">
        <v>1</v>
      </c>
      <c r="M253" s="86"/>
      <c r="O253" s="100"/>
      <c r="P253" s="143">
        <v>1</v>
      </c>
      <c r="Q253" s="102">
        <v>1</v>
      </c>
      <c r="R253" s="103" t="s">
        <v>388</v>
      </c>
      <c r="S253" s="144" t="s">
        <v>372</v>
      </c>
      <c r="T253" s="112" t="s">
        <v>306</v>
      </c>
      <c r="U253" s="106" t="s">
        <v>373</v>
      </c>
      <c r="V253" s="107">
        <v>23</v>
      </c>
      <c r="W253" s="108"/>
      <c r="X253" s="109" t="s">
        <v>55</v>
      </c>
      <c r="Y253" s="20">
        <f t="shared" si="9"/>
        <v>1</v>
      </c>
      <c r="AA253" s="98">
        <f t="shared" si="10"/>
        <v>0.39968000000000004</v>
      </c>
      <c r="AB253" s="98" t="e">
        <f t="shared" si="11"/>
        <v>#VALUE!</v>
      </c>
    </row>
    <row r="254" spans="1:28" ht="22.35" customHeight="1" thickBot="1" x14ac:dyDescent="0.3">
      <c r="A254" s="80" t="s">
        <v>328</v>
      </c>
      <c r="B254" s="80" t="s">
        <v>389</v>
      </c>
      <c r="C254" s="81">
        <v>12</v>
      </c>
      <c r="D254" s="23" t="s">
        <v>390</v>
      </c>
      <c r="E254" s="23" t="s">
        <v>391</v>
      </c>
      <c r="F254" s="141" t="s">
        <v>392</v>
      </c>
      <c r="G254" s="21" t="s">
        <v>89</v>
      </c>
      <c r="H254" s="191">
        <v>74.900000000000006</v>
      </c>
      <c r="I254" s="84">
        <v>73.280479999999997</v>
      </c>
      <c r="J254" s="23" t="s">
        <v>393</v>
      </c>
      <c r="K254" s="86" t="s">
        <v>394</v>
      </c>
      <c r="L254" s="86">
        <v>1</v>
      </c>
      <c r="M254" s="86"/>
      <c r="O254" s="100"/>
      <c r="P254" s="143">
        <v>1</v>
      </c>
      <c r="Q254" s="102">
        <v>1</v>
      </c>
      <c r="R254" s="103" t="s">
        <v>395</v>
      </c>
      <c r="S254" s="144" t="s">
        <v>372</v>
      </c>
      <c r="T254" s="112" t="s">
        <v>306</v>
      </c>
      <c r="U254" s="106" t="s">
        <v>373</v>
      </c>
      <c r="V254" s="107">
        <v>23</v>
      </c>
      <c r="W254" s="108"/>
      <c r="X254" s="109" t="s">
        <v>59</v>
      </c>
      <c r="Y254" s="20">
        <f t="shared" si="9"/>
        <v>1</v>
      </c>
      <c r="AA254" s="98">
        <f t="shared" si="10"/>
        <v>1.6195200000000085</v>
      </c>
      <c r="AB254" s="98" t="e">
        <f t="shared" si="11"/>
        <v>#VALUE!</v>
      </c>
    </row>
    <row r="255" spans="1:28" ht="22.35" customHeight="1" thickBot="1" x14ac:dyDescent="0.3">
      <c r="A255" s="80" t="s">
        <v>328</v>
      </c>
      <c r="B255" s="80" t="s">
        <v>396</v>
      </c>
      <c r="C255" s="81">
        <v>18</v>
      </c>
      <c r="D255" s="23" t="s">
        <v>397</v>
      </c>
      <c r="E255" s="23" t="s">
        <v>398</v>
      </c>
      <c r="F255" s="141" t="s">
        <v>399</v>
      </c>
      <c r="G255" s="21" t="s">
        <v>89</v>
      </c>
      <c r="H255" s="191">
        <v>16.899999999999999</v>
      </c>
      <c r="I255" s="84">
        <v>16.509920000000001</v>
      </c>
      <c r="J255" s="23" t="s">
        <v>400</v>
      </c>
      <c r="K255" s="86" t="s">
        <v>401</v>
      </c>
      <c r="L255" s="86">
        <v>2</v>
      </c>
      <c r="M255" s="86"/>
      <c r="O255" s="100"/>
      <c r="P255" s="143">
        <v>1</v>
      </c>
      <c r="Q255" s="102">
        <v>1</v>
      </c>
      <c r="R255" s="103" t="s">
        <v>402</v>
      </c>
      <c r="S255" s="144" t="s">
        <v>372</v>
      </c>
      <c r="T255" s="112" t="s">
        <v>306</v>
      </c>
      <c r="U255" s="106" t="s">
        <v>403</v>
      </c>
      <c r="V255" s="107">
        <v>23</v>
      </c>
      <c r="W255" s="108"/>
      <c r="X255" s="109" t="s">
        <v>63</v>
      </c>
      <c r="Y255" s="20">
        <f t="shared" si="9"/>
        <v>1</v>
      </c>
      <c r="AA255" s="98">
        <f t="shared" si="10"/>
        <v>0.39007999999999754</v>
      </c>
      <c r="AB255" s="98" t="e">
        <f t="shared" si="11"/>
        <v>#VALUE!</v>
      </c>
    </row>
    <row r="256" spans="1:28" ht="22.35" customHeight="1" thickBot="1" x14ac:dyDescent="0.3">
      <c r="A256" s="80" t="s">
        <v>328</v>
      </c>
      <c r="B256" s="80" t="s">
        <v>404</v>
      </c>
      <c r="C256" s="81">
        <v>15</v>
      </c>
      <c r="D256" s="23" t="s">
        <v>405</v>
      </c>
      <c r="E256" s="23" t="s">
        <v>406</v>
      </c>
      <c r="F256" s="141" t="s">
        <v>53</v>
      </c>
      <c r="G256" s="21">
        <v>2</v>
      </c>
      <c r="H256" s="191">
        <v>9.5</v>
      </c>
      <c r="I256" s="84">
        <v>9.0697600000000005</v>
      </c>
      <c r="J256" s="23" t="s">
        <v>407</v>
      </c>
      <c r="K256" s="86" t="s">
        <v>408</v>
      </c>
      <c r="L256" s="86">
        <v>1</v>
      </c>
      <c r="M256" s="86"/>
      <c r="O256" s="100"/>
      <c r="P256" s="143">
        <v>1</v>
      </c>
      <c r="Q256" s="102">
        <v>1</v>
      </c>
      <c r="R256" s="103" t="s">
        <v>409</v>
      </c>
      <c r="S256" s="144" t="s">
        <v>372</v>
      </c>
      <c r="T256" s="112" t="s">
        <v>306</v>
      </c>
      <c r="U256" s="106" t="s">
        <v>403</v>
      </c>
      <c r="V256" s="107">
        <v>23</v>
      </c>
      <c r="W256" s="108"/>
      <c r="X256" s="109" t="s">
        <v>66</v>
      </c>
      <c r="Y256" s="20">
        <f t="shared" si="9"/>
        <v>1</v>
      </c>
      <c r="AA256" s="98">
        <f t="shared" si="10"/>
        <v>0.43023999999999951</v>
      </c>
      <c r="AB256" s="98" t="e">
        <f t="shared" si="11"/>
        <v>#VALUE!</v>
      </c>
    </row>
    <row r="257" spans="1:28" ht="22.35" customHeight="1" thickBot="1" x14ac:dyDescent="0.3">
      <c r="A257" s="80"/>
      <c r="B257" s="80">
        <v>8588000061457</v>
      </c>
      <c r="C257" s="81">
        <v>700</v>
      </c>
      <c r="D257" s="23" t="s">
        <v>410</v>
      </c>
      <c r="E257" s="23" t="s">
        <v>411</v>
      </c>
      <c r="F257" s="141" t="s">
        <v>412</v>
      </c>
      <c r="G257" s="21">
        <v>4</v>
      </c>
      <c r="H257" s="191">
        <v>2.5</v>
      </c>
      <c r="I257" s="84">
        <v>2.1800000000000002</v>
      </c>
      <c r="J257" s="23" t="s">
        <v>413</v>
      </c>
      <c r="K257" s="86">
        <v>2040746</v>
      </c>
      <c r="L257" s="86">
        <v>1</v>
      </c>
      <c r="M257" s="86"/>
      <c r="N257" s="87">
        <v>0</v>
      </c>
      <c r="O257" s="100">
        <v>959</v>
      </c>
      <c r="P257" s="143">
        <v>1</v>
      </c>
      <c r="Q257" s="102">
        <v>1</v>
      </c>
      <c r="R257" s="103">
        <v>2.7</v>
      </c>
      <c r="S257" s="144" t="s">
        <v>372</v>
      </c>
      <c r="T257" s="112" t="s">
        <v>306</v>
      </c>
      <c r="U257" s="106" t="s">
        <v>414</v>
      </c>
      <c r="V257" s="107">
        <v>23</v>
      </c>
      <c r="W257" s="108"/>
      <c r="X257" s="109" t="s">
        <v>179</v>
      </c>
      <c r="Y257" s="20">
        <f t="shared" si="9"/>
        <v>1</v>
      </c>
      <c r="AA257" s="98">
        <f t="shared" si="10"/>
        <v>0.31999999999999984</v>
      </c>
      <c r="AB257" s="98">
        <f t="shared" si="11"/>
        <v>0.20000000000000018</v>
      </c>
    </row>
    <row r="258" spans="1:28" ht="22.35" customHeight="1" thickBot="1" x14ac:dyDescent="0.3">
      <c r="A258" s="80"/>
      <c r="B258" s="80">
        <v>5010029227451</v>
      </c>
      <c r="C258" s="81">
        <v>5</v>
      </c>
      <c r="D258" s="23" t="s">
        <v>415</v>
      </c>
      <c r="E258" s="23" t="s">
        <v>373</v>
      </c>
      <c r="F258" s="141" t="s">
        <v>416</v>
      </c>
      <c r="G258" s="21">
        <v>1</v>
      </c>
      <c r="H258" s="191">
        <v>97.9</v>
      </c>
      <c r="I258" s="84">
        <v>93.44</v>
      </c>
      <c r="J258" s="23" t="s">
        <v>417</v>
      </c>
      <c r="K258" s="86">
        <v>2052046</v>
      </c>
      <c r="L258" s="86">
        <v>1</v>
      </c>
      <c r="M258" s="86"/>
      <c r="N258" s="87">
        <v>0</v>
      </c>
      <c r="O258" s="100">
        <v>276</v>
      </c>
      <c r="P258" s="143">
        <v>1</v>
      </c>
      <c r="Q258" s="102">
        <v>1</v>
      </c>
      <c r="R258" s="103">
        <v>109</v>
      </c>
      <c r="S258" s="144" t="s">
        <v>372</v>
      </c>
      <c r="T258" s="112" t="s">
        <v>306</v>
      </c>
      <c r="U258" s="106" t="s">
        <v>414</v>
      </c>
      <c r="V258" s="107">
        <v>23</v>
      </c>
      <c r="W258" s="108"/>
      <c r="X258" s="109" t="s">
        <v>70</v>
      </c>
      <c r="Y258" s="20">
        <f t="shared" si="9"/>
        <v>1</v>
      </c>
      <c r="AA258" s="98">
        <f t="shared" si="10"/>
        <v>4.460000000000008</v>
      </c>
      <c r="AB258" s="98">
        <f t="shared" si="11"/>
        <v>11.099999999999994</v>
      </c>
    </row>
    <row r="259" spans="1:28" ht="22.35" customHeight="1" thickBot="1" x14ac:dyDescent="0.3">
      <c r="A259" s="80"/>
      <c r="B259" s="80">
        <v>5900020025678</v>
      </c>
      <c r="C259" s="81">
        <v>16</v>
      </c>
      <c r="D259" s="23" t="s">
        <v>418</v>
      </c>
      <c r="E259" s="23" t="s">
        <v>419</v>
      </c>
      <c r="F259" s="141" t="s">
        <v>420</v>
      </c>
      <c r="G259" s="21" t="s">
        <v>89</v>
      </c>
      <c r="H259" s="191">
        <v>8.1999999999999993</v>
      </c>
      <c r="I259" s="84">
        <v>7.8</v>
      </c>
      <c r="J259" s="23" t="s">
        <v>421</v>
      </c>
      <c r="K259" s="86">
        <v>2051063</v>
      </c>
      <c r="L259" s="86">
        <v>1</v>
      </c>
      <c r="M259" s="86"/>
      <c r="N259" s="87">
        <v>0</v>
      </c>
      <c r="O259" s="100">
        <v>756</v>
      </c>
      <c r="P259" s="143">
        <v>1</v>
      </c>
      <c r="Q259" s="102">
        <v>1</v>
      </c>
      <c r="R259" s="103">
        <v>8.9</v>
      </c>
      <c r="S259" s="144" t="s">
        <v>372</v>
      </c>
      <c r="T259" s="112" t="s">
        <v>306</v>
      </c>
      <c r="U259" s="106" t="s">
        <v>414</v>
      </c>
      <c r="V259" s="107">
        <v>23</v>
      </c>
      <c r="W259" s="108"/>
      <c r="X259" s="109" t="s">
        <v>199</v>
      </c>
      <c r="Y259" s="20">
        <f t="shared" si="9"/>
        <v>1</v>
      </c>
      <c r="AA259" s="98">
        <f t="shared" si="10"/>
        <v>0.39999999999999947</v>
      </c>
      <c r="AB259" s="98">
        <f t="shared" si="11"/>
        <v>0.70000000000000107</v>
      </c>
    </row>
    <row r="260" spans="1:28" ht="22.35" customHeight="1" thickBot="1" x14ac:dyDescent="0.3">
      <c r="A260" s="80"/>
      <c r="B260" s="80"/>
      <c r="F260" s="141"/>
      <c r="H260" s="191"/>
      <c r="I260" s="84"/>
      <c r="K260" s="86"/>
      <c r="L260" s="86"/>
      <c r="M260" s="86"/>
      <c r="O260" s="100"/>
      <c r="P260" s="143"/>
      <c r="Q260" s="102"/>
      <c r="R260" s="103"/>
      <c r="S260" s="144" t="s">
        <v>372</v>
      </c>
      <c r="T260" s="112" t="s">
        <v>306</v>
      </c>
      <c r="U260" s="106" t="s">
        <v>422</v>
      </c>
      <c r="V260" s="107">
        <v>23</v>
      </c>
      <c r="W260" s="108"/>
      <c r="X260" s="109"/>
      <c r="Y260" s="20">
        <f t="shared" si="9"/>
        <v>0</v>
      </c>
      <c r="AA260" s="98">
        <f t="shared" si="10"/>
        <v>0</v>
      </c>
      <c r="AB260" s="98">
        <f t="shared" si="11"/>
        <v>0</v>
      </c>
    </row>
    <row r="261" spans="1:28" ht="22.35" customHeight="1" thickBot="1" x14ac:dyDescent="0.3">
      <c r="A261" s="209"/>
      <c r="B261" s="209"/>
      <c r="C261" s="210"/>
      <c r="D261" s="211"/>
      <c r="E261" s="211"/>
      <c r="F261" s="236"/>
      <c r="G261" s="213"/>
      <c r="H261" s="191"/>
      <c r="I261" s="238"/>
      <c r="J261" s="211"/>
      <c r="K261" s="215"/>
      <c r="L261" s="215"/>
      <c r="M261" s="215"/>
      <c r="N261" s="216"/>
      <c r="O261" s="239"/>
      <c r="P261" s="240"/>
      <c r="Q261" s="154"/>
      <c r="R261" s="241"/>
      <c r="S261" s="242" t="s">
        <v>372</v>
      </c>
      <c r="T261" s="243" t="s">
        <v>306</v>
      </c>
      <c r="U261" s="244" t="s">
        <v>422</v>
      </c>
      <c r="V261" s="233">
        <v>23</v>
      </c>
      <c r="W261" s="108"/>
      <c r="X261" s="109"/>
      <c r="Y261" s="20">
        <f t="shared" si="9"/>
        <v>0</v>
      </c>
      <c r="AA261" s="98">
        <f t="shared" si="10"/>
        <v>0</v>
      </c>
      <c r="AB261" s="98">
        <f t="shared" si="11"/>
        <v>0</v>
      </c>
    </row>
    <row r="262" spans="1:28" ht="22.35" customHeight="1" thickBot="1" x14ac:dyDescent="0.3">
      <c r="A262" s="209"/>
      <c r="B262" s="209">
        <v>8445291841093</v>
      </c>
      <c r="C262" s="279">
        <v>14</v>
      </c>
      <c r="D262" s="280" t="s">
        <v>423</v>
      </c>
      <c r="E262" s="280" t="s">
        <v>424</v>
      </c>
      <c r="F262" s="281" t="s">
        <v>425</v>
      </c>
      <c r="G262" s="282">
        <v>4</v>
      </c>
      <c r="H262" s="237">
        <v>84.9</v>
      </c>
      <c r="I262" s="282">
        <v>82.28</v>
      </c>
      <c r="J262" s="280" t="s">
        <v>421</v>
      </c>
      <c r="K262" s="283">
        <v>1052052</v>
      </c>
      <c r="L262" s="283">
        <v>4</v>
      </c>
      <c r="M262" s="283"/>
      <c r="N262" s="284">
        <v>0</v>
      </c>
      <c r="O262" s="217">
        <v>120</v>
      </c>
      <c r="P262" s="218">
        <v>1</v>
      </c>
      <c r="Q262" s="218">
        <v>1</v>
      </c>
      <c r="R262" s="219">
        <v>94.9</v>
      </c>
      <c r="S262" s="250" t="s">
        <v>426</v>
      </c>
      <c r="T262" s="221" t="str">
        <f>INDEX([1]data!$B$1:$B$100,MATCH('04.02 - 10.02'!S262,[0]!exclusive01,))</f>
        <v>DUCANH</v>
      </c>
      <c r="U262" s="244" t="s">
        <v>364</v>
      </c>
      <c r="V262" s="245">
        <v>23</v>
      </c>
      <c r="W262" s="108"/>
      <c r="X262" s="109" t="s">
        <v>119</v>
      </c>
      <c r="Y262" s="20">
        <f t="shared" si="9"/>
        <v>1</v>
      </c>
      <c r="AA262" s="98">
        <f t="shared" si="10"/>
        <v>2.6200000000000045</v>
      </c>
      <c r="AB262" s="98">
        <f t="shared" si="11"/>
        <v>10</v>
      </c>
    </row>
    <row r="263" spans="1:28" ht="22.35" customHeight="1" thickBot="1" x14ac:dyDescent="0.3">
      <c r="A263" s="80"/>
      <c r="B263" s="80">
        <v>8593893007437</v>
      </c>
      <c r="C263" s="128">
        <v>16</v>
      </c>
      <c r="D263" s="129" t="s">
        <v>427</v>
      </c>
      <c r="E263" s="129" t="s">
        <v>428</v>
      </c>
      <c r="F263" s="234" t="s">
        <v>429</v>
      </c>
      <c r="G263" s="132" t="s">
        <v>89</v>
      </c>
      <c r="H263" s="191">
        <v>8.1999999999999993</v>
      </c>
      <c r="I263" s="132">
        <v>7.8</v>
      </c>
      <c r="J263" s="129" t="s">
        <v>421</v>
      </c>
      <c r="K263" s="133">
        <v>2050138</v>
      </c>
      <c r="L263" s="133">
        <v>4</v>
      </c>
      <c r="M263" s="133"/>
      <c r="N263" s="134">
        <v>0</v>
      </c>
      <c r="O263" s="235">
        <v>2905</v>
      </c>
      <c r="P263" s="206">
        <v>1</v>
      </c>
      <c r="Q263" s="206">
        <v>1</v>
      </c>
      <c r="R263" s="207">
        <v>8.9</v>
      </c>
      <c r="S263" s="226" t="s">
        <v>430</v>
      </c>
      <c r="T263" s="94" t="str">
        <f>INDEX([1]data!$B$1:$B$100,MATCH('04.02 - 10.02'!S263,[0]!exclusive01,))</f>
        <v>DUCANH</v>
      </c>
      <c r="U263" s="106" t="s">
        <v>373</v>
      </c>
      <c r="V263" s="107">
        <v>24</v>
      </c>
      <c r="W263" s="108"/>
      <c r="X263" s="109" t="s">
        <v>45</v>
      </c>
      <c r="Y263" s="20">
        <f t="shared" ref="Y263:Y326" si="12">COUNTIF(K:K,K263)</f>
        <v>1</v>
      </c>
      <c r="AA263" s="98">
        <f t="shared" si="10"/>
        <v>0.39999999999999947</v>
      </c>
      <c r="AB263" s="98">
        <f t="shared" si="11"/>
        <v>0.70000000000000107</v>
      </c>
    </row>
    <row r="264" spans="1:28" ht="22.35" customHeight="1" thickBot="1" x14ac:dyDescent="0.3">
      <c r="A264" s="80" t="s">
        <v>255</v>
      </c>
      <c r="B264" s="80" t="s">
        <v>431</v>
      </c>
      <c r="C264" s="81">
        <v>12</v>
      </c>
      <c r="D264" s="23" t="s">
        <v>432</v>
      </c>
      <c r="E264" s="23" t="s">
        <v>433</v>
      </c>
      <c r="F264" s="82" t="s">
        <v>434</v>
      </c>
      <c r="G264" s="21" t="s">
        <v>108</v>
      </c>
      <c r="H264" s="191">
        <v>34.9</v>
      </c>
      <c r="I264" s="21">
        <v>33.220320000000001</v>
      </c>
      <c r="J264" s="23" t="s">
        <v>435</v>
      </c>
      <c r="K264" s="86" t="s">
        <v>436</v>
      </c>
      <c r="L264" s="86">
        <v>4</v>
      </c>
      <c r="M264" s="86"/>
      <c r="N264" s="87">
        <v>1</v>
      </c>
      <c r="O264" s="223"/>
      <c r="P264" s="224"/>
      <c r="Q264" s="224"/>
      <c r="R264" s="225" t="s">
        <v>334</v>
      </c>
      <c r="S264" s="226" t="s">
        <v>437</v>
      </c>
      <c r="T264" s="94" t="str">
        <f>INDEX([1]data!$B$1:$B$100,MATCH('04.02 - 10.02'!S264,[0]!exclusive01,))</f>
        <v>VU</v>
      </c>
      <c r="U264" s="106" t="s">
        <v>373</v>
      </c>
      <c r="V264" s="107">
        <v>24</v>
      </c>
      <c r="W264" s="108"/>
      <c r="X264" s="109" t="s">
        <v>55</v>
      </c>
      <c r="Y264" s="20">
        <f t="shared" si="12"/>
        <v>1</v>
      </c>
      <c r="AA264" s="98">
        <f t="shared" ref="AA264:AA327" si="13">H264-I264</f>
        <v>1.6796799999999976</v>
      </c>
      <c r="AB264" s="98" t="e">
        <f t="shared" ref="AB264:AB327" si="14">R264-H264</f>
        <v>#VALUE!</v>
      </c>
    </row>
    <row r="265" spans="1:28" ht="22.35" customHeight="1" thickBot="1" x14ac:dyDescent="0.3">
      <c r="A265" s="80" t="s">
        <v>255</v>
      </c>
      <c r="B265" s="80" t="s">
        <v>438</v>
      </c>
      <c r="C265" s="81">
        <v>24</v>
      </c>
      <c r="D265" s="23" t="s">
        <v>439</v>
      </c>
      <c r="E265" s="23" t="s">
        <v>440</v>
      </c>
      <c r="F265" s="82" t="s">
        <v>399</v>
      </c>
      <c r="G265" s="21" t="s">
        <v>108</v>
      </c>
      <c r="H265" s="277">
        <v>10.9</v>
      </c>
      <c r="I265" s="21">
        <v>10.51008</v>
      </c>
      <c r="J265" s="23" t="s">
        <v>393</v>
      </c>
      <c r="K265" s="86" t="s">
        <v>441</v>
      </c>
      <c r="L265" s="86">
        <v>4</v>
      </c>
      <c r="M265" s="86"/>
      <c r="N265" s="87">
        <v>1</v>
      </c>
      <c r="O265" s="223"/>
      <c r="P265" s="224"/>
      <c r="Q265" s="224"/>
      <c r="R265" s="225">
        <v>11.9</v>
      </c>
      <c r="S265" s="226" t="s">
        <v>442</v>
      </c>
      <c r="T265" s="94" t="str">
        <f>INDEX([1]data!$B$1:$B$100,MATCH('04.02 - 10.02'!S265,[0]!exclusive01,))</f>
        <v>VU</v>
      </c>
      <c r="U265" s="106" t="s">
        <v>373</v>
      </c>
      <c r="V265" s="107">
        <v>24</v>
      </c>
      <c r="W265" s="108">
        <v>1</v>
      </c>
      <c r="X265" s="109" t="s">
        <v>117</v>
      </c>
      <c r="Y265" s="20">
        <f t="shared" si="12"/>
        <v>1</v>
      </c>
      <c r="AA265" s="98">
        <f t="shared" si="13"/>
        <v>0.38992000000000004</v>
      </c>
      <c r="AB265" s="98">
        <f t="shared" si="14"/>
        <v>1</v>
      </c>
    </row>
    <row r="266" spans="1:28" ht="22.35" customHeight="1" thickBot="1" x14ac:dyDescent="0.3">
      <c r="A266" s="209" t="s">
        <v>328</v>
      </c>
      <c r="B266" s="209" t="s">
        <v>443</v>
      </c>
      <c r="C266" s="193">
        <v>24</v>
      </c>
      <c r="D266" s="194" t="s">
        <v>444</v>
      </c>
      <c r="E266" s="194" t="s">
        <v>445</v>
      </c>
      <c r="F266" s="227" t="s">
        <v>399</v>
      </c>
      <c r="G266" s="196" t="s">
        <v>108</v>
      </c>
      <c r="H266" s="191">
        <v>23.9</v>
      </c>
      <c r="I266" s="196">
        <v>23.860479999999999</v>
      </c>
      <c r="J266" s="194" t="s">
        <v>446</v>
      </c>
      <c r="K266" s="198" t="s">
        <v>447</v>
      </c>
      <c r="L266" s="198">
        <v>4</v>
      </c>
      <c r="M266" s="198"/>
      <c r="N266" s="228">
        <v>1</v>
      </c>
      <c r="O266" s="229"/>
      <c r="P266" s="230"/>
      <c r="Q266" s="230"/>
      <c r="R266" s="231" t="s">
        <v>448</v>
      </c>
      <c r="S266" s="232" t="s">
        <v>446</v>
      </c>
      <c r="T266" s="125" t="str">
        <f>INDEX([1]data!$B$1:$B$100,MATCH('04.02 - 10.02'!S266,[0]!exclusive01,))</f>
        <v>VU</v>
      </c>
      <c r="U266" s="125" t="s">
        <v>414</v>
      </c>
      <c r="V266" s="233">
        <v>24</v>
      </c>
      <c r="W266" s="108"/>
      <c r="X266" s="109" t="s">
        <v>119</v>
      </c>
      <c r="Y266" s="20">
        <f t="shared" si="12"/>
        <v>1</v>
      </c>
      <c r="AA266" s="98">
        <f t="shared" si="13"/>
        <v>3.9519999999999555E-2</v>
      </c>
      <c r="AB266" s="98" t="e">
        <f t="shared" si="14"/>
        <v>#VALUE!</v>
      </c>
    </row>
    <row r="267" spans="1:28" ht="22.35" customHeight="1" thickBot="1" x14ac:dyDescent="0.3">
      <c r="A267" s="127" t="s">
        <v>449</v>
      </c>
      <c r="B267" s="127" t="s">
        <v>450</v>
      </c>
      <c r="C267" s="128">
        <v>6</v>
      </c>
      <c r="D267" s="129" t="s">
        <v>451</v>
      </c>
      <c r="E267" s="129" t="s">
        <v>452</v>
      </c>
      <c r="F267" s="130" t="s">
        <v>274</v>
      </c>
      <c r="G267" s="132">
        <v>4</v>
      </c>
      <c r="H267" s="191">
        <v>47.9</v>
      </c>
      <c r="I267" s="158">
        <v>45.859520000000003</v>
      </c>
      <c r="J267" s="129" t="s">
        <v>453</v>
      </c>
      <c r="K267" s="159" t="s">
        <v>454</v>
      </c>
      <c r="L267" s="133">
        <v>2</v>
      </c>
      <c r="M267" s="133"/>
      <c r="N267" s="134"/>
      <c r="O267" s="135"/>
      <c r="P267" s="136">
        <v>1</v>
      </c>
      <c r="Q267" s="137">
        <v>1</v>
      </c>
      <c r="R267" s="138" t="s">
        <v>455</v>
      </c>
      <c r="S267" s="144" t="s">
        <v>456</v>
      </c>
      <c r="T267" s="112" t="s">
        <v>296</v>
      </c>
      <c r="U267" s="106" t="s">
        <v>457</v>
      </c>
      <c r="V267" s="107">
        <v>25</v>
      </c>
      <c r="W267" s="96"/>
      <c r="X267" s="97" t="s">
        <v>45</v>
      </c>
      <c r="Y267" s="20">
        <f t="shared" si="12"/>
        <v>1</v>
      </c>
      <c r="AA267" s="98">
        <f t="shared" si="13"/>
        <v>2.0404799999999952</v>
      </c>
      <c r="AB267" s="98" t="e">
        <f t="shared" si="14"/>
        <v>#VALUE!</v>
      </c>
    </row>
    <row r="268" spans="1:28" ht="22.35" customHeight="1" thickBot="1" x14ac:dyDescent="0.3">
      <c r="A268" s="80" t="s">
        <v>328</v>
      </c>
      <c r="B268" s="80" t="s">
        <v>458</v>
      </c>
      <c r="C268" s="81">
        <v>16</v>
      </c>
      <c r="D268" s="23" t="s">
        <v>459</v>
      </c>
      <c r="E268" s="23" t="s">
        <v>460</v>
      </c>
      <c r="F268" s="141" t="s">
        <v>461</v>
      </c>
      <c r="G268" s="21">
        <v>1</v>
      </c>
      <c r="H268" s="191">
        <v>27.5</v>
      </c>
      <c r="I268" s="84">
        <v>26.87</v>
      </c>
      <c r="J268" s="23" t="s">
        <v>462</v>
      </c>
      <c r="K268" s="86" t="s">
        <v>463</v>
      </c>
      <c r="L268" s="86">
        <v>1</v>
      </c>
      <c r="M268" s="86"/>
      <c r="O268" s="100"/>
      <c r="P268" s="143">
        <v>1</v>
      </c>
      <c r="Q268" s="102">
        <v>1</v>
      </c>
      <c r="R268" s="103" t="s">
        <v>464</v>
      </c>
      <c r="S268" s="144" t="s">
        <v>456</v>
      </c>
      <c r="T268" s="112" t="s">
        <v>296</v>
      </c>
      <c r="U268" s="106" t="s">
        <v>457</v>
      </c>
      <c r="V268" s="107">
        <v>25</v>
      </c>
      <c r="W268" s="108"/>
      <c r="X268" s="109" t="s">
        <v>50</v>
      </c>
      <c r="Y268" s="20">
        <f t="shared" si="12"/>
        <v>1</v>
      </c>
      <c r="AA268" s="98">
        <f>H268-I268</f>
        <v>0.62999999999999901</v>
      </c>
      <c r="AB268" s="98" t="e">
        <f>R268-H268</f>
        <v>#VALUE!</v>
      </c>
    </row>
    <row r="269" spans="1:28" ht="22.35" customHeight="1" thickBot="1" x14ac:dyDescent="0.3">
      <c r="A269" s="80" t="s">
        <v>465</v>
      </c>
      <c r="B269" s="80" t="s">
        <v>466</v>
      </c>
      <c r="C269" s="81">
        <v>26</v>
      </c>
      <c r="D269" s="23" t="s">
        <v>467</v>
      </c>
      <c r="E269" s="23" t="s">
        <v>468</v>
      </c>
      <c r="F269" s="141" t="s">
        <v>469</v>
      </c>
      <c r="G269" s="21">
        <v>2</v>
      </c>
      <c r="H269" s="191">
        <v>19.899999999999999</v>
      </c>
      <c r="I269" s="84">
        <v>19.510400000000001</v>
      </c>
      <c r="J269" s="23" t="s">
        <v>470</v>
      </c>
      <c r="K269" s="86" t="s">
        <v>471</v>
      </c>
      <c r="L269" s="86">
        <v>1</v>
      </c>
      <c r="M269" s="86"/>
      <c r="O269" s="100"/>
      <c r="P269" s="143">
        <v>1</v>
      </c>
      <c r="Q269" s="102">
        <v>1</v>
      </c>
      <c r="R269" s="103" t="s">
        <v>380</v>
      </c>
      <c r="S269" s="144" t="s">
        <v>456</v>
      </c>
      <c r="T269" s="112" t="s">
        <v>296</v>
      </c>
      <c r="U269" s="106" t="s">
        <v>457</v>
      </c>
      <c r="V269" s="107">
        <v>25</v>
      </c>
      <c r="W269" s="108">
        <v>1</v>
      </c>
      <c r="X269" s="109" t="s">
        <v>55</v>
      </c>
      <c r="Y269" s="20">
        <f t="shared" si="12"/>
        <v>1</v>
      </c>
      <c r="AA269" s="98">
        <f t="shared" si="13"/>
        <v>0.38959999999999795</v>
      </c>
      <c r="AB269" s="98" t="e">
        <f t="shared" si="14"/>
        <v>#VALUE!</v>
      </c>
    </row>
    <row r="270" spans="1:28" ht="22.35" customHeight="1" thickBot="1" x14ac:dyDescent="0.3">
      <c r="A270" s="80" t="s">
        <v>449</v>
      </c>
      <c r="B270" s="80" t="s">
        <v>472</v>
      </c>
      <c r="C270" s="81">
        <v>10</v>
      </c>
      <c r="D270" s="23" t="s">
        <v>473</v>
      </c>
      <c r="E270" s="23" t="s">
        <v>474</v>
      </c>
      <c r="F270" s="141" t="s">
        <v>68</v>
      </c>
      <c r="G270" s="21" t="s">
        <v>108</v>
      </c>
      <c r="H270" s="191">
        <v>29.9</v>
      </c>
      <c r="I270" s="84">
        <v>29.229759999999999</v>
      </c>
      <c r="J270" s="23" t="s">
        <v>475</v>
      </c>
      <c r="K270" s="86" t="s">
        <v>476</v>
      </c>
      <c r="L270" s="86">
        <v>1</v>
      </c>
      <c r="M270" s="86"/>
      <c r="O270" s="100"/>
      <c r="P270" s="143">
        <v>1</v>
      </c>
      <c r="Q270" s="102">
        <v>1</v>
      </c>
      <c r="R270" s="103" t="s">
        <v>477</v>
      </c>
      <c r="S270" s="144" t="s">
        <v>456</v>
      </c>
      <c r="T270" s="112" t="s">
        <v>296</v>
      </c>
      <c r="U270" s="106" t="s">
        <v>457</v>
      </c>
      <c r="V270" s="107">
        <v>25</v>
      </c>
      <c r="W270" s="108"/>
      <c r="X270" s="109" t="s">
        <v>59</v>
      </c>
      <c r="Y270" s="20">
        <f t="shared" si="12"/>
        <v>1</v>
      </c>
      <c r="AA270" s="98">
        <f t="shared" si="13"/>
        <v>0.67023999999999972</v>
      </c>
      <c r="AB270" s="98" t="e">
        <f t="shared" si="14"/>
        <v>#VALUE!</v>
      </c>
    </row>
    <row r="271" spans="1:28" ht="22.35" customHeight="1" thickBot="1" x14ac:dyDescent="0.3">
      <c r="A271" s="80" t="s">
        <v>478</v>
      </c>
      <c r="B271" s="80" t="s">
        <v>479</v>
      </c>
      <c r="C271" s="81">
        <v>12</v>
      </c>
      <c r="D271" s="23" t="s">
        <v>480</v>
      </c>
      <c r="E271" s="23" t="s">
        <v>481</v>
      </c>
      <c r="F271" s="141" t="s">
        <v>268</v>
      </c>
      <c r="G271" s="21">
        <v>1</v>
      </c>
      <c r="H271" s="191">
        <v>35.9</v>
      </c>
      <c r="I271" s="84">
        <v>34.83</v>
      </c>
      <c r="J271" s="23" t="s">
        <v>482</v>
      </c>
      <c r="K271" s="86" t="s">
        <v>483</v>
      </c>
      <c r="L271" s="86">
        <v>1</v>
      </c>
      <c r="M271" s="86"/>
      <c r="O271" s="100"/>
      <c r="P271" s="143">
        <v>1</v>
      </c>
      <c r="Q271" s="102">
        <v>1</v>
      </c>
      <c r="R271" s="103" t="s">
        <v>111</v>
      </c>
      <c r="S271" s="144" t="s">
        <v>456</v>
      </c>
      <c r="T271" s="112" t="s">
        <v>296</v>
      </c>
      <c r="U271" s="106" t="s">
        <v>457</v>
      </c>
      <c r="V271" s="107">
        <v>25</v>
      </c>
      <c r="W271" s="108"/>
      <c r="X271" s="109" t="s">
        <v>66</v>
      </c>
      <c r="Y271" s="20">
        <f t="shared" si="12"/>
        <v>1</v>
      </c>
      <c r="AA271" s="98">
        <f t="shared" si="13"/>
        <v>1.0700000000000003</v>
      </c>
      <c r="AB271" s="98" t="e">
        <f t="shared" si="14"/>
        <v>#VALUE!</v>
      </c>
    </row>
    <row r="272" spans="1:28" ht="22.35" customHeight="1" thickBot="1" x14ac:dyDescent="0.3">
      <c r="A272" s="80" t="s">
        <v>465</v>
      </c>
      <c r="B272" s="80" t="s">
        <v>484</v>
      </c>
      <c r="C272" s="81">
        <v>10</v>
      </c>
      <c r="D272" s="23" t="s">
        <v>485</v>
      </c>
      <c r="E272" s="23" t="s">
        <v>486</v>
      </c>
      <c r="F272" s="141" t="s">
        <v>248</v>
      </c>
      <c r="G272" s="21">
        <v>2</v>
      </c>
      <c r="H272" s="191">
        <v>39.9</v>
      </c>
      <c r="I272" s="84">
        <v>39.690559999999998</v>
      </c>
      <c r="J272" s="23" t="s">
        <v>487</v>
      </c>
      <c r="K272" s="86" t="s">
        <v>488</v>
      </c>
      <c r="L272" s="86">
        <v>1</v>
      </c>
      <c r="M272" s="86"/>
      <c r="O272" s="100"/>
      <c r="P272" s="143">
        <v>1</v>
      </c>
      <c r="Q272" s="102">
        <v>1</v>
      </c>
      <c r="R272" s="103" t="s">
        <v>489</v>
      </c>
      <c r="S272" s="144" t="s">
        <v>456</v>
      </c>
      <c r="T272" s="112" t="s">
        <v>296</v>
      </c>
      <c r="U272" s="106" t="s">
        <v>457</v>
      </c>
      <c r="V272" s="107">
        <v>25</v>
      </c>
      <c r="W272" s="108"/>
      <c r="X272" s="109" t="s">
        <v>179</v>
      </c>
      <c r="Y272" s="20">
        <f t="shared" si="12"/>
        <v>1</v>
      </c>
      <c r="AA272" s="98">
        <f t="shared" si="13"/>
        <v>0.20944000000000074</v>
      </c>
      <c r="AB272" s="98" t="e">
        <f t="shared" si="14"/>
        <v>#VALUE!</v>
      </c>
    </row>
    <row r="273" spans="1:35" ht="22.35" customHeight="1" thickBot="1" x14ac:dyDescent="0.3">
      <c r="A273" s="80" t="s">
        <v>217</v>
      </c>
      <c r="B273" s="80" t="s">
        <v>490</v>
      </c>
      <c r="C273" s="81">
        <v>8</v>
      </c>
      <c r="D273" s="23" t="s">
        <v>491</v>
      </c>
      <c r="E273" s="23" t="s">
        <v>492</v>
      </c>
      <c r="F273" s="141" t="s">
        <v>175</v>
      </c>
      <c r="G273" s="21">
        <v>2</v>
      </c>
      <c r="H273" s="191">
        <v>20.9</v>
      </c>
      <c r="I273" s="84">
        <v>20.3</v>
      </c>
      <c r="J273" s="23" t="s">
        <v>493</v>
      </c>
      <c r="K273" s="86" t="s">
        <v>494</v>
      </c>
      <c r="L273" s="86">
        <v>1</v>
      </c>
      <c r="M273" s="86"/>
      <c r="O273" s="100"/>
      <c r="P273" s="143">
        <v>1</v>
      </c>
      <c r="Q273" s="102">
        <v>1</v>
      </c>
      <c r="R273" s="103" t="s">
        <v>380</v>
      </c>
      <c r="S273" s="144" t="s">
        <v>456</v>
      </c>
      <c r="T273" s="112" t="s">
        <v>296</v>
      </c>
      <c r="U273" s="106" t="s">
        <v>495</v>
      </c>
      <c r="V273" s="107">
        <v>25</v>
      </c>
      <c r="W273" s="108"/>
      <c r="X273" s="109" t="s">
        <v>70</v>
      </c>
      <c r="Y273" s="20">
        <f t="shared" si="12"/>
        <v>1</v>
      </c>
      <c r="AA273" s="98">
        <f>H273-I273</f>
        <v>0.59999999999999787</v>
      </c>
      <c r="AB273" s="98" t="e">
        <f>R273-H273</f>
        <v>#VALUE!</v>
      </c>
    </row>
    <row r="274" spans="1:35" ht="22.35" customHeight="1" x14ac:dyDescent="0.25">
      <c r="A274" s="285" t="s">
        <v>449</v>
      </c>
      <c r="B274" s="285" t="s">
        <v>496</v>
      </c>
      <c r="C274" s="286">
        <v>12</v>
      </c>
      <c r="D274" s="287" t="s">
        <v>451</v>
      </c>
      <c r="E274" s="287" t="s">
        <v>497</v>
      </c>
      <c r="F274" s="288" t="s">
        <v>268</v>
      </c>
      <c r="G274" s="289">
        <v>3</v>
      </c>
      <c r="H274" s="290">
        <v>23.9</v>
      </c>
      <c r="I274" s="289">
        <v>23.459520000000001</v>
      </c>
      <c r="J274" s="287" t="s">
        <v>453</v>
      </c>
      <c r="K274" s="291" t="s">
        <v>498</v>
      </c>
      <c r="L274" s="291">
        <v>4</v>
      </c>
      <c r="M274" s="291"/>
      <c r="N274" s="292">
        <v>1</v>
      </c>
      <c r="O274" s="293"/>
      <c r="P274" s="294"/>
      <c r="Q274" s="294"/>
      <c r="R274" s="295" t="s">
        <v>499</v>
      </c>
      <c r="S274" s="296" t="s">
        <v>500</v>
      </c>
      <c r="T274" s="94" t="str">
        <f>INDEX([1]data!$B$1:$B$100,MATCH('04.02 - 10.02'!S274,[0]!exclusive01,))</f>
        <v>VU</v>
      </c>
      <c r="U274" s="297" t="s">
        <v>457</v>
      </c>
      <c r="V274" s="298">
        <v>25</v>
      </c>
      <c r="W274" s="108"/>
      <c r="X274" s="109" t="s">
        <v>117</v>
      </c>
      <c r="Y274" s="20">
        <f t="shared" si="12"/>
        <v>1</v>
      </c>
      <c r="AA274" s="98">
        <f t="shared" si="13"/>
        <v>0.44047999999999732</v>
      </c>
      <c r="AB274" s="98" t="e">
        <f t="shared" si="14"/>
        <v>#VALUE!</v>
      </c>
    </row>
    <row r="275" spans="1:35" ht="22.35" customHeight="1" thickBot="1" x14ac:dyDescent="0.3">
      <c r="A275" s="209" t="s">
        <v>328</v>
      </c>
      <c r="B275" s="209" t="s">
        <v>501</v>
      </c>
      <c r="C275" s="210">
        <v>16</v>
      </c>
      <c r="D275" s="211" t="s">
        <v>502</v>
      </c>
      <c r="E275" s="211" t="s">
        <v>503</v>
      </c>
      <c r="F275" s="212" t="s">
        <v>65</v>
      </c>
      <c r="G275" s="213" t="s">
        <v>89</v>
      </c>
      <c r="H275" s="214">
        <v>20</v>
      </c>
      <c r="I275" s="213">
        <v>18.920159999999999</v>
      </c>
      <c r="J275" s="211" t="s">
        <v>400</v>
      </c>
      <c r="K275" s="215" t="s">
        <v>504</v>
      </c>
      <c r="L275" s="215">
        <v>4</v>
      </c>
      <c r="M275" s="215"/>
      <c r="N275" s="216">
        <v>1</v>
      </c>
      <c r="O275" s="247"/>
      <c r="P275" s="248"/>
      <c r="Q275" s="248"/>
      <c r="R275" s="249" t="s">
        <v>380</v>
      </c>
      <c r="S275" s="250" t="s">
        <v>400</v>
      </c>
      <c r="T275" s="125" t="str">
        <f>INDEX([1]data!$B$1:$B$100,MATCH('04.02 - 10.02'!S275,[0]!exclusive01,))</f>
        <v>VU</v>
      </c>
      <c r="U275" s="244" t="s">
        <v>457</v>
      </c>
      <c r="V275" s="245">
        <v>25</v>
      </c>
      <c r="W275" s="108"/>
      <c r="X275" s="109" t="s">
        <v>119</v>
      </c>
      <c r="Y275" s="20">
        <f t="shared" si="12"/>
        <v>1</v>
      </c>
      <c r="AA275" s="98">
        <f t="shared" si="13"/>
        <v>1.0798400000000008</v>
      </c>
      <c r="AB275" s="98" t="e">
        <f t="shared" si="14"/>
        <v>#VALUE!</v>
      </c>
    </row>
    <row r="276" spans="1:35" ht="22.35" customHeight="1" thickBot="1" x14ac:dyDescent="0.3">
      <c r="A276" s="127"/>
      <c r="B276" s="127"/>
      <c r="C276" s="128"/>
      <c r="D276" s="129"/>
      <c r="E276" s="129"/>
      <c r="F276" s="130"/>
      <c r="G276" s="132"/>
      <c r="H276" s="99"/>
      <c r="I276" s="158"/>
      <c r="J276" s="129"/>
      <c r="K276" s="159"/>
      <c r="L276" s="133"/>
      <c r="M276" s="133"/>
      <c r="N276" s="134"/>
      <c r="O276" s="135"/>
      <c r="P276" s="136"/>
      <c r="Q276" s="137"/>
      <c r="R276" s="138"/>
      <c r="S276" s="144" t="s">
        <v>138</v>
      </c>
      <c r="T276" s="112" t="s">
        <v>306</v>
      </c>
      <c r="U276" s="106"/>
      <c r="V276" s="107">
        <v>26</v>
      </c>
      <c r="W276" s="96"/>
      <c r="X276" s="97"/>
      <c r="Y276" s="20">
        <f t="shared" si="12"/>
        <v>0</v>
      </c>
      <c r="AA276" s="98">
        <f t="shared" si="13"/>
        <v>0</v>
      </c>
      <c r="AB276" s="98">
        <f t="shared" si="14"/>
        <v>0</v>
      </c>
      <c r="AC276" s="110"/>
      <c r="AD276" s="77"/>
      <c r="AE276" s="77"/>
      <c r="AF276" s="75"/>
      <c r="AG276" s="75"/>
      <c r="AH276" s="75"/>
      <c r="AI276" s="75"/>
    </row>
    <row r="277" spans="1:35" ht="22.35" customHeight="1" thickBot="1" x14ac:dyDescent="0.3">
      <c r="A277" s="80"/>
      <c r="B277" s="80"/>
      <c r="F277" s="141"/>
      <c r="H277" s="99"/>
      <c r="I277" s="84"/>
      <c r="K277" s="86"/>
      <c r="L277" s="86"/>
      <c r="M277" s="86"/>
      <c r="O277" s="100"/>
      <c r="P277" s="143"/>
      <c r="Q277" s="102"/>
      <c r="R277" s="103"/>
      <c r="S277" s="144" t="s">
        <v>138</v>
      </c>
      <c r="T277" s="112" t="s">
        <v>306</v>
      </c>
      <c r="U277" s="106"/>
      <c r="V277" s="107">
        <v>26</v>
      </c>
      <c r="W277" s="108"/>
      <c r="X277" s="109"/>
      <c r="Y277" s="20">
        <f t="shared" si="12"/>
        <v>0</v>
      </c>
      <c r="AA277" s="98">
        <f t="shared" si="13"/>
        <v>0</v>
      </c>
      <c r="AB277" s="98">
        <f t="shared" si="14"/>
        <v>0</v>
      </c>
      <c r="AC277" s="110"/>
      <c r="AD277" s="77"/>
      <c r="AE277" s="77"/>
      <c r="AF277" s="75"/>
      <c r="AG277" s="75"/>
      <c r="AH277" s="75"/>
      <c r="AI277" s="75"/>
    </row>
    <row r="278" spans="1:35" ht="22.35" customHeight="1" thickBot="1" x14ac:dyDescent="0.3">
      <c r="A278" s="80"/>
      <c r="B278" s="80"/>
      <c r="F278" s="141"/>
      <c r="H278" s="99"/>
      <c r="I278" s="84"/>
      <c r="K278" s="86"/>
      <c r="L278" s="86"/>
      <c r="M278" s="86"/>
      <c r="O278" s="100"/>
      <c r="P278" s="143"/>
      <c r="Q278" s="90"/>
      <c r="R278" s="91"/>
      <c r="S278" s="144" t="s">
        <v>138</v>
      </c>
      <c r="T278" s="112" t="s">
        <v>306</v>
      </c>
      <c r="U278" s="106"/>
      <c r="V278" s="107">
        <v>26</v>
      </c>
      <c r="W278" s="108"/>
      <c r="X278" s="109"/>
      <c r="Y278" s="20">
        <f t="shared" si="12"/>
        <v>0</v>
      </c>
      <c r="AA278" s="98">
        <f t="shared" si="13"/>
        <v>0</v>
      </c>
      <c r="AB278" s="98">
        <f t="shared" si="14"/>
        <v>0</v>
      </c>
      <c r="AC278" s="110"/>
      <c r="AD278" s="77"/>
      <c r="AE278" s="77"/>
      <c r="AF278" s="75"/>
      <c r="AG278" s="75"/>
      <c r="AH278" s="75"/>
      <c r="AI278" s="75"/>
    </row>
    <row r="279" spans="1:35" ht="22.35" customHeight="1" thickBot="1" x14ac:dyDescent="0.3">
      <c r="A279" s="80"/>
      <c r="B279" s="80"/>
      <c r="F279" s="141"/>
      <c r="H279" s="99"/>
      <c r="I279" s="84"/>
      <c r="K279" s="86"/>
      <c r="L279" s="86"/>
      <c r="M279" s="86"/>
      <c r="O279" s="100"/>
      <c r="P279" s="143"/>
      <c r="Q279" s="90"/>
      <c r="R279" s="91"/>
      <c r="S279" s="144" t="s">
        <v>138</v>
      </c>
      <c r="T279" s="112" t="s">
        <v>306</v>
      </c>
      <c r="U279" s="106"/>
      <c r="V279" s="107">
        <v>26</v>
      </c>
      <c r="W279" s="108"/>
      <c r="X279" s="109"/>
      <c r="Y279" s="20">
        <f t="shared" si="12"/>
        <v>0</v>
      </c>
      <c r="AA279" s="98">
        <f t="shared" si="13"/>
        <v>0</v>
      </c>
      <c r="AB279" s="98">
        <f t="shared" si="14"/>
        <v>0</v>
      </c>
      <c r="AC279" s="110"/>
      <c r="AD279" s="77"/>
      <c r="AE279" s="77"/>
      <c r="AF279" s="75"/>
      <c r="AG279" s="75"/>
      <c r="AH279" s="75"/>
      <c r="AI279" s="75"/>
    </row>
    <row r="280" spans="1:35" ht="22.35" customHeight="1" thickBot="1" x14ac:dyDescent="0.3">
      <c r="A280" s="80"/>
      <c r="B280" s="80"/>
      <c r="F280" s="141"/>
      <c r="H280" s="99"/>
      <c r="I280" s="84"/>
      <c r="K280" s="86"/>
      <c r="L280" s="86"/>
      <c r="M280" s="86"/>
      <c r="O280" s="100"/>
      <c r="P280" s="143"/>
      <c r="Q280" s="90"/>
      <c r="R280" s="91"/>
      <c r="S280" s="144" t="s">
        <v>138</v>
      </c>
      <c r="T280" s="112" t="s">
        <v>306</v>
      </c>
      <c r="U280" s="106"/>
      <c r="V280" s="107">
        <v>26</v>
      </c>
      <c r="W280" s="108"/>
      <c r="X280" s="109"/>
      <c r="Y280" s="20">
        <f t="shared" si="12"/>
        <v>0</v>
      </c>
      <c r="AA280" s="98">
        <f t="shared" si="13"/>
        <v>0</v>
      </c>
      <c r="AB280" s="98">
        <f t="shared" si="14"/>
        <v>0</v>
      </c>
      <c r="AC280" s="110"/>
      <c r="AD280" s="77"/>
      <c r="AE280" s="77"/>
      <c r="AF280" s="75"/>
      <c r="AG280" s="75"/>
      <c r="AH280" s="75"/>
      <c r="AI280" s="75"/>
    </row>
    <row r="281" spans="1:35" ht="22.35" customHeight="1" thickBot="1" x14ac:dyDescent="0.3">
      <c r="A281" s="80"/>
      <c r="B281" s="80"/>
      <c r="F281" s="141"/>
      <c r="H281" s="99"/>
      <c r="I281" s="84"/>
      <c r="K281" s="86"/>
      <c r="L281" s="86"/>
      <c r="M281" s="86"/>
      <c r="O281" s="100"/>
      <c r="P281" s="143"/>
      <c r="Q281" s="90"/>
      <c r="R281" s="91"/>
      <c r="S281" s="144" t="s">
        <v>138</v>
      </c>
      <c r="T281" s="112" t="s">
        <v>306</v>
      </c>
      <c r="U281" s="106"/>
      <c r="V281" s="107">
        <v>26</v>
      </c>
      <c r="W281" s="108"/>
      <c r="X281" s="109"/>
      <c r="Y281" s="20">
        <f t="shared" si="12"/>
        <v>0</v>
      </c>
      <c r="AA281" s="98">
        <f t="shared" si="13"/>
        <v>0</v>
      </c>
      <c r="AB281" s="98">
        <f t="shared" si="14"/>
        <v>0</v>
      </c>
      <c r="AC281" s="110"/>
      <c r="AD281" s="77"/>
      <c r="AE281" s="77"/>
      <c r="AF281" s="75"/>
      <c r="AG281" s="75"/>
      <c r="AH281" s="75"/>
      <c r="AI281" s="75"/>
    </row>
    <row r="282" spans="1:35" ht="22.35" customHeight="1" thickBot="1" x14ac:dyDescent="0.3">
      <c r="A282" s="80"/>
      <c r="B282" s="80"/>
      <c r="F282" s="141"/>
      <c r="H282" s="99"/>
      <c r="I282" s="84"/>
      <c r="K282" s="86"/>
      <c r="L282" s="86"/>
      <c r="M282" s="86"/>
      <c r="O282" s="100"/>
      <c r="P282" s="143"/>
      <c r="Q282" s="90"/>
      <c r="R282" s="91"/>
      <c r="S282" s="144" t="s">
        <v>138</v>
      </c>
      <c r="T282" s="112" t="s">
        <v>306</v>
      </c>
      <c r="U282" s="106"/>
      <c r="V282" s="107">
        <v>26</v>
      </c>
      <c r="W282" s="108"/>
      <c r="X282" s="109"/>
      <c r="Y282" s="20">
        <f t="shared" si="12"/>
        <v>0</v>
      </c>
      <c r="AA282" s="98">
        <f t="shared" si="13"/>
        <v>0</v>
      </c>
      <c r="AB282" s="98">
        <f t="shared" si="14"/>
        <v>0</v>
      </c>
      <c r="AC282" s="110"/>
      <c r="AD282" s="77"/>
      <c r="AE282" s="77"/>
      <c r="AF282" s="75"/>
      <c r="AG282" s="75"/>
      <c r="AH282" s="75"/>
      <c r="AI282" s="75"/>
    </row>
    <row r="283" spans="1:35" ht="22.35" customHeight="1" thickBot="1" x14ac:dyDescent="0.3">
      <c r="A283" s="80"/>
      <c r="B283" s="80"/>
      <c r="D283" s="23" t="s">
        <v>390</v>
      </c>
      <c r="F283" s="141"/>
      <c r="H283" s="99"/>
      <c r="I283" s="84"/>
      <c r="K283" s="86"/>
      <c r="L283" s="86"/>
      <c r="M283" s="86"/>
      <c r="O283" s="100"/>
      <c r="P283" s="143"/>
      <c r="Q283" s="90"/>
      <c r="R283" s="91"/>
      <c r="S283" s="144" t="s">
        <v>138</v>
      </c>
      <c r="T283" s="112" t="s">
        <v>306</v>
      </c>
      <c r="U283" s="106"/>
      <c r="V283" s="107">
        <v>26</v>
      </c>
      <c r="W283" s="108"/>
      <c r="X283" s="109"/>
      <c r="Y283" s="20">
        <f t="shared" si="12"/>
        <v>0</v>
      </c>
      <c r="AA283" s="98">
        <f t="shared" si="13"/>
        <v>0</v>
      </c>
      <c r="AB283" s="98">
        <f t="shared" si="14"/>
        <v>0</v>
      </c>
      <c r="AC283" s="110"/>
      <c r="AD283" s="77"/>
      <c r="AE283" s="77"/>
      <c r="AF283" s="75"/>
      <c r="AG283" s="75"/>
      <c r="AH283" s="75"/>
      <c r="AI283" s="75"/>
    </row>
    <row r="284" spans="1:35" ht="22.35" customHeight="1" thickBot="1" x14ac:dyDescent="0.3">
      <c r="A284" s="80"/>
      <c r="B284" s="80"/>
      <c r="F284" s="141"/>
      <c r="H284" s="99"/>
      <c r="I284" s="84"/>
      <c r="K284" s="86"/>
      <c r="L284" s="86"/>
      <c r="M284" s="86"/>
      <c r="O284" s="100"/>
      <c r="P284" s="143"/>
      <c r="Q284" s="90"/>
      <c r="R284" s="91"/>
      <c r="S284" s="144" t="s">
        <v>138</v>
      </c>
      <c r="T284" s="112" t="s">
        <v>306</v>
      </c>
      <c r="U284" s="106"/>
      <c r="V284" s="107">
        <v>26</v>
      </c>
      <c r="W284" s="108"/>
      <c r="X284" s="109"/>
      <c r="Y284" s="20">
        <f t="shared" si="12"/>
        <v>0</v>
      </c>
      <c r="AA284" s="98">
        <f t="shared" si="13"/>
        <v>0</v>
      </c>
      <c r="AB284" s="98">
        <f t="shared" si="14"/>
        <v>0</v>
      </c>
      <c r="AC284" s="110"/>
      <c r="AD284" s="77"/>
      <c r="AE284" s="77"/>
      <c r="AF284" s="75"/>
      <c r="AG284" s="75"/>
      <c r="AH284" s="75"/>
      <c r="AI284" s="75"/>
    </row>
    <row r="285" spans="1:35" ht="22.35" customHeight="1" thickBot="1" x14ac:dyDescent="0.3">
      <c r="A285" s="80"/>
      <c r="B285" s="80"/>
      <c r="F285" s="141"/>
      <c r="H285" s="99"/>
      <c r="I285" s="84"/>
      <c r="K285" s="86"/>
      <c r="L285" s="86"/>
      <c r="M285" s="86"/>
      <c r="O285" s="100"/>
      <c r="P285" s="143"/>
      <c r="Q285" s="90"/>
      <c r="R285" s="91"/>
      <c r="S285" s="144" t="s">
        <v>138</v>
      </c>
      <c r="T285" s="112" t="s">
        <v>306</v>
      </c>
      <c r="U285" s="106"/>
      <c r="V285" s="107">
        <v>26</v>
      </c>
      <c r="W285" s="108"/>
      <c r="X285" s="109"/>
      <c r="Y285" s="20">
        <f t="shared" si="12"/>
        <v>0</v>
      </c>
      <c r="AA285" s="98">
        <f t="shared" si="13"/>
        <v>0</v>
      </c>
      <c r="AB285" s="98">
        <f t="shared" si="14"/>
        <v>0</v>
      </c>
      <c r="AC285" s="110"/>
      <c r="AD285" s="77"/>
      <c r="AE285" s="77"/>
      <c r="AF285" s="75"/>
      <c r="AG285" s="75"/>
      <c r="AH285" s="75"/>
      <c r="AI285" s="75"/>
    </row>
    <row r="286" spans="1:35" ht="22.35" customHeight="1" thickBot="1" x14ac:dyDescent="0.3">
      <c r="A286" s="80"/>
      <c r="B286" s="80"/>
      <c r="F286" s="141"/>
      <c r="H286" s="99"/>
      <c r="I286" s="84"/>
      <c r="K286" s="86"/>
      <c r="L286" s="86"/>
      <c r="M286" s="86"/>
      <c r="O286" s="100"/>
      <c r="P286" s="143"/>
      <c r="Q286" s="90"/>
      <c r="R286" s="91"/>
      <c r="S286" s="144" t="s">
        <v>138</v>
      </c>
      <c r="T286" s="112" t="s">
        <v>306</v>
      </c>
      <c r="U286" s="106"/>
      <c r="V286" s="107">
        <v>26</v>
      </c>
      <c r="W286" s="108"/>
      <c r="X286" s="109"/>
      <c r="Y286" s="20">
        <f t="shared" si="12"/>
        <v>0</v>
      </c>
      <c r="AA286" s="98">
        <f t="shared" si="13"/>
        <v>0</v>
      </c>
      <c r="AB286" s="98">
        <f t="shared" si="14"/>
        <v>0</v>
      </c>
      <c r="AC286" s="110"/>
      <c r="AD286" s="77"/>
      <c r="AE286" s="77"/>
      <c r="AF286" s="75"/>
      <c r="AG286" s="75"/>
      <c r="AH286" s="75"/>
      <c r="AI286" s="75"/>
    </row>
    <row r="287" spans="1:35" ht="22.35" customHeight="1" thickBot="1" x14ac:dyDescent="0.3">
      <c r="A287" s="80"/>
      <c r="B287" s="80"/>
      <c r="F287" s="141"/>
      <c r="H287" s="99"/>
      <c r="I287" s="84"/>
      <c r="K287" s="86"/>
      <c r="L287" s="86"/>
      <c r="M287" s="86"/>
      <c r="O287" s="100"/>
      <c r="P287" s="143"/>
      <c r="Q287" s="90"/>
      <c r="R287" s="91"/>
      <c r="S287" s="144" t="s">
        <v>138</v>
      </c>
      <c r="T287" s="112" t="s">
        <v>306</v>
      </c>
      <c r="U287" s="106"/>
      <c r="V287" s="107">
        <v>26</v>
      </c>
      <c r="W287" s="108"/>
      <c r="X287" s="109"/>
      <c r="Y287" s="20">
        <f t="shared" si="12"/>
        <v>0</v>
      </c>
      <c r="AA287" s="98">
        <f t="shared" si="13"/>
        <v>0</v>
      </c>
      <c r="AB287" s="98">
        <f t="shared" si="14"/>
        <v>0</v>
      </c>
      <c r="AC287" s="110"/>
      <c r="AD287" s="77"/>
      <c r="AE287" s="77"/>
      <c r="AF287" s="75"/>
      <c r="AG287" s="75"/>
      <c r="AH287" s="75"/>
      <c r="AI287" s="75"/>
    </row>
    <row r="288" spans="1:35" ht="22.35" customHeight="1" thickBot="1" x14ac:dyDescent="0.3">
      <c r="A288" s="80"/>
      <c r="B288" s="80"/>
      <c r="F288" s="141"/>
      <c r="H288" s="99"/>
      <c r="I288" s="84"/>
      <c r="K288" s="86"/>
      <c r="L288" s="86"/>
      <c r="M288" s="86"/>
      <c r="O288" s="100"/>
      <c r="P288" s="143"/>
      <c r="Q288" s="90"/>
      <c r="R288" s="91"/>
      <c r="S288" s="144" t="s">
        <v>138</v>
      </c>
      <c r="T288" s="112" t="s">
        <v>306</v>
      </c>
      <c r="U288" s="106"/>
      <c r="V288" s="107">
        <v>26</v>
      </c>
      <c r="W288" s="108"/>
      <c r="X288" s="109"/>
      <c r="Y288" s="20">
        <f t="shared" si="12"/>
        <v>0</v>
      </c>
      <c r="AA288" s="98">
        <f t="shared" si="13"/>
        <v>0</v>
      </c>
      <c r="AB288" s="98">
        <f t="shared" si="14"/>
        <v>0</v>
      </c>
      <c r="AC288" s="110"/>
      <c r="AD288" s="77"/>
      <c r="AE288" s="77"/>
      <c r="AF288" s="75"/>
      <c r="AG288" s="75"/>
      <c r="AH288" s="75"/>
      <c r="AI288" s="75"/>
    </row>
    <row r="289" spans="1:35" ht="22.35" customHeight="1" thickBot="1" x14ac:dyDescent="0.3">
      <c r="A289" s="80"/>
      <c r="B289" s="80"/>
      <c r="F289" s="141"/>
      <c r="H289" s="99"/>
      <c r="I289" s="84"/>
      <c r="K289" s="86"/>
      <c r="L289" s="86"/>
      <c r="M289" s="86"/>
      <c r="O289" s="100"/>
      <c r="P289" s="143"/>
      <c r="Q289" s="90"/>
      <c r="R289" s="91"/>
      <c r="S289" s="144" t="s">
        <v>138</v>
      </c>
      <c r="T289" s="112" t="s">
        <v>306</v>
      </c>
      <c r="U289" s="106"/>
      <c r="V289" s="107">
        <v>26</v>
      </c>
      <c r="W289" s="160"/>
      <c r="X289" s="161"/>
      <c r="Y289" s="20">
        <f t="shared" si="12"/>
        <v>0</v>
      </c>
      <c r="AA289" s="98">
        <f t="shared" si="13"/>
        <v>0</v>
      </c>
      <c r="AB289" s="98">
        <f t="shared" si="14"/>
        <v>0</v>
      </c>
      <c r="AC289" s="110"/>
      <c r="AD289" s="77"/>
      <c r="AE289" s="77"/>
      <c r="AF289" s="75"/>
      <c r="AG289" s="75"/>
      <c r="AH289" s="75"/>
      <c r="AI289" s="75"/>
    </row>
    <row r="290" spans="1:35" ht="22.35" customHeight="1" thickBot="1" x14ac:dyDescent="0.3">
      <c r="A290" s="80"/>
      <c r="B290" s="80"/>
      <c r="F290" s="141"/>
      <c r="H290" s="99"/>
      <c r="I290" s="84"/>
      <c r="K290" s="86"/>
      <c r="L290" s="86"/>
      <c r="M290" s="86"/>
      <c r="O290" s="100"/>
      <c r="P290" s="143"/>
      <c r="Q290" s="90"/>
      <c r="R290" s="91"/>
      <c r="S290" s="144" t="s">
        <v>138</v>
      </c>
      <c r="T290" s="112" t="s">
        <v>306</v>
      </c>
      <c r="U290" s="106"/>
      <c r="V290" s="107">
        <v>26</v>
      </c>
      <c r="W290" s="160"/>
      <c r="X290" s="161"/>
      <c r="Y290" s="20">
        <f t="shared" si="12"/>
        <v>0</v>
      </c>
      <c r="AA290" s="98">
        <f t="shared" si="13"/>
        <v>0</v>
      </c>
      <c r="AB290" s="98">
        <f t="shared" si="14"/>
        <v>0</v>
      </c>
      <c r="AC290" s="110"/>
      <c r="AD290" s="77"/>
      <c r="AE290" s="77"/>
      <c r="AF290" s="75"/>
      <c r="AG290" s="75"/>
      <c r="AH290" s="75"/>
      <c r="AI290" s="75"/>
    </row>
    <row r="291" spans="1:35" ht="22.35" customHeight="1" thickBot="1" x14ac:dyDescent="0.3">
      <c r="A291" s="252"/>
      <c r="B291" s="252"/>
      <c r="C291" s="253"/>
      <c r="D291" s="254"/>
      <c r="E291" s="254"/>
      <c r="F291" s="195"/>
      <c r="G291" s="196"/>
      <c r="H291" s="255"/>
      <c r="I291" s="256"/>
      <c r="J291" s="257"/>
      <c r="K291" s="258"/>
      <c r="L291" s="258"/>
      <c r="M291" s="258"/>
      <c r="N291" s="228"/>
      <c r="O291" s="200"/>
      <c r="P291" s="202"/>
      <c r="Q291" s="259"/>
      <c r="R291" s="260"/>
      <c r="S291" s="155" t="s">
        <v>138</v>
      </c>
      <c r="T291" s="124" t="s">
        <v>306</v>
      </c>
      <c r="U291" s="125"/>
      <c r="V291" s="126">
        <v>26</v>
      </c>
      <c r="W291" s="261"/>
      <c r="X291" s="262"/>
      <c r="Y291" s="20">
        <f t="shared" si="12"/>
        <v>0</v>
      </c>
      <c r="AA291" s="98">
        <f t="shared" si="13"/>
        <v>0</v>
      </c>
      <c r="AB291" s="98">
        <f t="shared" si="14"/>
        <v>0</v>
      </c>
      <c r="AC291" s="110"/>
      <c r="AD291" s="77"/>
      <c r="AE291" s="77"/>
      <c r="AF291" s="75"/>
      <c r="AG291" s="75"/>
      <c r="AH291" s="75"/>
      <c r="AI291" s="75"/>
    </row>
    <row r="292" spans="1:35" ht="22.35" customHeight="1" thickBot="1" x14ac:dyDescent="0.3">
      <c r="A292" s="175"/>
      <c r="B292" s="175"/>
      <c r="C292" s="176"/>
      <c r="D292" s="177" t="s">
        <v>505</v>
      </c>
      <c r="E292" s="178"/>
      <c r="F292" s="179"/>
      <c r="G292" s="180"/>
      <c r="H292" s="181"/>
      <c r="I292" s="180"/>
      <c r="J292" s="178"/>
      <c r="K292" s="182"/>
      <c r="L292" s="182"/>
      <c r="M292" s="182"/>
      <c r="N292" s="183"/>
      <c r="O292" s="184"/>
      <c r="P292" s="184"/>
      <c r="Q292" s="184"/>
      <c r="R292" s="185"/>
      <c r="S292" s="186"/>
      <c r="T292" s="187" t="s">
        <v>506</v>
      </c>
      <c r="U292" s="188"/>
      <c r="V292" s="189"/>
      <c r="W292" s="188"/>
      <c r="X292" s="190"/>
      <c r="Y292" s="20">
        <f t="shared" si="12"/>
        <v>0</v>
      </c>
      <c r="AA292" s="98">
        <f t="shared" si="13"/>
        <v>0</v>
      </c>
      <c r="AB292" s="98">
        <f t="shared" si="14"/>
        <v>0</v>
      </c>
    </row>
    <row r="293" spans="1:35" ht="22.35" customHeight="1" thickBot="1" x14ac:dyDescent="0.3">
      <c r="A293" s="127"/>
      <c r="B293" s="127"/>
      <c r="C293" s="128"/>
      <c r="D293" s="129"/>
      <c r="E293" s="129"/>
      <c r="F293" s="130"/>
      <c r="G293" s="132"/>
      <c r="H293" s="191"/>
      <c r="I293" s="158"/>
      <c r="J293" s="129"/>
      <c r="K293" s="159"/>
      <c r="L293" s="133"/>
      <c r="M293" s="133"/>
      <c r="N293" s="134"/>
      <c r="O293" s="135"/>
      <c r="P293" s="136"/>
      <c r="Q293" s="137"/>
      <c r="R293" s="138"/>
      <c r="S293" s="144" t="s">
        <v>507</v>
      </c>
      <c r="T293" s="112" t="s">
        <v>506</v>
      </c>
      <c r="U293" s="106" t="s">
        <v>508</v>
      </c>
      <c r="V293" s="107">
        <v>27</v>
      </c>
      <c r="W293" s="96"/>
      <c r="X293" s="97"/>
      <c r="Y293" s="20">
        <f t="shared" si="12"/>
        <v>0</v>
      </c>
      <c r="AA293" s="98">
        <f t="shared" si="13"/>
        <v>0</v>
      </c>
      <c r="AB293" s="98">
        <f t="shared" si="14"/>
        <v>0</v>
      </c>
    </row>
    <row r="294" spans="1:35" ht="22.35" customHeight="1" thickBot="1" x14ac:dyDescent="0.3">
      <c r="A294" s="80"/>
      <c r="B294" s="80"/>
      <c r="F294" s="141"/>
      <c r="H294" s="191"/>
      <c r="I294" s="84"/>
      <c r="K294" s="86"/>
      <c r="L294" s="86"/>
      <c r="M294" s="86"/>
      <c r="O294" s="100"/>
      <c r="P294" s="143"/>
      <c r="Q294" s="102"/>
      <c r="R294" s="103"/>
      <c r="S294" s="144" t="s">
        <v>507</v>
      </c>
      <c r="T294" s="112" t="s">
        <v>506</v>
      </c>
      <c r="U294" s="106" t="s">
        <v>508</v>
      </c>
      <c r="V294" s="107">
        <v>27</v>
      </c>
      <c r="W294" s="108"/>
      <c r="X294" s="109"/>
      <c r="Y294" s="20">
        <f t="shared" si="12"/>
        <v>0</v>
      </c>
      <c r="AA294" s="98">
        <f t="shared" si="13"/>
        <v>0</v>
      </c>
      <c r="AB294" s="98">
        <f t="shared" si="14"/>
        <v>0</v>
      </c>
    </row>
    <row r="295" spans="1:35" ht="22.35" customHeight="1" thickBot="1" x14ac:dyDescent="0.3">
      <c r="A295" s="80"/>
      <c r="B295" s="80"/>
      <c r="F295" s="141"/>
      <c r="H295" s="191"/>
      <c r="I295" s="84"/>
      <c r="K295" s="86"/>
      <c r="L295" s="86"/>
      <c r="M295" s="86"/>
      <c r="O295" s="100"/>
      <c r="P295" s="143"/>
      <c r="Q295" s="102"/>
      <c r="R295" s="103"/>
      <c r="S295" s="144" t="s">
        <v>507</v>
      </c>
      <c r="T295" s="112" t="s">
        <v>506</v>
      </c>
      <c r="U295" s="106" t="s">
        <v>508</v>
      </c>
      <c r="V295" s="107">
        <v>27</v>
      </c>
      <c r="W295" s="108"/>
      <c r="X295" s="109"/>
      <c r="Y295" s="20">
        <f t="shared" si="12"/>
        <v>0</v>
      </c>
      <c r="AA295" s="98">
        <f t="shared" si="13"/>
        <v>0</v>
      </c>
      <c r="AB295" s="98">
        <f t="shared" si="14"/>
        <v>0</v>
      </c>
    </row>
    <row r="296" spans="1:35" ht="22.35" customHeight="1" thickBot="1" x14ac:dyDescent="0.3">
      <c r="A296" s="80"/>
      <c r="B296" s="80"/>
      <c r="F296" s="141"/>
      <c r="H296" s="191"/>
      <c r="I296" s="84"/>
      <c r="K296" s="86"/>
      <c r="L296" s="86"/>
      <c r="M296" s="86"/>
      <c r="O296" s="100"/>
      <c r="P296" s="143"/>
      <c r="Q296" s="102"/>
      <c r="R296" s="103"/>
      <c r="S296" s="144" t="s">
        <v>507</v>
      </c>
      <c r="T296" s="112" t="s">
        <v>506</v>
      </c>
      <c r="U296" s="106" t="s">
        <v>508</v>
      </c>
      <c r="V296" s="107">
        <v>27</v>
      </c>
      <c r="W296" s="108"/>
      <c r="X296" s="109"/>
      <c r="Y296" s="20">
        <f t="shared" si="12"/>
        <v>0</v>
      </c>
      <c r="AA296" s="98">
        <f t="shared" si="13"/>
        <v>0</v>
      </c>
      <c r="AB296" s="98">
        <f t="shared" si="14"/>
        <v>0</v>
      </c>
    </row>
    <row r="297" spans="1:35" ht="22.35" customHeight="1" thickBot="1" x14ac:dyDescent="0.3">
      <c r="A297" s="80"/>
      <c r="B297" s="80"/>
      <c r="F297" s="141"/>
      <c r="H297" s="191"/>
      <c r="I297" s="84"/>
      <c r="K297" s="86"/>
      <c r="L297" s="86"/>
      <c r="M297" s="86"/>
      <c r="O297" s="100"/>
      <c r="P297" s="143"/>
      <c r="Q297" s="102"/>
      <c r="R297" s="103"/>
      <c r="S297" s="144" t="s">
        <v>507</v>
      </c>
      <c r="T297" s="112" t="s">
        <v>506</v>
      </c>
      <c r="U297" s="106" t="s">
        <v>508</v>
      </c>
      <c r="V297" s="107">
        <v>27</v>
      </c>
      <c r="W297" s="108"/>
      <c r="X297" s="109"/>
      <c r="Y297" s="20">
        <f t="shared" si="12"/>
        <v>0</v>
      </c>
      <c r="AA297" s="98">
        <f t="shared" si="13"/>
        <v>0</v>
      </c>
      <c r="AB297" s="98">
        <f t="shared" si="14"/>
        <v>0</v>
      </c>
    </row>
    <row r="298" spans="1:35" ht="22.35" customHeight="1" thickBot="1" x14ac:dyDescent="0.3">
      <c r="A298" s="80"/>
      <c r="B298" s="80"/>
      <c r="F298" s="141"/>
      <c r="H298" s="191"/>
      <c r="I298" s="84"/>
      <c r="K298" s="86"/>
      <c r="L298" s="86"/>
      <c r="M298" s="86"/>
      <c r="O298" s="100"/>
      <c r="P298" s="143"/>
      <c r="Q298" s="102"/>
      <c r="R298" s="103"/>
      <c r="S298" s="144" t="s">
        <v>507</v>
      </c>
      <c r="T298" s="112" t="s">
        <v>506</v>
      </c>
      <c r="U298" s="106" t="s">
        <v>508</v>
      </c>
      <c r="V298" s="107">
        <v>27</v>
      </c>
      <c r="W298" s="108"/>
      <c r="X298" s="109"/>
      <c r="Y298" s="20">
        <f t="shared" si="12"/>
        <v>0</v>
      </c>
      <c r="AA298" s="98">
        <f t="shared" si="13"/>
        <v>0</v>
      </c>
      <c r="AB298" s="98">
        <f t="shared" si="14"/>
        <v>0</v>
      </c>
    </row>
    <row r="299" spans="1:35" ht="22.35" customHeight="1" thickBot="1" x14ac:dyDescent="0.3">
      <c r="A299" s="80"/>
      <c r="B299" s="80"/>
      <c r="F299" s="141"/>
      <c r="H299" s="191"/>
      <c r="I299" s="84"/>
      <c r="K299" s="86"/>
      <c r="L299" s="86"/>
      <c r="M299" s="86"/>
      <c r="O299" s="100"/>
      <c r="P299" s="143"/>
      <c r="Q299" s="102"/>
      <c r="R299" s="103"/>
      <c r="S299" s="144" t="s">
        <v>507</v>
      </c>
      <c r="T299" s="112" t="s">
        <v>506</v>
      </c>
      <c r="U299" s="106" t="s">
        <v>509</v>
      </c>
      <c r="V299" s="107">
        <v>27</v>
      </c>
      <c r="W299" s="108"/>
      <c r="X299" s="109"/>
      <c r="Y299" s="20">
        <f t="shared" si="12"/>
        <v>0</v>
      </c>
      <c r="AA299" s="98">
        <f t="shared" si="13"/>
        <v>0</v>
      </c>
      <c r="AB299" s="98">
        <f t="shared" si="14"/>
        <v>0</v>
      </c>
    </row>
    <row r="300" spans="1:35" ht="22.35" customHeight="1" thickBot="1" x14ac:dyDescent="0.3">
      <c r="A300" s="80"/>
      <c r="B300" s="80"/>
      <c r="F300" s="141"/>
      <c r="H300" s="191"/>
      <c r="I300" s="84"/>
      <c r="K300" s="86"/>
      <c r="L300" s="86"/>
      <c r="M300" s="86"/>
      <c r="O300" s="100"/>
      <c r="P300" s="143"/>
      <c r="Q300" s="102"/>
      <c r="R300" s="103"/>
      <c r="S300" s="144" t="s">
        <v>507</v>
      </c>
      <c r="T300" s="112" t="s">
        <v>506</v>
      </c>
      <c r="U300" s="106" t="s">
        <v>509</v>
      </c>
      <c r="V300" s="107">
        <v>27</v>
      </c>
      <c r="W300" s="108"/>
      <c r="X300" s="109"/>
      <c r="Y300" s="20">
        <f t="shared" si="12"/>
        <v>0</v>
      </c>
      <c r="AA300" s="98">
        <f t="shared" si="13"/>
        <v>0</v>
      </c>
      <c r="AB300" s="98">
        <f t="shared" si="14"/>
        <v>0</v>
      </c>
    </row>
    <row r="301" spans="1:35" ht="22.35" customHeight="1" thickBot="1" x14ac:dyDescent="0.3">
      <c r="A301" s="80"/>
      <c r="B301" s="80"/>
      <c r="F301" s="141"/>
      <c r="H301" s="191"/>
      <c r="I301" s="84"/>
      <c r="K301" s="86"/>
      <c r="L301" s="86"/>
      <c r="M301" s="86"/>
      <c r="O301" s="100"/>
      <c r="P301" s="143"/>
      <c r="Q301" s="102"/>
      <c r="R301" s="103"/>
      <c r="S301" s="144" t="s">
        <v>507</v>
      </c>
      <c r="T301" s="112" t="s">
        <v>506</v>
      </c>
      <c r="U301" s="106" t="s">
        <v>509</v>
      </c>
      <c r="V301" s="107">
        <v>27</v>
      </c>
      <c r="W301" s="108"/>
      <c r="X301" s="109"/>
      <c r="Y301" s="20">
        <f t="shared" si="12"/>
        <v>0</v>
      </c>
      <c r="AA301" s="98">
        <f t="shared" si="13"/>
        <v>0</v>
      </c>
      <c r="AB301" s="98">
        <f t="shared" si="14"/>
        <v>0</v>
      </c>
    </row>
    <row r="302" spans="1:35" ht="22.35" customHeight="1" thickBot="1" x14ac:dyDescent="0.3">
      <c r="A302" s="80"/>
      <c r="B302" s="80"/>
      <c r="F302" s="141"/>
      <c r="H302" s="191"/>
      <c r="I302" s="84"/>
      <c r="K302" s="86"/>
      <c r="L302" s="86"/>
      <c r="M302" s="86"/>
      <c r="O302" s="100"/>
      <c r="P302" s="143"/>
      <c r="Q302" s="102"/>
      <c r="R302" s="103"/>
      <c r="S302" s="144" t="s">
        <v>507</v>
      </c>
      <c r="T302" s="112" t="s">
        <v>506</v>
      </c>
      <c r="U302" s="106" t="s">
        <v>509</v>
      </c>
      <c r="V302" s="107">
        <v>27</v>
      </c>
      <c r="W302" s="108"/>
      <c r="X302" s="109"/>
      <c r="Y302" s="20">
        <f t="shared" si="12"/>
        <v>0</v>
      </c>
      <c r="AA302" s="98">
        <f t="shared" si="13"/>
        <v>0</v>
      </c>
      <c r="AB302" s="98">
        <f t="shared" si="14"/>
        <v>0</v>
      </c>
    </row>
    <row r="303" spans="1:35" ht="22.35" customHeight="1" thickBot="1" x14ac:dyDescent="0.3">
      <c r="A303" s="80"/>
      <c r="B303" s="80"/>
      <c r="F303" s="141"/>
      <c r="H303" s="191"/>
      <c r="I303" s="84"/>
      <c r="K303" s="86"/>
      <c r="L303" s="86"/>
      <c r="M303" s="86"/>
      <c r="O303" s="100"/>
      <c r="P303" s="143"/>
      <c r="Q303" s="102"/>
      <c r="R303" s="103"/>
      <c r="S303" s="144" t="s">
        <v>507</v>
      </c>
      <c r="T303" s="112" t="s">
        <v>506</v>
      </c>
      <c r="U303" s="106" t="s">
        <v>509</v>
      </c>
      <c r="V303" s="107">
        <v>27</v>
      </c>
      <c r="W303" s="108"/>
      <c r="X303" s="109"/>
      <c r="Y303" s="20">
        <f t="shared" si="12"/>
        <v>0</v>
      </c>
      <c r="AA303" s="98">
        <f t="shared" si="13"/>
        <v>0</v>
      </c>
      <c r="AB303" s="98">
        <f t="shared" si="14"/>
        <v>0</v>
      </c>
    </row>
    <row r="304" spans="1:35" ht="22.35" customHeight="1" thickBot="1" x14ac:dyDescent="0.3">
      <c r="A304" s="209"/>
      <c r="B304" s="209">
        <v>40345116</v>
      </c>
      <c r="C304" s="193">
        <v>24</v>
      </c>
      <c r="D304" s="194" t="s">
        <v>510</v>
      </c>
      <c r="E304" s="194" t="s">
        <v>428</v>
      </c>
      <c r="F304" s="227" t="s">
        <v>511</v>
      </c>
      <c r="G304" s="196" t="s">
        <v>89</v>
      </c>
      <c r="H304" s="191">
        <v>11.5</v>
      </c>
      <c r="I304" s="196">
        <v>10.73</v>
      </c>
      <c r="J304" s="194" t="s">
        <v>421</v>
      </c>
      <c r="K304" s="198">
        <v>2011982</v>
      </c>
      <c r="L304" s="198">
        <v>4</v>
      </c>
      <c r="M304" s="198"/>
      <c r="N304" s="228">
        <v>0</v>
      </c>
      <c r="O304" s="229">
        <v>8616</v>
      </c>
      <c r="P304" s="230">
        <v>1</v>
      </c>
      <c r="Q304" s="230">
        <v>1</v>
      </c>
      <c r="R304" s="231">
        <v>11.5</v>
      </c>
      <c r="S304" s="220" t="s">
        <v>512</v>
      </c>
      <c r="T304" s="221" t="str">
        <f>INDEX([1]data!$B$1:$B$100,MATCH('04.02 - 10.02'!S304,[0]!exclusive01,))</f>
        <v>DUCANH</v>
      </c>
      <c r="U304" s="221" t="s">
        <v>508</v>
      </c>
      <c r="V304" s="222">
        <v>27</v>
      </c>
      <c r="W304" s="108"/>
      <c r="X304" s="109" t="s">
        <v>45</v>
      </c>
      <c r="Y304" s="20">
        <f>COUNTIF(K:K,K304)</f>
        <v>2</v>
      </c>
      <c r="AA304" s="98">
        <f>H304-I304</f>
        <v>0.76999999999999957</v>
      </c>
      <c r="AB304" s="98">
        <f>R304-H304</f>
        <v>0</v>
      </c>
    </row>
    <row r="305" spans="1:28" ht="22.35" customHeight="1" thickBot="1" x14ac:dyDescent="0.3">
      <c r="A305" s="209"/>
      <c r="B305" s="209">
        <v>40345116</v>
      </c>
      <c r="C305" s="193">
        <v>24</v>
      </c>
      <c r="D305" s="194" t="s">
        <v>510</v>
      </c>
      <c r="E305" s="194" t="s">
        <v>428</v>
      </c>
      <c r="F305" s="227" t="s">
        <v>511</v>
      </c>
      <c r="G305" s="196" t="s">
        <v>89</v>
      </c>
      <c r="H305" s="191">
        <v>11.5</v>
      </c>
      <c r="I305" s="196">
        <v>10.73</v>
      </c>
      <c r="J305" s="194" t="s">
        <v>421</v>
      </c>
      <c r="K305" s="198">
        <v>2011982</v>
      </c>
      <c r="L305" s="198">
        <v>4</v>
      </c>
      <c r="M305" s="198"/>
      <c r="N305" s="228">
        <v>0</v>
      </c>
      <c r="O305" s="229">
        <v>8616</v>
      </c>
      <c r="P305" s="230">
        <v>1</v>
      </c>
      <c r="Q305" s="230">
        <v>1</v>
      </c>
      <c r="R305" s="231">
        <v>11.5</v>
      </c>
      <c r="S305" s="220" t="s">
        <v>512</v>
      </c>
      <c r="T305" s="221" t="str">
        <f>INDEX([1]data!$B$1:$B$100,MATCH('04.02 - 10.02'!S305,[0]!exclusive01,))</f>
        <v>DUCANH</v>
      </c>
      <c r="U305" s="221" t="s">
        <v>508</v>
      </c>
      <c r="V305" s="222">
        <v>27</v>
      </c>
      <c r="W305" s="108"/>
      <c r="X305" s="109" t="s">
        <v>55</v>
      </c>
      <c r="Y305" s="20">
        <f t="shared" si="12"/>
        <v>2</v>
      </c>
      <c r="AA305" s="98">
        <f t="shared" si="13"/>
        <v>0.76999999999999957</v>
      </c>
      <c r="AB305" s="98">
        <f t="shared" si="14"/>
        <v>0</v>
      </c>
    </row>
    <row r="306" spans="1:28" ht="22.35" customHeight="1" thickBot="1" x14ac:dyDescent="0.3">
      <c r="A306" s="80"/>
      <c r="B306" s="80">
        <v>8445291034662</v>
      </c>
      <c r="C306" s="81">
        <v>30</v>
      </c>
      <c r="D306" s="23" t="s">
        <v>513</v>
      </c>
      <c r="E306" s="23" t="s">
        <v>514</v>
      </c>
      <c r="F306" s="82" t="s">
        <v>338</v>
      </c>
      <c r="G306" s="21" t="s">
        <v>89</v>
      </c>
      <c r="H306" s="191">
        <v>7.5</v>
      </c>
      <c r="I306" s="21">
        <v>7.26</v>
      </c>
      <c r="J306" s="23" t="s">
        <v>421</v>
      </c>
      <c r="K306" s="86">
        <v>2114183</v>
      </c>
      <c r="L306" s="86">
        <v>4</v>
      </c>
      <c r="M306" s="86"/>
      <c r="N306" s="87">
        <v>0</v>
      </c>
      <c r="O306" s="223">
        <v>3181</v>
      </c>
      <c r="P306" s="224">
        <v>1</v>
      </c>
      <c r="Q306" s="224">
        <v>1</v>
      </c>
      <c r="R306" s="225">
        <v>8.5</v>
      </c>
      <c r="S306" s="208" t="s">
        <v>515</v>
      </c>
      <c r="T306" s="94" t="str">
        <f>INDEX([1]data!$B$1:$B$100,MATCH('04.02 - 10.02'!S306,[0]!exclusive01,))</f>
        <v>DUCANH</v>
      </c>
      <c r="U306" s="94" t="s">
        <v>508</v>
      </c>
      <c r="V306" s="95">
        <v>28</v>
      </c>
      <c r="W306" s="108"/>
      <c r="X306" s="109" t="s">
        <v>45</v>
      </c>
      <c r="Y306" s="20">
        <f t="shared" si="12"/>
        <v>1</v>
      </c>
      <c r="AA306" s="98">
        <f t="shared" si="13"/>
        <v>0.24000000000000021</v>
      </c>
      <c r="AB306" s="98">
        <f t="shared" si="14"/>
        <v>1</v>
      </c>
    </row>
    <row r="307" spans="1:28" ht="22.35" customHeight="1" thickBot="1" x14ac:dyDescent="0.3">
      <c r="A307" s="80"/>
      <c r="B307" s="80">
        <v>4014400933055</v>
      </c>
      <c r="C307" s="81">
        <v>14</v>
      </c>
      <c r="D307" s="23" t="s">
        <v>516</v>
      </c>
      <c r="E307" s="23" t="s">
        <v>508</v>
      </c>
      <c r="F307" s="82" t="s">
        <v>517</v>
      </c>
      <c r="G307" s="21">
        <v>3</v>
      </c>
      <c r="H307" s="191">
        <v>88.9</v>
      </c>
      <c r="I307" s="21">
        <v>84.45</v>
      </c>
      <c r="J307" s="23" t="s">
        <v>518</v>
      </c>
      <c r="K307" s="86">
        <v>2112388</v>
      </c>
      <c r="L307" s="86">
        <v>4</v>
      </c>
      <c r="M307" s="86"/>
      <c r="N307" s="87">
        <v>0</v>
      </c>
      <c r="O307" s="223">
        <v>1080</v>
      </c>
      <c r="P307" s="224">
        <v>1</v>
      </c>
      <c r="Q307" s="224">
        <v>1</v>
      </c>
      <c r="R307" s="225">
        <v>86.9</v>
      </c>
      <c r="S307" s="226" t="s">
        <v>519</v>
      </c>
      <c r="T307" s="94" t="str">
        <f>INDEX([1]data!$B$1:$B$100,MATCH('04.02 - 10.02'!S307,[0]!exclusive01,))</f>
        <v>DUCANH</v>
      </c>
      <c r="U307" s="106" t="s">
        <v>508</v>
      </c>
      <c r="V307" s="107">
        <v>28</v>
      </c>
      <c r="W307" s="108"/>
      <c r="X307" s="109" t="s">
        <v>55</v>
      </c>
      <c r="Y307" s="20">
        <f t="shared" si="12"/>
        <v>1</v>
      </c>
      <c r="AA307" s="98">
        <f t="shared" si="13"/>
        <v>4.4500000000000028</v>
      </c>
      <c r="AB307" s="98">
        <f t="shared" si="14"/>
        <v>-2</v>
      </c>
    </row>
    <row r="308" spans="1:28" ht="22.35" customHeight="1" thickBot="1" x14ac:dyDescent="0.3">
      <c r="A308" s="80"/>
      <c r="B308" s="80">
        <v>9002859071461</v>
      </c>
      <c r="C308" s="81">
        <v>22</v>
      </c>
      <c r="D308" s="23" t="s">
        <v>520</v>
      </c>
      <c r="E308" s="23" t="s">
        <v>508</v>
      </c>
      <c r="F308" s="82" t="s">
        <v>86</v>
      </c>
      <c r="G308" s="21">
        <v>3</v>
      </c>
      <c r="H308" s="191">
        <v>40.9</v>
      </c>
      <c r="I308" s="21">
        <v>40.21</v>
      </c>
      <c r="J308" s="23" t="s">
        <v>521</v>
      </c>
      <c r="K308" s="86">
        <v>2012935</v>
      </c>
      <c r="L308" s="86">
        <v>4</v>
      </c>
      <c r="M308" s="86"/>
      <c r="N308" s="87">
        <v>0</v>
      </c>
      <c r="O308" s="223">
        <v>612</v>
      </c>
      <c r="P308" s="224">
        <v>1</v>
      </c>
      <c r="Q308" s="224">
        <v>1</v>
      </c>
      <c r="R308" s="225">
        <v>47.9</v>
      </c>
      <c r="S308" s="226" t="s">
        <v>522</v>
      </c>
      <c r="T308" s="94" t="str">
        <f>INDEX([1]data!$B$1:$B$100,MATCH('04.02 - 10.02'!S308,[0]!exclusive01,))</f>
        <v>DUCANH</v>
      </c>
      <c r="U308" s="106" t="s">
        <v>508</v>
      </c>
      <c r="V308" s="107">
        <v>28</v>
      </c>
      <c r="W308" s="108"/>
      <c r="X308" s="109" t="s">
        <v>117</v>
      </c>
      <c r="Y308" s="20">
        <f t="shared" si="12"/>
        <v>1</v>
      </c>
      <c r="AA308" s="98">
        <f t="shared" si="13"/>
        <v>0.68999999999999773</v>
      </c>
      <c r="AB308" s="98">
        <f t="shared" si="14"/>
        <v>7</v>
      </c>
    </row>
    <row r="309" spans="1:28" ht="22.35" customHeight="1" thickBot="1" x14ac:dyDescent="0.3">
      <c r="A309" s="209"/>
      <c r="B309" s="209">
        <v>7622210140463</v>
      </c>
      <c r="C309" s="193">
        <v>18</v>
      </c>
      <c r="D309" s="194" t="s">
        <v>523</v>
      </c>
      <c r="E309" s="194" t="s">
        <v>524</v>
      </c>
      <c r="F309" s="227" t="s">
        <v>525</v>
      </c>
      <c r="G309" s="196">
        <v>4</v>
      </c>
      <c r="H309" s="191">
        <v>72.900000000000006</v>
      </c>
      <c r="I309" s="196">
        <v>69.790000000000006</v>
      </c>
      <c r="J309" s="194" t="s">
        <v>526</v>
      </c>
      <c r="K309" s="198">
        <v>2012846</v>
      </c>
      <c r="L309" s="198">
        <v>4</v>
      </c>
      <c r="M309" s="198"/>
      <c r="N309" s="228">
        <v>0</v>
      </c>
      <c r="O309" s="229">
        <v>226</v>
      </c>
      <c r="P309" s="230">
        <v>1</v>
      </c>
      <c r="Q309" s="230">
        <v>1</v>
      </c>
      <c r="R309" s="231">
        <v>79.900000000000006</v>
      </c>
      <c r="S309" s="232" t="s">
        <v>526</v>
      </c>
      <c r="T309" s="125" t="str">
        <f>INDEX([1]data!$B$1:$B$100,MATCH('04.02 - 10.02'!S309,[0]!exclusive01,))</f>
        <v>DUCANH</v>
      </c>
      <c r="U309" s="125" t="s">
        <v>508</v>
      </c>
      <c r="V309" s="233">
        <v>28</v>
      </c>
      <c r="W309" s="108"/>
      <c r="X309" s="109" t="s">
        <v>119</v>
      </c>
      <c r="Y309" s="20">
        <f t="shared" si="12"/>
        <v>1</v>
      </c>
      <c r="AA309" s="98">
        <f t="shared" si="13"/>
        <v>3.1099999999999994</v>
      </c>
      <c r="AB309" s="98">
        <f t="shared" si="14"/>
        <v>7</v>
      </c>
    </row>
    <row r="310" spans="1:28" ht="22.35" customHeight="1" thickBot="1" x14ac:dyDescent="0.3">
      <c r="A310" s="80"/>
      <c r="B310" s="80"/>
      <c r="F310" s="141"/>
      <c r="H310" s="191"/>
      <c r="I310" s="84"/>
      <c r="K310" s="86"/>
      <c r="L310" s="86"/>
      <c r="M310" s="86"/>
      <c r="O310" s="88"/>
      <c r="P310" s="136"/>
      <c r="Q310" s="90"/>
      <c r="R310" s="91"/>
      <c r="S310" s="139" t="s">
        <v>527</v>
      </c>
      <c r="T310" s="140" t="s">
        <v>506</v>
      </c>
      <c r="U310" s="94"/>
      <c r="V310" s="95">
        <v>29</v>
      </c>
      <c r="W310" s="108"/>
      <c r="X310" s="109"/>
      <c r="Y310" s="20">
        <f t="shared" si="12"/>
        <v>0</v>
      </c>
      <c r="AA310" s="98">
        <f t="shared" si="13"/>
        <v>0</v>
      </c>
      <c r="AB310" s="98">
        <f t="shared" si="14"/>
        <v>0</v>
      </c>
    </row>
    <row r="311" spans="1:28" ht="22.35" customHeight="1" thickBot="1" x14ac:dyDescent="0.3">
      <c r="A311" s="80"/>
      <c r="B311" s="80"/>
      <c r="F311" s="141"/>
      <c r="H311" s="191"/>
      <c r="I311" s="84"/>
      <c r="K311" s="86"/>
      <c r="L311" s="86"/>
      <c r="M311" s="86"/>
      <c r="O311" s="100"/>
      <c r="P311" s="143"/>
      <c r="Q311" s="102"/>
      <c r="R311" s="103"/>
      <c r="S311" s="144" t="s">
        <v>527</v>
      </c>
      <c r="T311" s="112" t="s">
        <v>506</v>
      </c>
      <c r="U311" s="106"/>
      <c r="V311" s="107">
        <v>29</v>
      </c>
      <c r="W311" s="108"/>
      <c r="X311" s="109"/>
      <c r="Y311" s="20">
        <f t="shared" si="12"/>
        <v>0</v>
      </c>
      <c r="AA311" s="98">
        <f t="shared" si="13"/>
        <v>0</v>
      </c>
      <c r="AB311" s="98">
        <f t="shared" si="14"/>
        <v>0</v>
      </c>
    </row>
    <row r="312" spans="1:28" ht="22.35" customHeight="1" thickBot="1" x14ac:dyDescent="0.3">
      <c r="A312" s="80"/>
      <c r="B312" s="80"/>
      <c r="F312" s="141"/>
      <c r="H312" s="191"/>
      <c r="I312" s="84"/>
      <c r="K312" s="86"/>
      <c r="L312" s="86"/>
      <c r="M312" s="86"/>
      <c r="O312" s="100"/>
      <c r="P312" s="143"/>
      <c r="Q312" s="102"/>
      <c r="R312" s="103"/>
      <c r="S312" s="144" t="s">
        <v>527</v>
      </c>
      <c r="T312" s="112" t="s">
        <v>506</v>
      </c>
      <c r="U312" s="106"/>
      <c r="V312" s="107">
        <v>29</v>
      </c>
      <c r="W312" s="108"/>
      <c r="X312" s="109"/>
      <c r="Y312" s="20">
        <f t="shared" si="12"/>
        <v>0</v>
      </c>
      <c r="AA312" s="98">
        <f t="shared" si="13"/>
        <v>0</v>
      </c>
      <c r="AB312" s="98">
        <f t="shared" si="14"/>
        <v>0</v>
      </c>
    </row>
    <row r="313" spans="1:28" ht="22.35" customHeight="1" thickBot="1" x14ac:dyDescent="0.3">
      <c r="A313" s="80"/>
      <c r="B313" s="80"/>
      <c r="F313" s="141"/>
      <c r="H313" s="191"/>
      <c r="I313" s="84"/>
      <c r="K313" s="86"/>
      <c r="L313" s="86"/>
      <c r="M313" s="86"/>
      <c r="O313" s="100"/>
      <c r="P313" s="143"/>
      <c r="Q313" s="102"/>
      <c r="R313" s="103"/>
      <c r="S313" s="144" t="s">
        <v>527</v>
      </c>
      <c r="T313" s="112" t="s">
        <v>506</v>
      </c>
      <c r="U313" s="106"/>
      <c r="V313" s="107">
        <v>29</v>
      </c>
      <c r="W313" s="108"/>
      <c r="X313" s="109"/>
      <c r="Y313" s="20">
        <f t="shared" si="12"/>
        <v>0</v>
      </c>
      <c r="AA313" s="98">
        <f t="shared" si="13"/>
        <v>0</v>
      </c>
      <c r="AB313" s="98">
        <f t="shared" si="14"/>
        <v>0</v>
      </c>
    </row>
    <row r="314" spans="1:28" ht="22.35" customHeight="1" thickBot="1" x14ac:dyDescent="0.3">
      <c r="A314" s="80"/>
      <c r="B314" s="80"/>
      <c r="F314" s="141"/>
      <c r="H314" s="191"/>
      <c r="I314" s="84"/>
      <c r="K314" s="86"/>
      <c r="L314" s="86"/>
      <c r="M314" s="86"/>
      <c r="O314" s="299"/>
      <c r="P314" s="300"/>
      <c r="Q314" s="301"/>
      <c r="R314" s="146"/>
      <c r="S314" s="302" t="s">
        <v>528</v>
      </c>
      <c r="T314" s="303" t="s">
        <v>506</v>
      </c>
      <c r="U314" s="304"/>
      <c r="V314" s="107">
        <v>29</v>
      </c>
      <c r="W314" s="108"/>
      <c r="X314" s="109"/>
      <c r="Y314" s="20">
        <f t="shared" si="12"/>
        <v>0</v>
      </c>
      <c r="AA314" s="98">
        <f t="shared" si="13"/>
        <v>0</v>
      </c>
      <c r="AB314" s="98">
        <f t="shared" si="14"/>
        <v>0</v>
      </c>
    </row>
    <row r="315" spans="1:28" ht="22.35" customHeight="1" thickBot="1" x14ac:dyDescent="0.3">
      <c r="A315" s="80"/>
      <c r="B315" s="80"/>
      <c r="F315" s="141"/>
      <c r="H315" s="191"/>
      <c r="I315" s="84"/>
      <c r="K315" s="86"/>
      <c r="L315" s="86"/>
      <c r="M315" s="86"/>
      <c r="O315" s="299"/>
      <c r="P315" s="300"/>
      <c r="Q315" s="301"/>
      <c r="R315" s="146"/>
      <c r="S315" s="302" t="s">
        <v>528</v>
      </c>
      <c r="T315" s="303" t="s">
        <v>506</v>
      </c>
      <c r="U315" s="304"/>
      <c r="V315" s="107">
        <v>29</v>
      </c>
      <c r="W315" s="108"/>
      <c r="X315" s="109"/>
      <c r="Y315" s="20">
        <f t="shared" si="12"/>
        <v>0</v>
      </c>
      <c r="AA315" s="98">
        <f t="shared" si="13"/>
        <v>0</v>
      </c>
      <c r="AB315" s="98">
        <f t="shared" si="14"/>
        <v>0</v>
      </c>
    </row>
    <row r="316" spans="1:28" ht="22.35" customHeight="1" thickBot="1" x14ac:dyDescent="0.3">
      <c r="A316" s="80"/>
      <c r="B316" s="80"/>
      <c r="F316" s="141"/>
      <c r="H316" s="191"/>
      <c r="I316" s="84"/>
      <c r="K316" s="86"/>
      <c r="L316" s="86"/>
      <c r="M316" s="86"/>
      <c r="O316" s="299"/>
      <c r="P316" s="300"/>
      <c r="Q316" s="301"/>
      <c r="R316" s="146"/>
      <c r="S316" s="302" t="s">
        <v>528</v>
      </c>
      <c r="T316" s="303" t="s">
        <v>506</v>
      </c>
      <c r="U316" s="304"/>
      <c r="V316" s="107">
        <v>29</v>
      </c>
      <c r="W316" s="108"/>
      <c r="X316" s="109"/>
      <c r="Y316" s="20">
        <f t="shared" si="12"/>
        <v>0</v>
      </c>
      <c r="AA316" s="98">
        <f t="shared" si="13"/>
        <v>0</v>
      </c>
      <c r="AB316" s="98">
        <f t="shared" si="14"/>
        <v>0</v>
      </c>
    </row>
    <row r="317" spans="1:28" ht="22.35" customHeight="1" thickBot="1" x14ac:dyDescent="0.3">
      <c r="A317" s="209"/>
      <c r="B317" s="209"/>
      <c r="C317" s="210"/>
      <c r="D317" s="211"/>
      <c r="E317" s="211"/>
      <c r="F317" s="236"/>
      <c r="G317" s="213"/>
      <c r="H317" s="191"/>
      <c r="I317" s="238"/>
      <c r="J317" s="211"/>
      <c r="K317" s="215"/>
      <c r="L317" s="215"/>
      <c r="M317" s="215"/>
      <c r="N317" s="216"/>
      <c r="O317" s="239"/>
      <c r="P317" s="240"/>
      <c r="Q317" s="154"/>
      <c r="R317" s="241"/>
      <c r="S317" s="242" t="s">
        <v>528</v>
      </c>
      <c r="T317" s="243" t="s">
        <v>506</v>
      </c>
      <c r="U317" s="244"/>
      <c r="V317" s="233">
        <v>29</v>
      </c>
      <c r="W317" s="108"/>
      <c r="X317" s="109"/>
      <c r="Y317" s="20">
        <f t="shared" si="12"/>
        <v>0</v>
      </c>
      <c r="AA317" s="98">
        <f t="shared" si="13"/>
        <v>0</v>
      </c>
      <c r="AB317" s="98">
        <f t="shared" si="14"/>
        <v>0</v>
      </c>
    </row>
    <row r="318" spans="1:28" ht="22.35" customHeight="1" thickBot="1" x14ac:dyDescent="0.3">
      <c r="A318" s="80"/>
      <c r="B318" s="80">
        <v>4014400928877</v>
      </c>
      <c r="C318" s="81">
        <v>18</v>
      </c>
      <c r="D318" s="23" t="s">
        <v>529</v>
      </c>
      <c r="E318" s="23" t="s">
        <v>428</v>
      </c>
      <c r="F318" s="82" t="s">
        <v>530</v>
      </c>
      <c r="G318" s="21">
        <v>2</v>
      </c>
      <c r="H318" s="191">
        <v>28.9</v>
      </c>
      <c r="I318" s="21">
        <v>27.33</v>
      </c>
      <c r="J318" s="23" t="s">
        <v>518</v>
      </c>
      <c r="K318" s="86">
        <v>2115274</v>
      </c>
      <c r="L318" s="86">
        <v>4</v>
      </c>
      <c r="M318" s="86"/>
      <c r="N318" s="87">
        <v>0</v>
      </c>
      <c r="O318" s="305">
        <v>556</v>
      </c>
      <c r="P318" s="121">
        <v>1</v>
      </c>
      <c r="Q318" s="121">
        <v>1</v>
      </c>
      <c r="R318" s="306">
        <v>31.9</v>
      </c>
      <c r="S318" s="307" t="s">
        <v>531</v>
      </c>
      <c r="T318" s="308" t="str">
        <f>INDEX([1]data!$B$1:$B$100,MATCH('04.02 - 10.02'!S318,[0]!exclusive01,))</f>
        <v>DUCANH</v>
      </c>
      <c r="U318" s="308" t="s">
        <v>509</v>
      </c>
      <c r="V318" s="309">
        <v>29</v>
      </c>
      <c r="W318" s="108"/>
      <c r="X318" s="109" t="s">
        <v>45</v>
      </c>
      <c r="Y318" s="20">
        <f t="shared" si="12"/>
        <v>1</v>
      </c>
      <c r="AA318" s="98">
        <f t="shared" si="13"/>
        <v>1.5700000000000003</v>
      </c>
      <c r="AB318" s="98">
        <f t="shared" si="14"/>
        <v>3</v>
      </c>
    </row>
    <row r="319" spans="1:28" ht="22.35" customHeight="1" thickBot="1" x14ac:dyDescent="0.3">
      <c r="A319" s="209"/>
      <c r="B319" s="209">
        <v>8720892211651</v>
      </c>
      <c r="C319" s="193">
        <v>12</v>
      </c>
      <c r="D319" s="194" t="s">
        <v>532</v>
      </c>
      <c r="E319" s="194" t="s">
        <v>533</v>
      </c>
      <c r="F319" s="227" t="s">
        <v>242</v>
      </c>
      <c r="G319" s="196">
        <v>4</v>
      </c>
      <c r="H319" s="191">
        <v>46.9</v>
      </c>
      <c r="I319" s="196">
        <v>44.69</v>
      </c>
      <c r="J319" s="194" t="s">
        <v>534</v>
      </c>
      <c r="K319" s="198">
        <v>2115571</v>
      </c>
      <c r="L319" s="198">
        <v>4</v>
      </c>
      <c r="M319" s="198"/>
      <c r="N319" s="228">
        <v>0</v>
      </c>
      <c r="O319" s="229">
        <v>143</v>
      </c>
      <c r="P319" s="230">
        <v>1</v>
      </c>
      <c r="Q319" s="230">
        <v>1</v>
      </c>
      <c r="R319" s="231">
        <v>52.9</v>
      </c>
      <c r="S319" s="232" t="s">
        <v>534</v>
      </c>
      <c r="T319" s="125" t="str">
        <f>INDEX([1]data!$B$1:$B$100,MATCH('04.02 - 10.02'!S319,[0]!exclusive01,))</f>
        <v>DUCANH</v>
      </c>
      <c r="U319" s="125" t="s">
        <v>419</v>
      </c>
      <c r="V319" s="156">
        <v>29</v>
      </c>
      <c r="W319" s="108"/>
      <c r="X319" s="109" t="s">
        <v>55</v>
      </c>
      <c r="Y319" s="20">
        <f t="shared" si="12"/>
        <v>1</v>
      </c>
      <c r="AA319" s="98">
        <f t="shared" si="13"/>
        <v>2.2100000000000009</v>
      </c>
      <c r="AB319" s="98">
        <f t="shared" si="14"/>
        <v>6</v>
      </c>
    </row>
    <row r="320" spans="1:28" ht="22.35" customHeight="1" thickBot="1" x14ac:dyDescent="0.3">
      <c r="A320" s="80"/>
      <c r="B320" s="80">
        <v>8410525200502</v>
      </c>
      <c r="C320" s="128">
        <v>6</v>
      </c>
      <c r="D320" s="129" t="s">
        <v>535</v>
      </c>
      <c r="E320" s="129" t="s">
        <v>536</v>
      </c>
      <c r="F320" s="234" t="s">
        <v>537</v>
      </c>
      <c r="G320" s="132" t="s">
        <v>538</v>
      </c>
      <c r="H320" s="277">
        <v>215</v>
      </c>
      <c r="I320" s="132">
        <v>204.96</v>
      </c>
      <c r="J320" s="129" t="s">
        <v>539</v>
      </c>
      <c r="K320" s="133">
        <v>2011616</v>
      </c>
      <c r="L320" s="133">
        <v>4</v>
      </c>
      <c r="M320" s="133"/>
      <c r="N320" s="134">
        <v>0</v>
      </c>
      <c r="O320" s="235">
        <v>52</v>
      </c>
      <c r="P320" s="206">
        <v>1</v>
      </c>
      <c r="Q320" s="206">
        <v>1</v>
      </c>
      <c r="R320" s="207">
        <v>235</v>
      </c>
      <c r="S320" s="208" t="s">
        <v>539</v>
      </c>
      <c r="T320" s="94" t="str">
        <f>INDEX([1]data!$B$1:$B$100,MATCH('04.02 - 10.02'!S320,[0]!exclusive01,))</f>
        <v>DUCANH</v>
      </c>
      <c r="U320" s="94" t="s">
        <v>509</v>
      </c>
      <c r="V320" s="95">
        <v>30</v>
      </c>
      <c r="W320" s="108">
        <v>1</v>
      </c>
      <c r="X320" s="109" t="s">
        <v>45</v>
      </c>
      <c r="Y320" s="20">
        <f t="shared" si="12"/>
        <v>1</v>
      </c>
      <c r="AA320" s="98">
        <f t="shared" si="13"/>
        <v>10.039999999999992</v>
      </c>
      <c r="AB320" s="98">
        <f t="shared" si="14"/>
        <v>20</v>
      </c>
    </row>
    <row r="321" spans="1:35" ht="22.35" customHeight="1" thickBot="1" x14ac:dyDescent="0.3">
      <c r="A321" s="80"/>
      <c r="B321" s="80">
        <v>8413209317503</v>
      </c>
      <c r="C321" s="81">
        <v>6</v>
      </c>
      <c r="D321" s="23" t="s">
        <v>540</v>
      </c>
      <c r="G321" s="21">
        <v>1</v>
      </c>
      <c r="H321" s="191">
        <v>285</v>
      </c>
      <c r="I321" s="21">
        <v>273.85000000000002</v>
      </c>
      <c r="J321" s="23" t="s">
        <v>541</v>
      </c>
      <c r="K321" s="86">
        <v>2012758</v>
      </c>
      <c r="L321" s="86">
        <v>4</v>
      </c>
      <c r="M321" s="86"/>
      <c r="N321" s="87">
        <v>0</v>
      </c>
      <c r="O321" s="223">
        <v>116</v>
      </c>
      <c r="P321" s="224"/>
      <c r="Q321" s="224">
        <v>1</v>
      </c>
      <c r="R321" s="225">
        <v>319</v>
      </c>
      <c r="S321" s="226" t="s">
        <v>542</v>
      </c>
      <c r="T321" s="94" t="str">
        <f>INDEX([1]data!$B$1:$B$100,MATCH('04.02 - 10.02'!S321,[0]!exclusive01,))</f>
        <v>DUCANH</v>
      </c>
      <c r="U321" s="106" t="s">
        <v>509</v>
      </c>
      <c r="V321" s="107">
        <v>30</v>
      </c>
      <c r="W321" s="108"/>
      <c r="X321" s="109" t="s">
        <v>55</v>
      </c>
      <c r="Y321" s="20">
        <f t="shared" si="12"/>
        <v>1</v>
      </c>
      <c r="AA321" s="98">
        <f t="shared" si="13"/>
        <v>11.149999999999977</v>
      </c>
      <c r="AB321" s="98">
        <f t="shared" si="14"/>
        <v>34</v>
      </c>
    </row>
    <row r="322" spans="1:35" ht="22.35" customHeight="1" thickBot="1" x14ac:dyDescent="0.3">
      <c r="A322" s="80"/>
      <c r="B322" s="80">
        <v>8590311100510</v>
      </c>
      <c r="C322" s="81">
        <v>600</v>
      </c>
      <c r="D322" s="23" t="s">
        <v>543</v>
      </c>
      <c r="G322" s="21">
        <v>1</v>
      </c>
      <c r="H322" s="191">
        <v>6.1</v>
      </c>
      <c r="I322" s="21">
        <v>5.8</v>
      </c>
      <c r="J322" s="23" t="s">
        <v>541</v>
      </c>
      <c r="K322" s="86">
        <v>2115534</v>
      </c>
      <c r="L322" s="86">
        <v>4</v>
      </c>
      <c r="M322" s="86"/>
      <c r="N322" s="87">
        <v>0</v>
      </c>
      <c r="O322" s="223">
        <v>594</v>
      </c>
      <c r="P322" s="224">
        <v>1</v>
      </c>
      <c r="Q322" s="224">
        <v>1</v>
      </c>
      <c r="R322" s="225">
        <v>6.9</v>
      </c>
      <c r="S322" s="226" t="s">
        <v>544</v>
      </c>
      <c r="T322" s="94" t="str">
        <f>INDEX([1]data!$B$1:$B$100,MATCH('04.02 - 10.02'!S322,[0]!exclusive01,))</f>
        <v>DUCANH</v>
      </c>
      <c r="U322" s="106" t="s">
        <v>509</v>
      </c>
      <c r="V322" s="107">
        <v>30</v>
      </c>
      <c r="W322" s="108"/>
      <c r="X322" s="109" t="s">
        <v>117</v>
      </c>
      <c r="Y322" s="20">
        <f t="shared" si="12"/>
        <v>1</v>
      </c>
      <c r="AA322" s="98">
        <f t="shared" si="13"/>
        <v>0.29999999999999982</v>
      </c>
      <c r="AB322" s="98">
        <f t="shared" si="14"/>
        <v>0.80000000000000071</v>
      </c>
    </row>
    <row r="323" spans="1:35" ht="22.35" customHeight="1" thickBot="1" x14ac:dyDescent="0.3">
      <c r="A323" s="209"/>
      <c r="B323" s="209">
        <v>6931722309635</v>
      </c>
      <c r="C323" s="193">
        <v>96</v>
      </c>
      <c r="D323" s="194" t="s">
        <v>545</v>
      </c>
      <c r="E323" s="194"/>
      <c r="F323" s="227"/>
      <c r="G323" s="196">
        <v>1</v>
      </c>
      <c r="H323" s="191">
        <v>17.5</v>
      </c>
      <c r="I323" s="196">
        <v>16.760000000000002</v>
      </c>
      <c r="J323" s="194" t="s">
        <v>546</v>
      </c>
      <c r="K323" s="198">
        <v>2110089</v>
      </c>
      <c r="L323" s="198">
        <v>4</v>
      </c>
      <c r="M323" s="198"/>
      <c r="N323" s="228">
        <v>0</v>
      </c>
      <c r="O323" s="229">
        <v>396</v>
      </c>
      <c r="P323" s="230">
        <v>1</v>
      </c>
      <c r="Q323" s="230">
        <v>1</v>
      </c>
      <c r="R323" s="231">
        <v>18.899999999999999</v>
      </c>
      <c r="S323" s="232" t="s">
        <v>546</v>
      </c>
      <c r="T323" s="125" t="str">
        <f>INDEX([1]data!$B$1:$B$100,MATCH('04.02 - 10.02'!S323,[0]!exclusive01,))</f>
        <v>DUCANH</v>
      </c>
      <c r="U323" s="125" t="s">
        <v>509</v>
      </c>
      <c r="V323" s="233">
        <v>30</v>
      </c>
      <c r="W323" s="108"/>
      <c r="X323" s="109" t="s">
        <v>119</v>
      </c>
      <c r="Y323" s="20">
        <f t="shared" si="12"/>
        <v>1</v>
      </c>
      <c r="AA323" s="98">
        <f t="shared" si="13"/>
        <v>0.73999999999999844</v>
      </c>
      <c r="AB323" s="98">
        <f t="shared" si="14"/>
        <v>1.3999999999999986</v>
      </c>
    </row>
    <row r="324" spans="1:35" ht="22.35" customHeight="1" thickBot="1" x14ac:dyDescent="0.3">
      <c r="A324" s="80"/>
      <c r="B324" s="80">
        <v>9001508084760</v>
      </c>
      <c r="C324" s="128">
        <v>28</v>
      </c>
      <c r="D324" s="129" t="s">
        <v>547</v>
      </c>
      <c r="E324" s="129" t="s">
        <v>548</v>
      </c>
      <c r="F324" s="234" t="s">
        <v>549</v>
      </c>
      <c r="G324" s="132" t="s">
        <v>89</v>
      </c>
      <c r="H324" s="277">
        <v>24.9</v>
      </c>
      <c r="I324" s="132">
        <v>23.65</v>
      </c>
      <c r="J324" s="129" t="s">
        <v>550</v>
      </c>
      <c r="K324" s="133">
        <v>2016163</v>
      </c>
      <c r="L324" s="133">
        <v>4</v>
      </c>
      <c r="M324" s="133"/>
      <c r="N324" s="134">
        <v>0</v>
      </c>
      <c r="O324" s="235">
        <v>680</v>
      </c>
      <c r="P324" s="206">
        <v>1</v>
      </c>
      <c r="Q324" s="206">
        <v>1</v>
      </c>
      <c r="R324" s="207">
        <v>27.5</v>
      </c>
      <c r="S324" s="208" t="s">
        <v>550</v>
      </c>
      <c r="T324" s="94" t="str">
        <f>INDEX([1]data!$B$1:$B$100,MATCH('04.02 - 10.02'!S324,[0]!exclusive01,))</f>
        <v>DUCANH</v>
      </c>
      <c r="U324" s="94" t="s">
        <v>419</v>
      </c>
      <c r="V324" s="95">
        <v>31</v>
      </c>
      <c r="W324" s="108">
        <v>1</v>
      </c>
      <c r="X324" s="109" t="s">
        <v>45</v>
      </c>
      <c r="Y324" s="20">
        <f t="shared" si="12"/>
        <v>1</v>
      </c>
      <c r="AA324" s="98">
        <f t="shared" si="13"/>
        <v>1.25</v>
      </c>
      <c r="AB324" s="98">
        <f t="shared" si="14"/>
        <v>2.6000000000000014</v>
      </c>
    </row>
    <row r="325" spans="1:35" ht="22.35" customHeight="1" thickBot="1" x14ac:dyDescent="0.3">
      <c r="A325" s="80"/>
      <c r="B325" s="80">
        <v>8690481003212</v>
      </c>
      <c r="C325" s="81">
        <v>24</v>
      </c>
      <c r="D325" s="23" t="s">
        <v>551</v>
      </c>
      <c r="E325" s="23" t="s">
        <v>552</v>
      </c>
      <c r="F325" s="82" t="s">
        <v>553</v>
      </c>
      <c r="G325" s="21">
        <v>2</v>
      </c>
      <c r="H325" s="277">
        <v>6.5</v>
      </c>
      <c r="I325" s="21">
        <v>6.27</v>
      </c>
      <c r="J325" s="23" t="s">
        <v>554</v>
      </c>
      <c r="K325" s="86">
        <v>2111133</v>
      </c>
      <c r="L325" s="86">
        <v>4</v>
      </c>
      <c r="M325" s="86"/>
      <c r="N325" s="87">
        <v>0</v>
      </c>
      <c r="O325" s="223">
        <v>2012</v>
      </c>
      <c r="P325" s="224">
        <v>1</v>
      </c>
      <c r="Q325" s="224">
        <v>1</v>
      </c>
      <c r="R325" s="225">
        <v>7.2</v>
      </c>
      <c r="S325" s="226" t="s">
        <v>554</v>
      </c>
      <c r="T325" s="94" t="str">
        <f>INDEX([1]data!$B$1:$B$100,MATCH('04.02 - 10.02'!S325,[0]!exclusive01,))</f>
        <v>DUCANH</v>
      </c>
      <c r="U325" s="106" t="s">
        <v>419</v>
      </c>
      <c r="V325" s="107">
        <v>31</v>
      </c>
      <c r="W325" s="108">
        <v>1</v>
      </c>
      <c r="X325" s="109" t="s">
        <v>55</v>
      </c>
      <c r="Y325" s="20">
        <f t="shared" si="12"/>
        <v>1</v>
      </c>
      <c r="AA325" s="98">
        <f t="shared" si="13"/>
        <v>0.23000000000000043</v>
      </c>
      <c r="AB325" s="98">
        <f t="shared" si="14"/>
        <v>0.70000000000000018</v>
      </c>
    </row>
    <row r="326" spans="1:35" ht="22.35" customHeight="1" thickBot="1" x14ac:dyDescent="0.3">
      <c r="A326" s="80"/>
      <c r="B326" s="80">
        <v>8693029204041</v>
      </c>
      <c r="C326" s="81">
        <v>8</v>
      </c>
      <c r="D326" s="23" t="s">
        <v>555</v>
      </c>
      <c r="E326" s="23" t="s">
        <v>556</v>
      </c>
      <c r="F326" s="82" t="s">
        <v>40</v>
      </c>
      <c r="G326" s="21" t="s">
        <v>89</v>
      </c>
      <c r="H326" s="191">
        <v>109</v>
      </c>
      <c r="I326" s="21">
        <v>101.08</v>
      </c>
      <c r="J326" s="23" t="s">
        <v>557</v>
      </c>
      <c r="K326" s="86">
        <v>2110895</v>
      </c>
      <c r="L326" s="86">
        <v>4</v>
      </c>
      <c r="M326" s="86"/>
      <c r="N326" s="87">
        <v>0</v>
      </c>
      <c r="O326" s="223">
        <v>133</v>
      </c>
      <c r="P326" s="224">
        <v>1</v>
      </c>
      <c r="Q326" s="224">
        <v>1</v>
      </c>
      <c r="R326" s="225">
        <v>115</v>
      </c>
      <c r="S326" s="226" t="s">
        <v>557</v>
      </c>
      <c r="T326" s="94" t="str">
        <f>INDEX([1]data!$B$1:$B$100,MATCH('04.02 - 10.02'!S326,[0]!exclusive01,))</f>
        <v>DUCANH</v>
      </c>
      <c r="U326" s="106" t="s">
        <v>419</v>
      </c>
      <c r="V326" s="107">
        <v>31</v>
      </c>
      <c r="W326" s="108"/>
      <c r="X326" s="109" t="s">
        <v>117</v>
      </c>
      <c r="Y326" s="20">
        <f t="shared" si="12"/>
        <v>1</v>
      </c>
      <c r="AA326" s="98">
        <f t="shared" si="13"/>
        <v>7.9200000000000017</v>
      </c>
      <c r="AB326" s="98">
        <f t="shared" si="14"/>
        <v>6</v>
      </c>
    </row>
    <row r="327" spans="1:35" ht="22.35" customHeight="1" thickBot="1" x14ac:dyDescent="0.3">
      <c r="A327" s="209"/>
      <c r="B327" s="209">
        <v>5900951311505</v>
      </c>
      <c r="C327" s="193">
        <v>40</v>
      </c>
      <c r="D327" s="194" t="s">
        <v>558</v>
      </c>
      <c r="E327" s="194" t="s">
        <v>419</v>
      </c>
      <c r="F327" s="227" t="s">
        <v>559</v>
      </c>
      <c r="G327" s="196" t="s">
        <v>89</v>
      </c>
      <c r="H327" s="191">
        <v>11.5</v>
      </c>
      <c r="I327" s="196">
        <v>11.32</v>
      </c>
      <c r="J327" s="194" t="s">
        <v>560</v>
      </c>
      <c r="K327" s="198">
        <v>2010035</v>
      </c>
      <c r="L327" s="198">
        <v>4</v>
      </c>
      <c r="M327" s="198"/>
      <c r="N327" s="228">
        <v>0</v>
      </c>
      <c r="O327" s="229">
        <v>18205</v>
      </c>
      <c r="P327" s="230">
        <v>1</v>
      </c>
      <c r="Q327" s="230">
        <v>1</v>
      </c>
      <c r="R327" s="231">
        <v>12.9</v>
      </c>
      <c r="S327" s="232" t="s">
        <v>560</v>
      </c>
      <c r="T327" s="125" t="str">
        <f>INDEX([1]data!$B$1:$B$100,MATCH('04.02 - 10.02'!S327,[0]!exclusive01,))</f>
        <v>DUCANH</v>
      </c>
      <c r="U327" s="125" t="s">
        <v>419</v>
      </c>
      <c r="V327" s="233">
        <v>31</v>
      </c>
      <c r="W327" s="108"/>
      <c r="X327" s="109" t="s">
        <v>119</v>
      </c>
      <c r="Y327" s="20">
        <f t="shared" ref="Y327:Y390" si="15">COUNTIF(K:K,K327)</f>
        <v>1</v>
      </c>
      <c r="AA327" s="98">
        <f t="shared" si="13"/>
        <v>0.17999999999999972</v>
      </c>
      <c r="AB327" s="98">
        <f t="shared" si="14"/>
        <v>1.4000000000000004</v>
      </c>
    </row>
    <row r="328" spans="1:35" ht="22.35" customHeight="1" thickBot="1" x14ac:dyDescent="0.3">
      <c r="A328" s="80"/>
      <c r="B328" s="80">
        <v>8585000207533</v>
      </c>
      <c r="C328" s="128">
        <v>18</v>
      </c>
      <c r="D328" s="129" t="s">
        <v>561</v>
      </c>
      <c r="E328" s="129" t="s">
        <v>556</v>
      </c>
      <c r="F328" s="234" t="s">
        <v>242</v>
      </c>
      <c r="G328" s="132">
        <v>3</v>
      </c>
      <c r="H328" s="191">
        <v>13.9</v>
      </c>
      <c r="I328" s="132">
        <v>13.31</v>
      </c>
      <c r="J328" s="129" t="s">
        <v>562</v>
      </c>
      <c r="K328" s="133">
        <v>2016687</v>
      </c>
      <c r="L328" s="133">
        <v>4</v>
      </c>
      <c r="M328" s="133"/>
      <c r="N328" s="134">
        <v>0</v>
      </c>
      <c r="O328" s="235">
        <v>2433</v>
      </c>
      <c r="P328" s="206">
        <v>1</v>
      </c>
      <c r="Q328" s="206">
        <v>1</v>
      </c>
      <c r="R328" s="207">
        <v>14.9</v>
      </c>
      <c r="S328" s="226" t="s">
        <v>563</v>
      </c>
      <c r="T328" s="94" t="str">
        <f>INDEX([1]data!$B$1:$B$100,MATCH('04.02 - 10.02'!S328,[0]!exclusive01,))</f>
        <v>DUCANH</v>
      </c>
      <c r="U328" s="106" t="s">
        <v>564</v>
      </c>
      <c r="V328" s="107">
        <v>32</v>
      </c>
      <c r="W328" s="108"/>
      <c r="X328" s="109" t="s">
        <v>45</v>
      </c>
      <c r="Y328" s="20">
        <f t="shared" si="15"/>
        <v>1</v>
      </c>
      <c r="AA328" s="98">
        <f t="shared" ref="AA328:AA423" si="16">H328-I328</f>
        <v>0.58999999999999986</v>
      </c>
      <c r="AB328" s="98">
        <f t="shared" ref="AB328:AB423" si="17">R328-H328</f>
        <v>1</v>
      </c>
    </row>
    <row r="329" spans="1:35" ht="22.35" customHeight="1" thickBot="1" x14ac:dyDescent="0.3">
      <c r="A329" s="80"/>
      <c r="B329" s="80">
        <v>5901414205621</v>
      </c>
      <c r="C329" s="81">
        <v>24</v>
      </c>
      <c r="D329" s="23" t="s">
        <v>565</v>
      </c>
      <c r="E329" s="23" t="s">
        <v>566</v>
      </c>
      <c r="F329" s="82" t="s">
        <v>567</v>
      </c>
      <c r="G329" s="21">
        <v>1</v>
      </c>
      <c r="H329" s="191">
        <v>19.899999999999999</v>
      </c>
      <c r="I329" s="21">
        <v>18.75</v>
      </c>
      <c r="J329" s="23" t="s">
        <v>568</v>
      </c>
      <c r="K329" s="86">
        <v>2114990</v>
      </c>
      <c r="L329" s="86">
        <v>4</v>
      </c>
      <c r="M329" s="86"/>
      <c r="N329" s="87">
        <v>0</v>
      </c>
      <c r="O329" s="223">
        <v>277</v>
      </c>
      <c r="P329" s="224">
        <v>1</v>
      </c>
      <c r="Q329" s="224">
        <v>1</v>
      </c>
      <c r="R329" s="225">
        <v>21.9</v>
      </c>
      <c r="S329" s="226" t="s">
        <v>568</v>
      </c>
      <c r="T329" s="94" t="str">
        <f>INDEX([1]data!$B$1:$B$100,MATCH('04.02 - 10.02'!S329,[0]!exclusive01,))</f>
        <v>DUCANH</v>
      </c>
      <c r="U329" s="106" t="s">
        <v>564</v>
      </c>
      <c r="V329" s="107">
        <v>32</v>
      </c>
      <c r="W329" s="108"/>
      <c r="X329" s="109" t="s">
        <v>55</v>
      </c>
      <c r="Y329" s="20">
        <f t="shared" si="15"/>
        <v>1</v>
      </c>
      <c r="AA329" s="98">
        <f t="shared" si="16"/>
        <v>1.1499999999999986</v>
      </c>
      <c r="AB329" s="98">
        <f t="shared" si="17"/>
        <v>2</v>
      </c>
    </row>
    <row r="330" spans="1:35" ht="22.35" customHeight="1" thickBot="1" x14ac:dyDescent="0.3">
      <c r="A330" s="80"/>
      <c r="B330" s="80">
        <v>8594027771002</v>
      </c>
      <c r="C330" s="81">
        <v>280</v>
      </c>
      <c r="D330" s="23" t="s">
        <v>569</v>
      </c>
      <c r="E330" s="23" t="s">
        <v>428</v>
      </c>
      <c r="F330" s="82" t="s">
        <v>570</v>
      </c>
      <c r="G330" s="21">
        <v>4</v>
      </c>
      <c r="H330" s="277">
        <v>5.9</v>
      </c>
      <c r="I330" s="21">
        <v>5.71</v>
      </c>
      <c r="J330" s="23" t="s">
        <v>571</v>
      </c>
      <c r="K330" s="86">
        <v>2014358</v>
      </c>
      <c r="L330" s="86">
        <v>4</v>
      </c>
      <c r="M330" s="86"/>
      <c r="N330" s="87">
        <v>0</v>
      </c>
      <c r="O330" s="223">
        <v>10516</v>
      </c>
      <c r="P330" s="224">
        <v>1</v>
      </c>
      <c r="Q330" s="224">
        <v>1</v>
      </c>
      <c r="R330" s="225">
        <v>6.9</v>
      </c>
      <c r="S330" s="226" t="s">
        <v>571</v>
      </c>
      <c r="T330" s="94" t="str">
        <f>INDEX([1]data!$B$1:$B$100,MATCH('04.02 - 10.02'!S330,[0]!exclusive01,))</f>
        <v>DUCANH</v>
      </c>
      <c r="U330" s="106" t="s">
        <v>419</v>
      </c>
      <c r="V330" s="107">
        <v>32</v>
      </c>
      <c r="W330" s="108">
        <v>1</v>
      </c>
      <c r="X330" s="109" t="s">
        <v>117</v>
      </c>
      <c r="Y330" s="20">
        <f t="shared" si="15"/>
        <v>1</v>
      </c>
      <c r="AA330" s="98">
        <f t="shared" si="16"/>
        <v>0.19000000000000039</v>
      </c>
      <c r="AB330" s="98">
        <f t="shared" si="17"/>
        <v>1</v>
      </c>
    </row>
    <row r="331" spans="1:35" ht="22.35" customHeight="1" thickBot="1" x14ac:dyDescent="0.3">
      <c r="A331" s="209"/>
      <c r="B331" s="209">
        <v>3850102977536</v>
      </c>
      <c r="C331" s="210">
        <v>40</v>
      </c>
      <c r="D331" s="211" t="s">
        <v>572</v>
      </c>
      <c r="E331" s="211"/>
      <c r="F331" s="236" t="s">
        <v>573</v>
      </c>
      <c r="G331" s="213">
        <v>2</v>
      </c>
      <c r="H331" s="191">
        <v>6.9</v>
      </c>
      <c r="I331" s="238">
        <v>6.71</v>
      </c>
      <c r="J331" s="211" t="s">
        <v>574</v>
      </c>
      <c r="K331" s="215">
        <v>2015000</v>
      </c>
      <c r="L331" s="215">
        <v>4</v>
      </c>
      <c r="M331" s="215"/>
      <c r="N331" s="216">
        <v>0</v>
      </c>
      <c r="O331" s="239">
        <v>3165</v>
      </c>
      <c r="P331" s="240">
        <v>1</v>
      </c>
      <c r="Q331" s="154">
        <v>1</v>
      </c>
      <c r="R331" s="241">
        <v>8.1999999999999993</v>
      </c>
      <c r="S331" s="232" t="s">
        <v>574</v>
      </c>
      <c r="T331" s="125" t="str">
        <f>INDEX([1]data!$B$1:$B$100,MATCH('04.02 - 10.02'!S331,[0]!exclusive01,))</f>
        <v>DUCANH</v>
      </c>
      <c r="U331" s="125" t="s">
        <v>575</v>
      </c>
      <c r="V331" s="156">
        <v>32</v>
      </c>
      <c r="W331" s="160"/>
      <c r="X331" s="161" t="s">
        <v>119</v>
      </c>
      <c r="Y331" s="20">
        <f t="shared" si="15"/>
        <v>1</v>
      </c>
      <c r="AA331" s="98">
        <f t="shared" si="16"/>
        <v>0.19000000000000039</v>
      </c>
      <c r="AB331" s="98">
        <f t="shared" si="17"/>
        <v>1.2999999999999989</v>
      </c>
    </row>
    <row r="332" spans="1:35" ht="22.35" customHeight="1" thickBot="1" x14ac:dyDescent="0.3">
      <c r="A332" s="127"/>
      <c r="B332" s="127"/>
      <c r="C332" s="128"/>
      <c r="D332" s="129"/>
      <c r="E332" s="129"/>
      <c r="F332" s="130"/>
      <c r="G332" s="132"/>
      <c r="H332" s="99"/>
      <c r="I332" s="158"/>
      <c r="J332" s="129"/>
      <c r="K332" s="159"/>
      <c r="L332" s="133"/>
      <c r="M332" s="133"/>
      <c r="N332" s="134"/>
      <c r="O332" s="135"/>
      <c r="P332" s="136"/>
      <c r="Q332" s="137"/>
      <c r="R332" s="138"/>
      <c r="S332" s="139" t="s">
        <v>138</v>
      </c>
      <c r="T332" s="140" t="s">
        <v>506</v>
      </c>
      <c r="U332" s="94"/>
      <c r="V332" s="95">
        <v>33</v>
      </c>
      <c r="W332" s="160"/>
      <c r="X332" s="161"/>
      <c r="Y332" s="20">
        <f t="shared" si="15"/>
        <v>0</v>
      </c>
      <c r="AA332" s="98">
        <f t="shared" si="16"/>
        <v>0</v>
      </c>
      <c r="AB332" s="98">
        <f t="shared" si="17"/>
        <v>0</v>
      </c>
      <c r="AC332" s="110"/>
      <c r="AD332" s="77"/>
      <c r="AE332" s="77"/>
      <c r="AF332" s="75"/>
      <c r="AG332" s="75"/>
      <c r="AH332" s="75"/>
      <c r="AI332" s="75"/>
    </row>
    <row r="333" spans="1:35" ht="22.35" customHeight="1" thickBot="1" x14ac:dyDescent="0.3">
      <c r="A333" s="80"/>
      <c r="B333" s="80"/>
      <c r="F333" s="141"/>
      <c r="H333" s="99"/>
      <c r="I333" s="84"/>
      <c r="K333" s="86"/>
      <c r="L333" s="86"/>
      <c r="M333" s="86"/>
      <c r="O333" s="100"/>
      <c r="P333" s="143"/>
      <c r="Q333" s="102"/>
      <c r="R333" s="103"/>
      <c r="S333" s="144" t="s">
        <v>138</v>
      </c>
      <c r="T333" s="112" t="s">
        <v>506</v>
      </c>
      <c r="U333" s="106"/>
      <c r="V333" s="107">
        <v>33</v>
      </c>
      <c r="W333" s="160"/>
      <c r="X333" s="161"/>
      <c r="Y333" s="20">
        <f t="shared" si="15"/>
        <v>0</v>
      </c>
      <c r="AA333" s="98">
        <f t="shared" si="16"/>
        <v>0</v>
      </c>
      <c r="AB333" s="98">
        <f t="shared" si="17"/>
        <v>0</v>
      </c>
      <c r="AC333" s="110"/>
      <c r="AD333" s="77"/>
      <c r="AE333" s="77"/>
      <c r="AF333" s="75"/>
      <c r="AG333" s="75"/>
      <c r="AH333" s="75"/>
      <c r="AI333" s="75"/>
    </row>
    <row r="334" spans="1:35" ht="22.35" customHeight="1" thickBot="1" x14ac:dyDescent="0.3">
      <c r="A334" s="80"/>
      <c r="B334" s="80"/>
      <c r="F334" s="141"/>
      <c r="H334" s="99"/>
      <c r="I334" s="84"/>
      <c r="K334" s="86"/>
      <c r="L334" s="86"/>
      <c r="M334" s="86"/>
      <c r="O334" s="100"/>
      <c r="P334" s="143"/>
      <c r="Q334" s="90"/>
      <c r="R334" s="91"/>
      <c r="S334" s="144" t="s">
        <v>138</v>
      </c>
      <c r="T334" s="112" t="s">
        <v>506</v>
      </c>
      <c r="U334" s="106"/>
      <c r="V334" s="107">
        <v>33</v>
      </c>
      <c r="W334" s="160"/>
      <c r="X334" s="161"/>
      <c r="Y334" s="20">
        <f t="shared" si="15"/>
        <v>0</v>
      </c>
      <c r="AA334" s="98">
        <f t="shared" si="16"/>
        <v>0</v>
      </c>
      <c r="AB334" s="98">
        <f t="shared" si="17"/>
        <v>0</v>
      </c>
      <c r="AC334" s="110"/>
      <c r="AD334" s="77"/>
      <c r="AE334" s="77"/>
      <c r="AF334" s="75"/>
      <c r="AG334" s="75"/>
      <c r="AH334" s="75"/>
      <c r="AI334" s="75"/>
    </row>
    <row r="335" spans="1:35" ht="22.35" customHeight="1" thickBot="1" x14ac:dyDescent="0.3">
      <c r="A335" s="80"/>
      <c r="B335" s="80"/>
      <c r="F335" s="141"/>
      <c r="H335" s="99"/>
      <c r="I335" s="84"/>
      <c r="K335" s="86"/>
      <c r="L335" s="86"/>
      <c r="M335" s="86"/>
      <c r="O335" s="100"/>
      <c r="P335" s="143"/>
      <c r="Q335" s="90"/>
      <c r="R335" s="91"/>
      <c r="S335" s="144" t="s">
        <v>138</v>
      </c>
      <c r="T335" s="112" t="s">
        <v>506</v>
      </c>
      <c r="U335" s="106"/>
      <c r="V335" s="107">
        <v>33</v>
      </c>
      <c r="W335" s="160"/>
      <c r="X335" s="161"/>
      <c r="Y335" s="20">
        <f t="shared" si="15"/>
        <v>0</v>
      </c>
      <c r="AA335" s="98">
        <f t="shared" si="16"/>
        <v>0</v>
      </c>
      <c r="AB335" s="98">
        <f t="shared" si="17"/>
        <v>0</v>
      </c>
      <c r="AC335" s="110"/>
      <c r="AD335" s="77"/>
      <c r="AE335" s="77"/>
      <c r="AF335" s="75"/>
      <c r="AG335" s="75"/>
      <c r="AH335" s="75"/>
      <c r="AI335" s="75"/>
    </row>
    <row r="336" spans="1:35" ht="22.35" customHeight="1" thickBot="1" x14ac:dyDescent="0.3">
      <c r="A336" s="80"/>
      <c r="B336" s="80"/>
      <c r="F336" s="141"/>
      <c r="H336" s="99"/>
      <c r="I336" s="84"/>
      <c r="K336" s="86"/>
      <c r="L336" s="86"/>
      <c r="M336" s="86"/>
      <c r="O336" s="100"/>
      <c r="P336" s="143"/>
      <c r="Q336" s="90"/>
      <c r="R336" s="91"/>
      <c r="S336" s="144" t="s">
        <v>138</v>
      </c>
      <c r="T336" s="112" t="s">
        <v>506</v>
      </c>
      <c r="U336" s="106"/>
      <c r="V336" s="107">
        <v>33</v>
      </c>
      <c r="W336" s="160"/>
      <c r="X336" s="161"/>
      <c r="Y336" s="20">
        <f t="shared" si="15"/>
        <v>0</v>
      </c>
      <c r="AA336" s="98">
        <f t="shared" si="16"/>
        <v>0</v>
      </c>
      <c r="AB336" s="98">
        <f t="shared" si="17"/>
        <v>0</v>
      </c>
      <c r="AC336" s="110"/>
      <c r="AD336" s="77"/>
      <c r="AE336" s="77"/>
      <c r="AF336" s="75"/>
      <c r="AG336" s="75"/>
      <c r="AH336" s="75"/>
      <c r="AI336" s="75"/>
    </row>
    <row r="337" spans="1:35" ht="22.35" customHeight="1" thickBot="1" x14ac:dyDescent="0.3">
      <c r="A337" s="80"/>
      <c r="B337" s="80"/>
      <c r="F337" s="141"/>
      <c r="H337" s="99"/>
      <c r="I337" s="84"/>
      <c r="K337" s="86"/>
      <c r="L337" s="86"/>
      <c r="M337" s="86"/>
      <c r="O337" s="100"/>
      <c r="P337" s="143"/>
      <c r="Q337" s="90"/>
      <c r="R337" s="91"/>
      <c r="S337" s="144" t="s">
        <v>138</v>
      </c>
      <c r="T337" s="112" t="s">
        <v>506</v>
      </c>
      <c r="U337" s="106"/>
      <c r="V337" s="107">
        <v>33</v>
      </c>
      <c r="W337" s="160"/>
      <c r="X337" s="161"/>
      <c r="Y337" s="20">
        <f t="shared" si="15"/>
        <v>0</v>
      </c>
      <c r="AA337" s="98">
        <f t="shared" si="16"/>
        <v>0</v>
      </c>
      <c r="AB337" s="98">
        <f t="shared" si="17"/>
        <v>0</v>
      </c>
      <c r="AC337" s="110"/>
      <c r="AD337" s="77"/>
      <c r="AE337" s="77"/>
      <c r="AF337" s="75"/>
      <c r="AG337" s="75"/>
      <c r="AH337" s="75"/>
      <c r="AI337" s="75"/>
    </row>
    <row r="338" spans="1:35" ht="22.35" customHeight="1" thickBot="1" x14ac:dyDescent="0.3">
      <c r="A338" s="80"/>
      <c r="B338" s="80"/>
      <c r="F338" s="141"/>
      <c r="H338" s="99"/>
      <c r="I338" s="84"/>
      <c r="K338" s="86"/>
      <c r="L338" s="86"/>
      <c r="M338" s="86"/>
      <c r="O338" s="100"/>
      <c r="P338" s="143"/>
      <c r="Q338" s="90"/>
      <c r="R338" s="91"/>
      <c r="S338" s="144" t="s">
        <v>138</v>
      </c>
      <c r="T338" s="112" t="s">
        <v>506</v>
      </c>
      <c r="U338" s="106"/>
      <c r="V338" s="107">
        <v>33</v>
      </c>
      <c r="W338" s="160"/>
      <c r="X338" s="161"/>
      <c r="Y338" s="20">
        <f t="shared" si="15"/>
        <v>0</v>
      </c>
      <c r="AA338" s="98">
        <f t="shared" si="16"/>
        <v>0</v>
      </c>
      <c r="AB338" s="98">
        <f t="shared" si="17"/>
        <v>0</v>
      </c>
      <c r="AC338" s="110"/>
      <c r="AD338" s="77"/>
      <c r="AE338" s="77"/>
      <c r="AF338" s="75"/>
      <c r="AG338" s="75"/>
      <c r="AH338" s="75"/>
      <c r="AI338" s="75"/>
    </row>
    <row r="339" spans="1:35" ht="22.35" customHeight="1" thickBot="1" x14ac:dyDescent="0.3">
      <c r="A339" s="80"/>
      <c r="B339" s="80"/>
      <c r="F339" s="141"/>
      <c r="H339" s="99"/>
      <c r="I339" s="84"/>
      <c r="K339" s="86"/>
      <c r="L339" s="86"/>
      <c r="M339" s="86"/>
      <c r="O339" s="100"/>
      <c r="P339" s="143"/>
      <c r="Q339" s="90"/>
      <c r="R339" s="91"/>
      <c r="S339" s="144" t="s">
        <v>138</v>
      </c>
      <c r="T339" s="112" t="s">
        <v>506</v>
      </c>
      <c r="U339" s="106"/>
      <c r="V339" s="107">
        <v>33</v>
      </c>
      <c r="W339" s="160"/>
      <c r="X339" s="161"/>
      <c r="Y339" s="20">
        <f t="shared" si="15"/>
        <v>0</v>
      </c>
      <c r="AA339" s="98">
        <f t="shared" si="16"/>
        <v>0</v>
      </c>
      <c r="AB339" s="98">
        <f t="shared" si="17"/>
        <v>0</v>
      </c>
      <c r="AC339" s="110"/>
      <c r="AD339" s="77"/>
      <c r="AE339" s="77"/>
      <c r="AF339" s="75"/>
      <c r="AG339" s="75"/>
      <c r="AH339" s="75"/>
      <c r="AI339" s="75"/>
    </row>
    <row r="340" spans="1:35" ht="22.35" customHeight="1" thickBot="1" x14ac:dyDescent="0.3">
      <c r="A340" s="80"/>
      <c r="B340" s="80"/>
      <c r="F340" s="141"/>
      <c r="H340" s="99"/>
      <c r="I340" s="84"/>
      <c r="K340" s="86"/>
      <c r="L340" s="86"/>
      <c r="M340" s="86"/>
      <c r="O340" s="100"/>
      <c r="P340" s="143"/>
      <c r="Q340" s="90"/>
      <c r="R340" s="91"/>
      <c r="S340" s="144" t="s">
        <v>138</v>
      </c>
      <c r="T340" s="112" t="s">
        <v>506</v>
      </c>
      <c r="U340" s="106"/>
      <c r="V340" s="107">
        <v>33</v>
      </c>
      <c r="W340" s="160"/>
      <c r="X340" s="161"/>
      <c r="Y340" s="20">
        <f t="shared" si="15"/>
        <v>0</v>
      </c>
      <c r="AA340" s="98">
        <f t="shared" si="16"/>
        <v>0</v>
      </c>
      <c r="AB340" s="98">
        <f t="shared" si="17"/>
        <v>0</v>
      </c>
      <c r="AC340" s="110"/>
      <c r="AD340" s="77"/>
      <c r="AE340" s="77"/>
      <c r="AF340" s="75"/>
      <c r="AG340" s="75"/>
      <c r="AH340" s="75"/>
      <c r="AI340" s="75"/>
    </row>
    <row r="341" spans="1:35" ht="22.35" customHeight="1" thickBot="1" x14ac:dyDescent="0.3">
      <c r="A341" s="80"/>
      <c r="B341" s="80"/>
      <c r="F341" s="141"/>
      <c r="H341" s="99"/>
      <c r="I341" s="84"/>
      <c r="K341" s="86"/>
      <c r="L341" s="86"/>
      <c r="M341" s="86"/>
      <c r="O341" s="100"/>
      <c r="P341" s="143"/>
      <c r="Q341" s="90"/>
      <c r="R341" s="91"/>
      <c r="S341" s="144" t="s">
        <v>138</v>
      </c>
      <c r="T341" s="112" t="s">
        <v>506</v>
      </c>
      <c r="U341" s="106"/>
      <c r="V341" s="107">
        <v>33</v>
      </c>
      <c r="W341" s="160"/>
      <c r="X341" s="161"/>
      <c r="Y341" s="20">
        <f t="shared" si="15"/>
        <v>0</v>
      </c>
      <c r="AA341" s="98">
        <f t="shared" si="16"/>
        <v>0</v>
      </c>
      <c r="AB341" s="98">
        <f t="shared" si="17"/>
        <v>0</v>
      </c>
      <c r="AC341" s="110"/>
      <c r="AD341" s="77"/>
      <c r="AE341" s="77"/>
      <c r="AF341" s="75"/>
      <c r="AG341" s="75"/>
      <c r="AH341" s="75"/>
      <c r="AI341" s="75"/>
    </row>
    <row r="342" spans="1:35" ht="22.35" customHeight="1" thickBot="1" x14ac:dyDescent="0.3">
      <c r="A342" s="80"/>
      <c r="B342" s="80"/>
      <c r="F342" s="141"/>
      <c r="H342" s="99"/>
      <c r="I342" s="84"/>
      <c r="K342" s="86"/>
      <c r="L342" s="86"/>
      <c r="M342" s="86"/>
      <c r="O342" s="100"/>
      <c r="P342" s="143"/>
      <c r="Q342" s="90"/>
      <c r="R342" s="91"/>
      <c r="S342" s="144" t="s">
        <v>138</v>
      </c>
      <c r="T342" s="112" t="s">
        <v>506</v>
      </c>
      <c r="U342" s="106"/>
      <c r="V342" s="107">
        <v>33</v>
      </c>
      <c r="W342" s="160"/>
      <c r="X342" s="161"/>
      <c r="Y342" s="20">
        <f t="shared" si="15"/>
        <v>0</v>
      </c>
      <c r="AA342" s="98">
        <f t="shared" si="16"/>
        <v>0</v>
      </c>
      <c r="AB342" s="98">
        <f t="shared" si="17"/>
        <v>0</v>
      </c>
      <c r="AC342" s="110"/>
      <c r="AD342" s="77"/>
      <c r="AE342" s="77"/>
      <c r="AF342" s="75"/>
      <c r="AG342" s="75"/>
      <c r="AH342" s="75"/>
      <c r="AI342" s="75"/>
    </row>
    <row r="343" spans="1:35" ht="22.35" customHeight="1" thickBot="1" x14ac:dyDescent="0.3">
      <c r="A343" s="80"/>
      <c r="B343" s="80"/>
      <c r="F343" s="141"/>
      <c r="H343" s="99"/>
      <c r="I343" s="84"/>
      <c r="K343" s="86"/>
      <c r="L343" s="86"/>
      <c r="M343" s="86"/>
      <c r="O343" s="100"/>
      <c r="P343" s="143"/>
      <c r="Q343" s="90"/>
      <c r="R343" s="91"/>
      <c r="S343" s="144" t="s">
        <v>138</v>
      </c>
      <c r="T343" s="112" t="s">
        <v>506</v>
      </c>
      <c r="U343" s="106"/>
      <c r="V343" s="107">
        <v>33</v>
      </c>
      <c r="W343" s="160"/>
      <c r="X343" s="161"/>
      <c r="Y343" s="20">
        <f t="shared" si="15"/>
        <v>0</v>
      </c>
      <c r="AA343" s="98">
        <f t="shared" si="16"/>
        <v>0</v>
      </c>
      <c r="AB343" s="98">
        <f t="shared" si="17"/>
        <v>0</v>
      </c>
      <c r="AC343" s="110"/>
      <c r="AD343" s="77"/>
      <c r="AE343" s="77"/>
      <c r="AF343" s="75"/>
      <c r="AG343" s="75"/>
      <c r="AH343" s="75"/>
      <c r="AI343" s="75"/>
    </row>
    <row r="344" spans="1:35" ht="22.35" customHeight="1" thickBot="1" x14ac:dyDescent="0.3">
      <c r="A344" s="80"/>
      <c r="B344" s="80"/>
      <c r="F344" s="141"/>
      <c r="H344" s="99"/>
      <c r="I344" s="84"/>
      <c r="K344" s="86"/>
      <c r="L344" s="86"/>
      <c r="M344" s="86"/>
      <c r="O344" s="100"/>
      <c r="P344" s="143"/>
      <c r="Q344" s="90"/>
      <c r="R344" s="91"/>
      <c r="S344" s="144" t="s">
        <v>138</v>
      </c>
      <c r="T344" s="112" t="s">
        <v>506</v>
      </c>
      <c r="U344" s="106"/>
      <c r="V344" s="107">
        <v>33</v>
      </c>
      <c r="W344" s="160"/>
      <c r="X344" s="161"/>
      <c r="Y344" s="20">
        <f t="shared" si="15"/>
        <v>0</v>
      </c>
      <c r="AA344" s="98">
        <f t="shared" si="16"/>
        <v>0</v>
      </c>
      <c r="AB344" s="98">
        <f t="shared" si="17"/>
        <v>0</v>
      </c>
      <c r="AC344" s="110"/>
      <c r="AD344" s="77"/>
      <c r="AE344" s="77"/>
      <c r="AF344" s="75"/>
      <c r="AG344" s="75"/>
      <c r="AH344" s="75"/>
      <c r="AI344" s="75"/>
    </row>
    <row r="345" spans="1:35" ht="22.35" customHeight="1" thickBot="1" x14ac:dyDescent="0.3">
      <c r="A345" s="80"/>
      <c r="B345" s="80"/>
      <c r="F345" s="141"/>
      <c r="H345" s="99"/>
      <c r="I345" s="84"/>
      <c r="K345" s="86"/>
      <c r="L345" s="86"/>
      <c r="M345" s="86"/>
      <c r="O345" s="100"/>
      <c r="P345" s="143"/>
      <c r="Q345" s="90"/>
      <c r="R345" s="91"/>
      <c r="S345" s="144" t="s">
        <v>138</v>
      </c>
      <c r="T345" s="112" t="s">
        <v>506</v>
      </c>
      <c r="U345" s="106"/>
      <c r="V345" s="107">
        <v>33</v>
      </c>
      <c r="W345" s="160"/>
      <c r="X345" s="161"/>
      <c r="Y345" s="20">
        <f t="shared" si="15"/>
        <v>0</v>
      </c>
      <c r="AA345" s="98">
        <f t="shared" si="16"/>
        <v>0</v>
      </c>
      <c r="AB345" s="98">
        <f t="shared" si="17"/>
        <v>0</v>
      </c>
      <c r="AC345" s="110"/>
      <c r="AD345" s="77"/>
      <c r="AE345" s="77"/>
      <c r="AF345" s="75"/>
      <c r="AG345" s="75"/>
      <c r="AH345" s="75"/>
      <c r="AI345" s="75"/>
    </row>
    <row r="346" spans="1:35" ht="22.35" customHeight="1" thickBot="1" x14ac:dyDescent="0.3">
      <c r="A346" s="80"/>
      <c r="B346" s="80"/>
      <c r="F346" s="141"/>
      <c r="H346" s="99"/>
      <c r="I346" s="84"/>
      <c r="K346" s="86"/>
      <c r="L346" s="86"/>
      <c r="M346" s="86"/>
      <c r="O346" s="100"/>
      <c r="P346" s="143"/>
      <c r="Q346" s="90"/>
      <c r="R346" s="91"/>
      <c r="S346" s="144" t="s">
        <v>138</v>
      </c>
      <c r="T346" s="112" t="s">
        <v>506</v>
      </c>
      <c r="U346" s="106"/>
      <c r="V346" s="107">
        <v>33</v>
      </c>
      <c r="W346" s="160"/>
      <c r="X346" s="161"/>
      <c r="Y346" s="20">
        <f t="shared" si="15"/>
        <v>0</v>
      </c>
      <c r="AA346" s="98">
        <f t="shared" si="16"/>
        <v>0</v>
      </c>
      <c r="AB346" s="98">
        <f t="shared" si="17"/>
        <v>0</v>
      </c>
      <c r="AC346" s="110"/>
      <c r="AD346" s="77"/>
      <c r="AE346" s="77"/>
      <c r="AF346" s="75"/>
      <c r="AG346" s="75"/>
      <c r="AH346" s="75"/>
      <c r="AI346" s="75"/>
    </row>
    <row r="347" spans="1:35" ht="22.35" customHeight="1" thickBot="1" x14ac:dyDescent="0.3">
      <c r="A347" s="252"/>
      <c r="B347" s="252"/>
      <c r="C347" s="253"/>
      <c r="D347" s="254"/>
      <c r="E347" s="254"/>
      <c r="F347" s="195"/>
      <c r="G347" s="196"/>
      <c r="H347" s="255"/>
      <c r="I347" s="256"/>
      <c r="J347" s="257"/>
      <c r="K347" s="258"/>
      <c r="L347" s="258"/>
      <c r="M347" s="258"/>
      <c r="N347" s="228"/>
      <c r="O347" s="200"/>
      <c r="P347" s="202"/>
      <c r="Q347" s="259"/>
      <c r="R347" s="260"/>
      <c r="S347" s="155" t="s">
        <v>138</v>
      </c>
      <c r="T347" s="124" t="s">
        <v>506</v>
      </c>
      <c r="U347" s="125"/>
      <c r="V347" s="126">
        <v>33</v>
      </c>
      <c r="W347" s="160"/>
      <c r="X347" s="161"/>
      <c r="Y347" s="20">
        <f t="shared" si="15"/>
        <v>0</v>
      </c>
      <c r="AA347" s="98">
        <f t="shared" si="16"/>
        <v>0</v>
      </c>
      <c r="AB347" s="98">
        <f t="shared" si="17"/>
        <v>0</v>
      </c>
      <c r="AC347" s="110"/>
      <c r="AD347" s="77"/>
      <c r="AE347" s="77"/>
      <c r="AF347" s="75"/>
      <c r="AG347" s="75"/>
      <c r="AH347" s="75"/>
      <c r="AI347" s="75"/>
    </row>
    <row r="348" spans="1:35" ht="22.35" customHeight="1" thickBot="1" x14ac:dyDescent="0.3">
      <c r="A348" s="127"/>
      <c r="B348" s="127"/>
      <c r="C348" s="128"/>
      <c r="D348" s="129"/>
      <c r="E348" s="129"/>
      <c r="F348" s="130"/>
      <c r="G348" s="132"/>
      <c r="H348" s="99"/>
      <c r="I348" s="158"/>
      <c r="J348" s="129"/>
      <c r="K348" s="159"/>
      <c r="L348" s="133"/>
      <c r="M348" s="133"/>
      <c r="N348" s="134"/>
      <c r="O348" s="135"/>
      <c r="P348" s="136"/>
      <c r="Q348" s="137"/>
      <c r="R348" s="138"/>
      <c r="S348" s="144" t="s">
        <v>138</v>
      </c>
      <c r="T348" s="112" t="s">
        <v>506</v>
      </c>
      <c r="U348" s="106"/>
      <c r="V348" s="107">
        <v>34</v>
      </c>
      <c r="W348" s="160"/>
      <c r="X348" s="161"/>
      <c r="Y348" s="20">
        <f t="shared" si="15"/>
        <v>0</v>
      </c>
      <c r="AA348" s="98">
        <f t="shared" si="16"/>
        <v>0</v>
      </c>
      <c r="AB348" s="98">
        <f t="shared" si="17"/>
        <v>0</v>
      </c>
      <c r="AC348" s="110"/>
      <c r="AD348" s="77"/>
      <c r="AE348" s="77"/>
      <c r="AF348" s="75"/>
      <c r="AG348" s="75"/>
      <c r="AH348" s="75"/>
      <c r="AI348" s="75"/>
    </row>
    <row r="349" spans="1:35" ht="22.35" customHeight="1" thickBot="1" x14ac:dyDescent="0.3">
      <c r="A349" s="80"/>
      <c r="B349" s="80"/>
      <c r="F349" s="141"/>
      <c r="H349" s="99"/>
      <c r="I349" s="84"/>
      <c r="K349" s="86"/>
      <c r="L349" s="86"/>
      <c r="M349" s="86"/>
      <c r="O349" s="100"/>
      <c r="P349" s="143"/>
      <c r="Q349" s="102"/>
      <c r="R349" s="103"/>
      <c r="S349" s="144" t="s">
        <v>138</v>
      </c>
      <c r="T349" s="112" t="s">
        <v>506</v>
      </c>
      <c r="U349" s="106"/>
      <c r="V349" s="107">
        <v>34</v>
      </c>
      <c r="W349" s="160"/>
      <c r="X349" s="161"/>
      <c r="Y349" s="20">
        <f t="shared" si="15"/>
        <v>0</v>
      </c>
      <c r="AA349" s="98">
        <f t="shared" si="16"/>
        <v>0</v>
      </c>
      <c r="AB349" s="98">
        <f t="shared" si="17"/>
        <v>0</v>
      </c>
      <c r="AC349" s="110"/>
      <c r="AD349" s="77"/>
      <c r="AE349" s="77"/>
      <c r="AF349" s="75"/>
      <c r="AG349" s="75"/>
      <c r="AH349" s="75"/>
      <c r="AI349" s="75"/>
    </row>
    <row r="350" spans="1:35" ht="22.35" customHeight="1" thickBot="1" x14ac:dyDescent="0.3">
      <c r="A350" s="80"/>
      <c r="B350" s="80"/>
      <c r="F350" s="141"/>
      <c r="H350" s="99"/>
      <c r="I350" s="84"/>
      <c r="K350" s="86"/>
      <c r="L350" s="86"/>
      <c r="M350" s="86"/>
      <c r="O350" s="100"/>
      <c r="P350" s="143"/>
      <c r="Q350" s="90"/>
      <c r="R350" s="91"/>
      <c r="S350" s="144" t="s">
        <v>138</v>
      </c>
      <c r="T350" s="112" t="s">
        <v>506</v>
      </c>
      <c r="U350" s="106"/>
      <c r="V350" s="107">
        <v>34</v>
      </c>
      <c r="W350" s="160"/>
      <c r="X350" s="161"/>
      <c r="Y350" s="20">
        <f t="shared" si="15"/>
        <v>0</v>
      </c>
      <c r="AA350" s="98">
        <f t="shared" si="16"/>
        <v>0</v>
      </c>
      <c r="AB350" s="98">
        <f t="shared" si="17"/>
        <v>0</v>
      </c>
      <c r="AC350" s="110"/>
      <c r="AD350" s="77"/>
      <c r="AE350" s="77"/>
      <c r="AF350" s="75"/>
      <c r="AG350" s="75"/>
      <c r="AH350" s="75"/>
      <c r="AI350" s="75"/>
    </row>
    <row r="351" spans="1:35" ht="22.35" customHeight="1" thickBot="1" x14ac:dyDescent="0.3">
      <c r="A351" s="80"/>
      <c r="B351" s="80"/>
      <c r="F351" s="141"/>
      <c r="H351" s="99"/>
      <c r="I351" s="84"/>
      <c r="K351" s="86"/>
      <c r="L351" s="86"/>
      <c r="M351" s="86"/>
      <c r="O351" s="100"/>
      <c r="P351" s="143"/>
      <c r="Q351" s="90"/>
      <c r="R351" s="91"/>
      <c r="S351" s="144" t="s">
        <v>138</v>
      </c>
      <c r="T351" s="112" t="s">
        <v>506</v>
      </c>
      <c r="U351" s="106"/>
      <c r="V351" s="107">
        <v>34</v>
      </c>
      <c r="W351" s="108"/>
      <c r="X351" s="109"/>
      <c r="Y351" s="20">
        <f t="shared" si="15"/>
        <v>0</v>
      </c>
      <c r="AA351" s="98">
        <f t="shared" si="16"/>
        <v>0</v>
      </c>
      <c r="AB351" s="98">
        <f t="shared" si="17"/>
        <v>0</v>
      </c>
      <c r="AC351" s="110"/>
      <c r="AD351" s="77"/>
      <c r="AE351" s="77"/>
      <c r="AF351" s="75"/>
      <c r="AG351" s="75"/>
      <c r="AH351" s="75"/>
      <c r="AI351" s="75"/>
    </row>
    <row r="352" spans="1:35" ht="22.35" customHeight="1" thickBot="1" x14ac:dyDescent="0.3">
      <c r="A352" s="80"/>
      <c r="B352" s="80"/>
      <c r="F352" s="141"/>
      <c r="H352" s="99"/>
      <c r="I352" s="84"/>
      <c r="K352" s="86"/>
      <c r="L352" s="86"/>
      <c r="M352" s="86"/>
      <c r="O352" s="100"/>
      <c r="P352" s="143"/>
      <c r="Q352" s="90"/>
      <c r="R352" s="91"/>
      <c r="S352" s="144" t="s">
        <v>138</v>
      </c>
      <c r="T352" s="112" t="s">
        <v>506</v>
      </c>
      <c r="U352" s="106"/>
      <c r="V352" s="107">
        <v>34</v>
      </c>
      <c r="W352" s="108"/>
      <c r="X352" s="109"/>
      <c r="Y352" s="20">
        <f t="shared" si="15"/>
        <v>0</v>
      </c>
      <c r="AA352" s="98">
        <f t="shared" si="16"/>
        <v>0</v>
      </c>
      <c r="AB352" s="98">
        <f t="shared" si="17"/>
        <v>0</v>
      </c>
      <c r="AC352" s="110"/>
      <c r="AD352" s="77"/>
      <c r="AE352" s="77"/>
      <c r="AF352" s="75"/>
      <c r="AG352" s="75"/>
      <c r="AH352" s="75"/>
      <c r="AI352" s="75"/>
    </row>
    <row r="353" spans="1:35" ht="22.35" customHeight="1" thickBot="1" x14ac:dyDescent="0.3">
      <c r="A353" s="80"/>
      <c r="B353" s="80"/>
      <c r="F353" s="141"/>
      <c r="H353" s="99"/>
      <c r="I353" s="84"/>
      <c r="K353" s="86"/>
      <c r="L353" s="86"/>
      <c r="M353" s="86"/>
      <c r="O353" s="100"/>
      <c r="P353" s="143"/>
      <c r="Q353" s="90"/>
      <c r="R353" s="91"/>
      <c r="S353" s="144" t="s">
        <v>138</v>
      </c>
      <c r="T353" s="112" t="s">
        <v>506</v>
      </c>
      <c r="U353" s="106"/>
      <c r="V353" s="107">
        <v>34</v>
      </c>
      <c r="W353" s="108"/>
      <c r="X353" s="109"/>
      <c r="Y353" s="20">
        <f t="shared" si="15"/>
        <v>0</v>
      </c>
      <c r="AA353" s="98">
        <f t="shared" si="16"/>
        <v>0</v>
      </c>
      <c r="AB353" s="98">
        <f t="shared" si="17"/>
        <v>0</v>
      </c>
      <c r="AC353" s="110"/>
      <c r="AD353" s="77"/>
      <c r="AE353" s="77"/>
      <c r="AF353" s="75"/>
      <c r="AG353" s="75"/>
      <c r="AH353" s="75"/>
      <c r="AI353" s="75"/>
    </row>
    <row r="354" spans="1:35" ht="22.35" customHeight="1" thickBot="1" x14ac:dyDescent="0.3">
      <c r="A354" s="80"/>
      <c r="B354" s="80"/>
      <c r="F354" s="141"/>
      <c r="H354" s="99"/>
      <c r="I354" s="84"/>
      <c r="K354" s="86"/>
      <c r="L354" s="86"/>
      <c r="M354" s="86"/>
      <c r="O354" s="100"/>
      <c r="P354" s="143"/>
      <c r="Q354" s="90"/>
      <c r="R354" s="91"/>
      <c r="S354" s="144" t="s">
        <v>138</v>
      </c>
      <c r="T354" s="112" t="s">
        <v>506</v>
      </c>
      <c r="U354" s="106"/>
      <c r="V354" s="107">
        <v>34</v>
      </c>
      <c r="W354" s="108"/>
      <c r="X354" s="109"/>
      <c r="Y354" s="20">
        <f t="shared" si="15"/>
        <v>0</v>
      </c>
      <c r="AA354" s="98">
        <f t="shared" si="16"/>
        <v>0</v>
      </c>
      <c r="AB354" s="98">
        <f t="shared" si="17"/>
        <v>0</v>
      </c>
      <c r="AC354" s="110"/>
      <c r="AD354" s="77"/>
      <c r="AE354" s="77"/>
      <c r="AF354" s="75"/>
      <c r="AG354" s="75"/>
      <c r="AH354" s="75"/>
      <c r="AI354" s="75"/>
    </row>
    <row r="355" spans="1:35" ht="22.35" customHeight="1" thickBot="1" x14ac:dyDescent="0.3">
      <c r="A355" s="80"/>
      <c r="B355" s="80"/>
      <c r="F355" s="141"/>
      <c r="H355" s="99"/>
      <c r="I355" s="84"/>
      <c r="K355" s="86"/>
      <c r="L355" s="86"/>
      <c r="M355" s="86"/>
      <c r="O355" s="100"/>
      <c r="P355" s="143"/>
      <c r="Q355" s="90"/>
      <c r="R355" s="91"/>
      <c r="S355" s="144" t="s">
        <v>138</v>
      </c>
      <c r="T355" s="112" t="s">
        <v>506</v>
      </c>
      <c r="U355" s="106"/>
      <c r="V355" s="107">
        <v>34</v>
      </c>
      <c r="W355" s="108"/>
      <c r="X355" s="109"/>
      <c r="Y355" s="20">
        <f t="shared" si="15"/>
        <v>0</v>
      </c>
      <c r="AA355" s="98">
        <f t="shared" si="16"/>
        <v>0</v>
      </c>
      <c r="AB355" s="98">
        <f t="shared" si="17"/>
        <v>0</v>
      </c>
      <c r="AC355" s="110"/>
      <c r="AD355" s="77"/>
      <c r="AE355" s="77"/>
      <c r="AF355" s="75"/>
      <c r="AG355" s="75"/>
      <c r="AH355" s="75"/>
      <c r="AI355" s="75"/>
    </row>
    <row r="356" spans="1:35" ht="22.35" customHeight="1" thickBot="1" x14ac:dyDescent="0.3">
      <c r="A356" s="80"/>
      <c r="B356" s="80"/>
      <c r="F356" s="141"/>
      <c r="H356" s="99"/>
      <c r="I356" s="84"/>
      <c r="K356" s="86"/>
      <c r="L356" s="86"/>
      <c r="M356" s="86"/>
      <c r="O356" s="100"/>
      <c r="P356" s="143"/>
      <c r="Q356" s="90"/>
      <c r="R356" s="91"/>
      <c r="S356" s="144" t="s">
        <v>138</v>
      </c>
      <c r="T356" s="112" t="s">
        <v>506</v>
      </c>
      <c r="U356" s="106"/>
      <c r="V356" s="107">
        <v>34</v>
      </c>
      <c r="W356" s="108"/>
      <c r="X356" s="109"/>
      <c r="Y356" s="20">
        <f t="shared" si="15"/>
        <v>0</v>
      </c>
      <c r="AA356" s="98">
        <f t="shared" si="16"/>
        <v>0</v>
      </c>
      <c r="AB356" s="98">
        <f t="shared" si="17"/>
        <v>0</v>
      </c>
      <c r="AC356" s="110"/>
      <c r="AD356" s="77"/>
      <c r="AE356" s="77"/>
      <c r="AF356" s="75"/>
      <c r="AG356" s="75"/>
      <c r="AH356" s="75"/>
      <c r="AI356" s="75"/>
    </row>
    <row r="357" spans="1:35" ht="22.35" customHeight="1" thickBot="1" x14ac:dyDescent="0.3">
      <c r="A357" s="80"/>
      <c r="B357" s="80"/>
      <c r="F357" s="141"/>
      <c r="H357" s="99"/>
      <c r="I357" s="84"/>
      <c r="K357" s="86"/>
      <c r="L357" s="86"/>
      <c r="M357" s="86"/>
      <c r="O357" s="100"/>
      <c r="P357" s="143"/>
      <c r="Q357" s="90"/>
      <c r="R357" s="91"/>
      <c r="S357" s="144" t="s">
        <v>138</v>
      </c>
      <c r="T357" s="112" t="s">
        <v>506</v>
      </c>
      <c r="U357" s="106"/>
      <c r="V357" s="107">
        <v>34</v>
      </c>
      <c r="W357" s="108"/>
      <c r="X357" s="109"/>
      <c r="Y357" s="20">
        <f t="shared" si="15"/>
        <v>0</v>
      </c>
      <c r="AA357" s="98">
        <f t="shared" si="16"/>
        <v>0</v>
      </c>
      <c r="AB357" s="98">
        <f t="shared" si="17"/>
        <v>0</v>
      </c>
      <c r="AC357" s="110"/>
      <c r="AD357" s="77"/>
      <c r="AE357" s="77"/>
      <c r="AF357" s="75"/>
      <c r="AG357" s="75"/>
      <c r="AH357" s="75"/>
      <c r="AI357" s="75"/>
    </row>
    <row r="358" spans="1:35" ht="22.35" customHeight="1" thickBot="1" x14ac:dyDescent="0.3">
      <c r="A358" s="80"/>
      <c r="B358" s="80"/>
      <c r="F358" s="141"/>
      <c r="H358" s="99"/>
      <c r="I358" s="84"/>
      <c r="K358" s="86"/>
      <c r="L358" s="86"/>
      <c r="M358" s="86"/>
      <c r="O358" s="100"/>
      <c r="P358" s="143"/>
      <c r="Q358" s="90"/>
      <c r="R358" s="91"/>
      <c r="S358" s="144" t="s">
        <v>138</v>
      </c>
      <c r="T358" s="112" t="s">
        <v>506</v>
      </c>
      <c r="U358" s="106"/>
      <c r="V358" s="107">
        <v>34</v>
      </c>
      <c r="W358" s="108"/>
      <c r="X358" s="109"/>
      <c r="Y358" s="20">
        <f t="shared" si="15"/>
        <v>0</v>
      </c>
      <c r="AA358" s="98">
        <f t="shared" si="16"/>
        <v>0</v>
      </c>
      <c r="AB358" s="98">
        <f t="shared" si="17"/>
        <v>0</v>
      </c>
      <c r="AC358" s="110"/>
      <c r="AD358" s="77"/>
      <c r="AE358" s="77"/>
      <c r="AF358" s="75"/>
      <c r="AG358" s="75"/>
      <c r="AH358" s="75"/>
      <c r="AI358" s="75"/>
    </row>
    <row r="359" spans="1:35" ht="22.35" customHeight="1" thickBot="1" x14ac:dyDescent="0.3">
      <c r="A359" s="80"/>
      <c r="B359" s="80"/>
      <c r="F359" s="141"/>
      <c r="H359" s="99"/>
      <c r="I359" s="84"/>
      <c r="K359" s="86"/>
      <c r="L359" s="86"/>
      <c r="M359" s="86"/>
      <c r="O359" s="100"/>
      <c r="P359" s="143"/>
      <c r="Q359" s="90"/>
      <c r="R359" s="91"/>
      <c r="S359" s="144" t="s">
        <v>138</v>
      </c>
      <c r="T359" s="112" t="s">
        <v>506</v>
      </c>
      <c r="U359" s="106"/>
      <c r="V359" s="107">
        <v>34</v>
      </c>
      <c r="W359" s="108"/>
      <c r="X359" s="109"/>
      <c r="Y359" s="20">
        <f t="shared" si="15"/>
        <v>0</v>
      </c>
      <c r="AA359" s="98">
        <f t="shared" si="16"/>
        <v>0</v>
      </c>
      <c r="AB359" s="98">
        <f t="shared" si="17"/>
        <v>0</v>
      </c>
      <c r="AC359" s="110"/>
      <c r="AD359" s="77"/>
      <c r="AE359" s="77"/>
      <c r="AF359" s="75"/>
      <c r="AG359" s="75"/>
      <c r="AH359" s="75"/>
      <c r="AI359" s="75"/>
    </row>
    <row r="360" spans="1:35" ht="22.35" customHeight="1" thickBot="1" x14ac:dyDescent="0.3">
      <c r="A360" s="80"/>
      <c r="B360" s="80"/>
      <c r="F360" s="141"/>
      <c r="H360" s="99"/>
      <c r="I360" s="84"/>
      <c r="K360" s="86"/>
      <c r="L360" s="86"/>
      <c r="M360" s="86"/>
      <c r="O360" s="100"/>
      <c r="P360" s="143"/>
      <c r="Q360" s="90"/>
      <c r="R360" s="91"/>
      <c r="S360" s="144" t="s">
        <v>138</v>
      </c>
      <c r="T360" s="112" t="s">
        <v>506</v>
      </c>
      <c r="U360" s="106"/>
      <c r="V360" s="107">
        <v>34</v>
      </c>
      <c r="W360" s="108"/>
      <c r="X360" s="109"/>
      <c r="Y360" s="20">
        <f t="shared" si="15"/>
        <v>0</v>
      </c>
      <c r="AA360" s="98">
        <f t="shared" si="16"/>
        <v>0</v>
      </c>
      <c r="AB360" s="98">
        <f t="shared" si="17"/>
        <v>0</v>
      </c>
      <c r="AC360" s="110"/>
      <c r="AD360" s="77"/>
      <c r="AE360" s="77"/>
      <c r="AF360" s="75"/>
      <c r="AG360" s="75"/>
      <c r="AH360" s="75"/>
      <c r="AI360" s="75"/>
    </row>
    <row r="361" spans="1:35" ht="22.35" customHeight="1" thickBot="1" x14ac:dyDescent="0.3">
      <c r="A361" s="80"/>
      <c r="B361" s="80"/>
      <c r="F361" s="141"/>
      <c r="H361" s="99"/>
      <c r="I361" s="84"/>
      <c r="K361" s="86"/>
      <c r="L361" s="86"/>
      <c r="M361" s="86"/>
      <c r="O361" s="100"/>
      <c r="P361" s="143"/>
      <c r="Q361" s="90"/>
      <c r="R361" s="91"/>
      <c r="S361" s="144" t="s">
        <v>138</v>
      </c>
      <c r="T361" s="112" t="s">
        <v>506</v>
      </c>
      <c r="U361" s="106"/>
      <c r="V361" s="107">
        <v>34</v>
      </c>
      <c r="W361" s="160"/>
      <c r="X361" s="161"/>
      <c r="Y361" s="20">
        <f t="shared" si="15"/>
        <v>0</v>
      </c>
      <c r="AA361" s="98">
        <f t="shared" si="16"/>
        <v>0</v>
      </c>
      <c r="AB361" s="98">
        <f t="shared" si="17"/>
        <v>0</v>
      </c>
      <c r="AC361" s="110"/>
      <c r="AD361" s="77"/>
      <c r="AE361" s="77"/>
      <c r="AF361" s="75"/>
      <c r="AG361" s="75"/>
      <c r="AH361" s="75"/>
      <c r="AI361" s="75"/>
    </row>
    <row r="362" spans="1:35" ht="22.35" customHeight="1" thickBot="1" x14ac:dyDescent="0.3">
      <c r="A362" s="80"/>
      <c r="B362" s="80"/>
      <c r="F362" s="141"/>
      <c r="H362" s="99"/>
      <c r="I362" s="84"/>
      <c r="K362" s="86"/>
      <c r="L362" s="86"/>
      <c r="M362" s="86"/>
      <c r="O362" s="100"/>
      <c r="P362" s="143"/>
      <c r="Q362" s="90"/>
      <c r="R362" s="91"/>
      <c r="S362" s="144" t="s">
        <v>138</v>
      </c>
      <c r="T362" s="112" t="s">
        <v>506</v>
      </c>
      <c r="U362" s="106"/>
      <c r="V362" s="107">
        <v>34</v>
      </c>
      <c r="W362" s="160"/>
      <c r="X362" s="161"/>
      <c r="Y362" s="20">
        <f t="shared" si="15"/>
        <v>0</v>
      </c>
      <c r="AA362" s="98">
        <f t="shared" si="16"/>
        <v>0</v>
      </c>
      <c r="AB362" s="98">
        <f t="shared" si="17"/>
        <v>0</v>
      </c>
      <c r="AC362" s="110"/>
      <c r="AD362" s="77"/>
      <c r="AE362" s="77"/>
      <c r="AF362" s="75"/>
      <c r="AG362" s="75"/>
      <c r="AH362" s="75"/>
      <c r="AI362" s="75"/>
    </row>
    <row r="363" spans="1:35" ht="22.35" customHeight="1" thickBot="1" x14ac:dyDescent="0.3">
      <c r="A363" s="252"/>
      <c r="B363" s="252"/>
      <c r="C363" s="253"/>
      <c r="D363" s="254"/>
      <c r="E363" s="254"/>
      <c r="F363" s="195"/>
      <c r="G363" s="196"/>
      <c r="H363" s="255"/>
      <c r="I363" s="256"/>
      <c r="J363" s="257"/>
      <c r="K363" s="258"/>
      <c r="L363" s="258"/>
      <c r="M363" s="258"/>
      <c r="N363" s="228"/>
      <c r="O363" s="200"/>
      <c r="P363" s="202"/>
      <c r="Q363" s="259"/>
      <c r="R363" s="260"/>
      <c r="S363" s="155" t="s">
        <v>138</v>
      </c>
      <c r="T363" s="124" t="s">
        <v>506</v>
      </c>
      <c r="U363" s="125"/>
      <c r="V363" s="126">
        <v>34</v>
      </c>
      <c r="W363" s="261"/>
      <c r="X363" s="262"/>
      <c r="Y363" s="20">
        <f t="shared" si="15"/>
        <v>0</v>
      </c>
      <c r="AA363" s="98">
        <f t="shared" si="16"/>
        <v>0</v>
      </c>
      <c r="AB363" s="98">
        <f t="shared" si="17"/>
        <v>0</v>
      </c>
      <c r="AC363" s="110"/>
      <c r="AD363" s="77"/>
      <c r="AE363" s="77"/>
      <c r="AF363" s="75"/>
      <c r="AG363" s="75"/>
      <c r="AH363" s="75"/>
      <c r="AI363" s="75"/>
    </row>
    <row r="364" spans="1:35" ht="22.35" customHeight="1" thickBot="1" x14ac:dyDescent="0.3">
      <c r="A364" s="263"/>
      <c r="B364" s="263"/>
      <c r="C364" s="264"/>
      <c r="D364" s="265" t="s">
        <v>576</v>
      </c>
      <c r="E364" s="266"/>
      <c r="F364" s="267"/>
      <c r="G364" s="268"/>
      <c r="H364" s="269"/>
      <c r="I364" s="268"/>
      <c r="J364" s="266"/>
      <c r="K364" s="270"/>
      <c r="L364" s="270"/>
      <c r="M364" s="270"/>
      <c r="N364" s="271"/>
      <c r="O364" s="271"/>
      <c r="P364" s="271"/>
      <c r="Q364" s="271"/>
      <c r="R364" s="272"/>
      <c r="S364" s="310"/>
      <c r="T364" s="187" t="s">
        <v>296</v>
      </c>
      <c r="U364" s="268"/>
      <c r="V364" s="273"/>
      <c r="W364" s="268"/>
      <c r="X364" s="274"/>
      <c r="Y364" s="20">
        <f t="shared" si="15"/>
        <v>0</v>
      </c>
      <c r="AA364" s="98">
        <f t="shared" si="16"/>
        <v>0</v>
      </c>
      <c r="AB364" s="98">
        <f t="shared" si="17"/>
        <v>0</v>
      </c>
    </row>
    <row r="365" spans="1:35" ht="22.35" customHeight="1" thickBot="1" x14ac:dyDescent="0.3">
      <c r="A365" s="80" t="s">
        <v>449</v>
      </c>
      <c r="B365" s="80" t="s">
        <v>577</v>
      </c>
      <c r="C365" s="81">
        <v>18</v>
      </c>
      <c r="D365" s="23" t="s">
        <v>578</v>
      </c>
      <c r="E365" s="23" t="s">
        <v>579</v>
      </c>
      <c r="F365" s="141" t="s">
        <v>580</v>
      </c>
      <c r="G365" s="21" t="s">
        <v>89</v>
      </c>
      <c r="H365" s="246">
        <v>13.5</v>
      </c>
      <c r="I365" s="84">
        <v>12.940480000000001</v>
      </c>
      <c r="J365" s="23" t="s">
        <v>581</v>
      </c>
      <c r="K365" s="86" t="s">
        <v>582</v>
      </c>
      <c r="L365" s="86">
        <v>1</v>
      </c>
      <c r="M365" s="86"/>
      <c r="O365" s="88"/>
      <c r="P365" s="136">
        <v>1</v>
      </c>
      <c r="Q365" s="90">
        <v>1</v>
      </c>
      <c r="R365" s="91" t="s">
        <v>583</v>
      </c>
      <c r="S365" s="139" t="s">
        <v>584</v>
      </c>
      <c r="T365" s="140" t="s">
        <v>296</v>
      </c>
      <c r="U365" s="94"/>
      <c r="V365" s="95">
        <v>35</v>
      </c>
      <c r="W365" s="96"/>
      <c r="X365" s="97" t="s">
        <v>45</v>
      </c>
      <c r="Y365" s="20">
        <f t="shared" si="15"/>
        <v>1</v>
      </c>
      <c r="AA365" s="98">
        <f t="shared" si="16"/>
        <v>0.55951999999999913</v>
      </c>
      <c r="AB365" s="98" t="e">
        <f t="shared" si="17"/>
        <v>#VALUE!</v>
      </c>
    </row>
    <row r="366" spans="1:35" ht="22.35" customHeight="1" thickBot="1" x14ac:dyDescent="0.3">
      <c r="A366" s="80" t="s">
        <v>255</v>
      </c>
      <c r="B366" s="80" t="s">
        <v>585</v>
      </c>
      <c r="C366" s="81">
        <v>16</v>
      </c>
      <c r="D366" s="23" t="s">
        <v>586</v>
      </c>
      <c r="E366" s="23" t="s">
        <v>587</v>
      </c>
      <c r="F366" s="141" t="s">
        <v>242</v>
      </c>
      <c r="G366" s="21" t="s">
        <v>89</v>
      </c>
      <c r="H366" s="191">
        <v>12.9</v>
      </c>
      <c r="I366" s="84">
        <v>12.42976</v>
      </c>
      <c r="J366" s="23" t="s">
        <v>588</v>
      </c>
      <c r="K366" s="86" t="s">
        <v>589</v>
      </c>
      <c r="L366" s="86">
        <v>1</v>
      </c>
      <c r="M366" s="86"/>
      <c r="O366" s="100"/>
      <c r="P366" s="143">
        <v>1</v>
      </c>
      <c r="Q366" s="102">
        <v>1</v>
      </c>
      <c r="R366" s="103" t="s">
        <v>590</v>
      </c>
      <c r="S366" s="144" t="s">
        <v>584</v>
      </c>
      <c r="T366" s="112" t="s">
        <v>296</v>
      </c>
      <c r="U366" s="106"/>
      <c r="V366" s="107">
        <v>35</v>
      </c>
      <c r="W366" s="108"/>
      <c r="X366" s="109" t="s">
        <v>50</v>
      </c>
      <c r="Y366" s="20">
        <f t="shared" si="15"/>
        <v>1</v>
      </c>
      <c r="AA366" s="98">
        <f t="shared" si="16"/>
        <v>0.47024000000000044</v>
      </c>
      <c r="AB366" s="98" t="e">
        <f t="shared" si="17"/>
        <v>#VALUE!</v>
      </c>
    </row>
    <row r="367" spans="1:35" ht="22.35" customHeight="1" thickBot="1" x14ac:dyDescent="0.3">
      <c r="A367" s="80" t="s">
        <v>381</v>
      </c>
      <c r="B367" s="80" t="s">
        <v>591</v>
      </c>
      <c r="C367" s="81">
        <v>15</v>
      </c>
      <c r="D367" s="23" t="s">
        <v>592</v>
      </c>
      <c r="E367" s="23" t="s">
        <v>593</v>
      </c>
      <c r="F367" s="141" t="s">
        <v>594</v>
      </c>
      <c r="G367" s="21" t="s">
        <v>89</v>
      </c>
      <c r="H367" s="191">
        <v>12.9</v>
      </c>
      <c r="I367" s="84">
        <v>12.6896</v>
      </c>
      <c r="J367" s="23" t="s">
        <v>109</v>
      </c>
      <c r="K367" s="86" t="s">
        <v>595</v>
      </c>
      <c r="L367" s="86">
        <v>1</v>
      </c>
      <c r="M367" s="86"/>
      <c r="O367" s="100"/>
      <c r="P367" s="143">
        <v>1</v>
      </c>
      <c r="Q367" s="102">
        <v>1</v>
      </c>
      <c r="R367" s="103" t="s">
        <v>596</v>
      </c>
      <c r="S367" s="144" t="s">
        <v>584</v>
      </c>
      <c r="T367" s="112" t="s">
        <v>296</v>
      </c>
      <c r="U367" s="106"/>
      <c r="V367" s="107">
        <v>35</v>
      </c>
      <c r="W367" s="108"/>
      <c r="X367" s="109" t="s">
        <v>55</v>
      </c>
      <c r="Y367" s="20">
        <f t="shared" si="15"/>
        <v>1</v>
      </c>
      <c r="AA367" s="98">
        <f t="shared" si="16"/>
        <v>0.21039999999999992</v>
      </c>
      <c r="AB367" s="98" t="e">
        <f t="shared" si="17"/>
        <v>#VALUE!</v>
      </c>
    </row>
    <row r="368" spans="1:35" ht="22.35" customHeight="1" thickBot="1" x14ac:dyDescent="0.3">
      <c r="A368" s="80" t="s">
        <v>381</v>
      </c>
      <c r="B368" s="80" t="s">
        <v>597</v>
      </c>
      <c r="C368" s="81">
        <v>14</v>
      </c>
      <c r="D368" s="23" t="s">
        <v>598</v>
      </c>
      <c r="E368" s="23" t="s">
        <v>593</v>
      </c>
      <c r="F368" s="141" t="s">
        <v>599</v>
      </c>
      <c r="G368" s="21" t="s">
        <v>89</v>
      </c>
      <c r="H368" s="191">
        <v>22.9</v>
      </c>
      <c r="I368" s="84">
        <v>21.28</v>
      </c>
      <c r="J368" s="23" t="s">
        <v>109</v>
      </c>
      <c r="K368" s="86" t="s">
        <v>600</v>
      </c>
      <c r="L368" s="86">
        <v>1</v>
      </c>
      <c r="M368" s="86"/>
      <c r="O368" s="100"/>
      <c r="P368" s="143">
        <v>1</v>
      </c>
      <c r="Q368" s="102">
        <v>1</v>
      </c>
      <c r="R368" s="103" t="s">
        <v>448</v>
      </c>
      <c r="S368" s="144" t="s">
        <v>584</v>
      </c>
      <c r="T368" s="112" t="s">
        <v>296</v>
      </c>
      <c r="U368" s="106"/>
      <c r="V368" s="107">
        <v>35</v>
      </c>
      <c r="W368" s="108"/>
      <c r="X368" s="109" t="s">
        <v>59</v>
      </c>
      <c r="Y368" s="20">
        <f t="shared" si="15"/>
        <v>1</v>
      </c>
      <c r="AA368" s="98">
        <f t="shared" si="16"/>
        <v>1.6199999999999974</v>
      </c>
      <c r="AB368" s="98" t="e">
        <f t="shared" si="17"/>
        <v>#VALUE!</v>
      </c>
    </row>
    <row r="369" spans="1:28" ht="22.35" customHeight="1" thickBot="1" x14ac:dyDescent="0.3">
      <c r="A369" s="80" t="s">
        <v>478</v>
      </c>
      <c r="B369" s="80" t="s">
        <v>601</v>
      </c>
      <c r="C369" s="81">
        <v>12</v>
      </c>
      <c r="D369" s="23" t="s">
        <v>602</v>
      </c>
      <c r="E369" s="23" t="s">
        <v>603</v>
      </c>
      <c r="F369" s="141" t="s">
        <v>185</v>
      </c>
      <c r="G369" s="21" t="s">
        <v>89</v>
      </c>
      <c r="H369" s="191">
        <v>25.9</v>
      </c>
      <c r="I369" s="84">
        <v>25.2</v>
      </c>
      <c r="J369" s="23" t="s">
        <v>604</v>
      </c>
      <c r="K369" s="86" t="s">
        <v>605</v>
      </c>
      <c r="L369" s="86">
        <v>1</v>
      </c>
      <c r="M369" s="86"/>
      <c r="O369" s="299"/>
      <c r="P369" s="300">
        <v>1</v>
      </c>
      <c r="Q369" s="301">
        <v>1</v>
      </c>
      <c r="R369" s="146" t="s">
        <v>606</v>
      </c>
      <c r="S369" s="302" t="s">
        <v>584</v>
      </c>
      <c r="T369" s="112" t="s">
        <v>296</v>
      </c>
      <c r="U369" s="304"/>
      <c r="V369" s="107">
        <v>35</v>
      </c>
      <c r="W369" s="108"/>
      <c r="X369" s="109" t="s">
        <v>63</v>
      </c>
      <c r="Y369" s="20">
        <f t="shared" si="15"/>
        <v>1</v>
      </c>
      <c r="AA369" s="98">
        <f t="shared" si="16"/>
        <v>0.69999999999999929</v>
      </c>
      <c r="AB369" s="98" t="e">
        <f t="shared" si="17"/>
        <v>#VALUE!</v>
      </c>
    </row>
    <row r="370" spans="1:28" ht="22.35" customHeight="1" thickBot="1" x14ac:dyDescent="0.3">
      <c r="A370" s="80" t="s">
        <v>607</v>
      </c>
      <c r="B370" s="80" t="s">
        <v>608</v>
      </c>
      <c r="C370" s="81">
        <v>15</v>
      </c>
      <c r="D370" s="23" t="s">
        <v>609</v>
      </c>
      <c r="E370" s="23" t="s">
        <v>610</v>
      </c>
      <c r="F370" s="141" t="s">
        <v>611</v>
      </c>
      <c r="G370" s="21" t="s">
        <v>108</v>
      </c>
      <c r="H370" s="191">
        <v>49.9</v>
      </c>
      <c r="I370" s="84">
        <v>49.17024</v>
      </c>
      <c r="J370" s="23" t="s">
        <v>612</v>
      </c>
      <c r="K370" s="86" t="s">
        <v>613</v>
      </c>
      <c r="L370" s="86">
        <v>1</v>
      </c>
      <c r="M370" s="86"/>
      <c r="O370" s="100"/>
      <c r="P370" s="102">
        <v>1</v>
      </c>
      <c r="Q370" s="102">
        <v>1</v>
      </c>
      <c r="R370" s="311" t="s">
        <v>614</v>
      </c>
      <c r="S370" s="312" t="s">
        <v>584</v>
      </c>
      <c r="T370" s="112" t="s">
        <v>296</v>
      </c>
      <c r="U370" s="313"/>
      <c r="V370" s="107">
        <v>35</v>
      </c>
      <c r="W370" s="108"/>
      <c r="X370" s="109" t="s">
        <v>66</v>
      </c>
      <c r="Y370" s="20">
        <f t="shared" si="15"/>
        <v>1</v>
      </c>
      <c r="AA370" s="98">
        <f t="shared" si="16"/>
        <v>0.72975999999999885</v>
      </c>
      <c r="AB370" s="98" t="e">
        <f t="shared" si="17"/>
        <v>#VALUE!</v>
      </c>
    </row>
    <row r="371" spans="1:28" ht="22.35" customHeight="1" thickBot="1" x14ac:dyDescent="0.3">
      <c r="A371" s="80" t="s">
        <v>255</v>
      </c>
      <c r="B371" s="80" t="s">
        <v>615</v>
      </c>
      <c r="C371" s="81">
        <v>20</v>
      </c>
      <c r="D371" s="23" t="s">
        <v>616</v>
      </c>
      <c r="E371" s="23" t="s">
        <v>617</v>
      </c>
      <c r="F371" s="141" t="s">
        <v>86</v>
      </c>
      <c r="G371" s="21">
        <v>1</v>
      </c>
      <c r="H371" s="191">
        <v>14.5</v>
      </c>
      <c r="I371" s="84">
        <v>14.01008</v>
      </c>
      <c r="J371" s="23" t="s">
        <v>618</v>
      </c>
      <c r="K371" s="86" t="s">
        <v>619</v>
      </c>
      <c r="L371" s="86">
        <v>1</v>
      </c>
      <c r="M371" s="86"/>
      <c r="O371" s="100"/>
      <c r="P371" s="102">
        <v>1</v>
      </c>
      <c r="Q371" s="102">
        <v>1</v>
      </c>
      <c r="R371" s="311" t="s">
        <v>620</v>
      </c>
      <c r="S371" s="312" t="s">
        <v>621</v>
      </c>
      <c r="T371" s="314" t="s">
        <v>296</v>
      </c>
      <c r="U371" s="313"/>
      <c r="V371" s="107">
        <v>35</v>
      </c>
      <c r="W371" s="108"/>
      <c r="X371" s="109" t="s">
        <v>179</v>
      </c>
      <c r="Y371" s="20">
        <f t="shared" si="15"/>
        <v>1</v>
      </c>
      <c r="AA371" s="98">
        <f t="shared" si="16"/>
        <v>0.48991999999999969</v>
      </c>
      <c r="AB371" s="98" t="e">
        <f t="shared" si="17"/>
        <v>#VALUE!</v>
      </c>
    </row>
    <row r="372" spans="1:28" ht="22.35" customHeight="1" thickBot="1" x14ac:dyDescent="0.3">
      <c r="A372" s="80" t="s">
        <v>255</v>
      </c>
      <c r="B372" s="80" t="s">
        <v>622</v>
      </c>
      <c r="C372" s="81">
        <v>15</v>
      </c>
      <c r="D372" s="23" t="s">
        <v>623</v>
      </c>
      <c r="E372" s="23" t="s">
        <v>624</v>
      </c>
      <c r="F372" s="141" t="s">
        <v>185</v>
      </c>
      <c r="G372" s="21">
        <v>1</v>
      </c>
      <c r="H372" s="191">
        <v>19.899999999999999</v>
      </c>
      <c r="I372" s="84">
        <v>18.899999999999999</v>
      </c>
      <c r="J372" s="23" t="s">
        <v>618</v>
      </c>
      <c r="K372" s="86" t="s">
        <v>625</v>
      </c>
      <c r="L372" s="86">
        <v>1</v>
      </c>
      <c r="M372" s="86"/>
      <c r="O372" s="88"/>
      <c r="P372" s="136">
        <v>1</v>
      </c>
      <c r="Q372" s="90">
        <v>1</v>
      </c>
      <c r="R372" s="91" t="s">
        <v>626</v>
      </c>
      <c r="S372" s="139" t="s">
        <v>621</v>
      </c>
      <c r="T372" s="140" t="s">
        <v>296</v>
      </c>
      <c r="U372" s="94"/>
      <c r="V372" s="107">
        <v>35</v>
      </c>
      <c r="W372" s="108"/>
      <c r="X372" s="109" t="s">
        <v>70</v>
      </c>
      <c r="Y372" s="20">
        <f t="shared" si="15"/>
        <v>1</v>
      </c>
      <c r="AA372" s="98">
        <f t="shared" si="16"/>
        <v>1</v>
      </c>
      <c r="AB372" s="98" t="e">
        <f t="shared" si="17"/>
        <v>#VALUE!</v>
      </c>
    </row>
    <row r="373" spans="1:28" ht="22.35" customHeight="1" thickBot="1" x14ac:dyDescent="0.3">
      <c r="A373" s="80" t="s">
        <v>328</v>
      </c>
      <c r="B373" s="80" t="s">
        <v>627</v>
      </c>
      <c r="C373" s="81">
        <v>12</v>
      </c>
      <c r="D373" s="23" t="s">
        <v>628</v>
      </c>
      <c r="E373" s="23" t="s">
        <v>629</v>
      </c>
      <c r="F373" s="141" t="s">
        <v>65</v>
      </c>
      <c r="G373" s="21">
        <v>1</v>
      </c>
      <c r="H373" s="191">
        <v>24.9</v>
      </c>
      <c r="I373" s="84">
        <v>22.19952</v>
      </c>
      <c r="J373" s="23" t="s">
        <v>630</v>
      </c>
      <c r="K373" s="86" t="s">
        <v>631</v>
      </c>
      <c r="L373" s="86">
        <v>1</v>
      </c>
      <c r="M373" s="86"/>
      <c r="O373" s="100"/>
      <c r="P373" s="143">
        <v>1</v>
      </c>
      <c r="Q373" s="102">
        <v>1</v>
      </c>
      <c r="R373" s="103" t="s">
        <v>632</v>
      </c>
      <c r="S373" s="144" t="s">
        <v>621</v>
      </c>
      <c r="T373" s="112" t="s">
        <v>296</v>
      </c>
      <c r="U373" s="106"/>
      <c r="V373" s="107">
        <v>35</v>
      </c>
      <c r="W373" s="108"/>
      <c r="X373" s="109" t="s">
        <v>117</v>
      </c>
      <c r="Y373" s="20">
        <f t="shared" si="15"/>
        <v>1</v>
      </c>
      <c r="AA373" s="98">
        <f t="shared" si="16"/>
        <v>2.7004799999999989</v>
      </c>
      <c r="AB373" s="98" t="e">
        <f t="shared" si="17"/>
        <v>#VALUE!</v>
      </c>
    </row>
    <row r="374" spans="1:28" ht="22.35" customHeight="1" thickBot="1" x14ac:dyDescent="0.3">
      <c r="A374" s="80" t="s">
        <v>328</v>
      </c>
      <c r="B374" s="80" t="s">
        <v>633</v>
      </c>
      <c r="C374" s="81">
        <v>12</v>
      </c>
      <c r="D374" s="23" t="s">
        <v>628</v>
      </c>
      <c r="E374" s="23" t="s">
        <v>629</v>
      </c>
      <c r="F374" s="141" t="s">
        <v>634</v>
      </c>
      <c r="G374" s="21">
        <v>1</v>
      </c>
      <c r="H374" s="191">
        <v>13.5</v>
      </c>
      <c r="I374" s="84">
        <v>11.99968</v>
      </c>
      <c r="J374" s="23" t="s">
        <v>630</v>
      </c>
      <c r="K374" s="86" t="s">
        <v>635</v>
      </c>
      <c r="L374" s="86">
        <v>1</v>
      </c>
      <c r="M374" s="86"/>
      <c r="O374" s="100"/>
      <c r="P374" s="143">
        <v>1</v>
      </c>
      <c r="Q374" s="102">
        <v>1</v>
      </c>
      <c r="R374" s="103" t="s">
        <v>388</v>
      </c>
      <c r="S374" s="144" t="s">
        <v>621</v>
      </c>
      <c r="T374" s="112" t="s">
        <v>296</v>
      </c>
      <c r="U374" s="106"/>
      <c r="V374" s="107">
        <v>35</v>
      </c>
      <c r="W374" s="108"/>
      <c r="X374" s="109" t="s">
        <v>199</v>
      </c>
      <c r="Y374" s="20">
        <f t="shared" si="15"/>
        <v>1</v>
      </c>
      <c r="AA374" s="98">
        <f t="shared" si="16"/>
        <v>1.5003200000000003</v>
      </c>
      <c r="AB374" s="98" t="e">
        <f t="shared" si="17"/>
        <v>#VALUE!</v>
      </c>
    </row>
    <row r="375" spans="1:28" ht="22.35" customHeight="1" thickBot="1" x14ac:dyDescent="0.3">
      <c r="A375" s="80" t="s">
        <v>328</v>
      </c>
      <c r="B375" s="80" t="s">
        <v>636</v>
      </c>
      <c r="C375" s="81">
        <v>30</v>
      </c>
      <c r="D375" s="23" t="s">
        <v>637</v>
      </c>
      <c r="E375" s="23" t="s">
        <v>638</v>
      </c>
      <c r="F375" s="141" t="s">
        <v>86</v>
      </c>
      <c r="G375" s="21">
        <v>1</v>
      </c>
      <c r="H375" s="191">
        <v>9.5</v>
      </c>
      <c r="I375" s="84">
        <v>9.3800000000000008</v>
      </c>
      <c r="J375" s="23" t="s">
        <v>639</v>
      </c>
      <c r="K375" s="86" t="s">
        <v>640</v>
      </c>
      <c r="L375" s="86">
        <v>1</v>
      </c>
      <c r="M375" s="86"/>
      <c r="O375" s="100"/>
      <c r="P375" s="143">
        <v>1</v>
      </c>
      <c r="Q375" s="102">
        <v>1</v>
      </c>
      <c r="R375" s="103" t="s">
        <v>641</v>
      </c>
      <c r="S375" s="144" t="s">
        <v>621</v>
      </c>
      <c r="T375" s="112" t="s">
        <v>296</v>
      </c>
      <c r="U375" s="106"/>
      <c r="V375" s="107">
        <v>35</v>
      </c>
      <c r="W375" s="108"/>
      <c r="X375" s="109" t="s">
        <v>205</v>
      </c>
      <c r="Y375" s="20">
        <f t="shared" si="15"/>
        <v>1</v>
      </c>
      <c r="AA375" s="98">
        <f t="shared" si="16"/>
        <v>0.11999999999999922</v>
      </c>
      <c r="AB375" s="98" t="e">
        <f t="shared" si="17"/>
        <v>#VALUE!</v>
      </c>
    </row>
    <row r="376" spans="1:28" ht="22.35" customHeight="1" thickBot="1" x14ac:dyDescent="0.3">
      <c r="A376" s="209" t="s">
        <v>328</v>
      </c>
      <c r="B376" s="209" t="s">
        <v>642</v>
      </c>
      <c r="C376" s="210">
        <v>15</v>
      </c>
      <c r="D376" s="211" t="s">
        <v>643</v>
      </c>
      <c r="E376" s="211" t="s">
        <v>638</v>
      </c>
      <c r="F376" s="236" t="s">
        <v>185</v>
      </c>
      <c r="G376" s="213">
        <v>1</v>
      </c>
      <c r="H376" s="191">
        <v>17.899999999999999</v>
      </c>
      <c r="I376" s="238">
        <v>17.81024</v>
      </c>
      <c r="J376" s="211" t="s">
        <v>639</v>
      </c>
      <c r="K376" s="215" t="s">
        <v>644</v>
      </c>
      <c r="L376" s="215">
        <v>1</v>
      </c>
      <c r="M376" s="215"/>
      <c r="N376" s="216"/>
      <c r="O376" s="239"/>
      <c r="P376" s="240">
        <v>1</v>
      </c>
      <c r="Q376" s="154">
        <v>1</v>
      </c>
      <c r="R376" s="241" t="s">
        <v>645</v>
      </c>
      <c r="S376" s="242" t="s">
        <v>621</v>
      </c>
      <c r="T376" s="243" t="s">
        <v>296</v>
      </c>
      <c r="U376" s="244"/>
      <c r="V376" s="233">
        <v>35</v>
      </c>
      <c r="W376" s="108"/>
      <c r="X376" s="109" t="s">
        <v>209</v>
      </c>
      <c r="Y376" s="20">
        <f t="shared" si="15"/>
        <v>1</v>
      </c>
      <c r="AA376" s="98">
        <f t="shared" si="16"/>
        <v>8.9759999999998286E-2</v>
      </c>
      <c r="AB376" s="98" t="e">
        <f t="shared" si="17"/>
        <v>#VALUE!</v>
      </c>
    </row>
    <row r="377" spans="1:28" ht="22.35" customHeight="1" thickBot="1" x14ac:dyDescent="0.3">
      <c r="A377" s="209"/>
      <c r="B377" s="209">
        <v>8412600037461</v>
      </c>
      <c r="C377" s="193">
        <v>18</v>
      </c>
      <c r="D377" s="194" t="s">
        <v>646</v>
      </c>
      <c r="E377" s="194" t="s">
        <v>647</v>
      </c>
      <c r="F377" s="227" t="s">
        <v>86</v>
      </c>
      <c r="G377" s="196" t="s">
        <v>89</v>
      </c>
      <c r="H377" s="191">
        <v>35.9</v>
      </c>
      <c r="I377" s="196">
        <v>32.869999999999997</v>
      </c>
      <c r="J377" s="194" t="s">
        <v>648</v>
      </c>
      <c r="K377" s="198">
        <v>4101801</v>
      </c>
      <c r="L377" s="198">
        <v>4</v>
      </c>
      <c r="M377" s="198"/>
      <c r="N377" s="228">
        <v>0</v>
      </c>
      <c r="O377" s="229">
        <v>3799</v>
      </c>
      <c r="P377" s="230">
        <v>1</v>
      </c>
      <c r="Q377" s="230">
        <v>1</v>
      </c>
      <c r="R377" s="231">
        <v>35.9</v>
      </c>
      <c r="S377" s="232" t="s">
        <v>649</v>
      </c>
      <c r="T377" s="125" t="str">
        <f>INDEX([1]data!$B$1:$B$100,MATCH('04.02 - 10.02'!S377,[0]!exclusive01,))</f>
        <v>DUCANH</v>
      </c>
      <c r="U377" s="125" t="s">
        <v>112</v>
      </c>
      <c r="V377" s="233">
        <v>35</v>
      </c>
      <c r="W377" s="108"/>
      <c r="X377" s="109" t="s">
        <v>119</v>
      </c>
      <c r="Y377" s="20">
        <f t="shared" si="15"/>
        <v>1</v>
      </c>
      <c r="AA377" s="98">
        <f t="shared" si="16"/>
        <v>3.0300000000000011</v>
      </c>
      <c r="AB377" s="98">
        <f t="shared" si="17"/>
        <v>0</v>
      </c>
    </row>
    <row r="378" spans="1:28" ht="22.35" customHeight="1" thickBot="1" x14ac:dyDescent="0.3">
      <c r="A378" s="80"/>
      <c r="B378" s="80">
        <v>8595601701293</v>
      </c>
      <c r="C378" s="128">
        <v>25</v>
      </c>
      <c r="D378" s="129" t="s">
        <v>650</v>
      </c>
      <c r="E378" s="129" t="s">
        <v>533</v>
      </c>
      <c r="F378" s="234" t="s">
        <v>242</v>
      </c>
      <c r="G378" s="132">
        <v>4</v>
      </c>
      <c r="H378" s="191">
        <v>9.5</v>
      </c>
      <c r="I378" s="132">
        <v>8.68</v>
      </c>
      <c r="J378" s="129" t="s">
        <v>651</v>
      </c>
      <c r="K378" s="133">
        <v>4101412</v>
      </c>
      <c r="L378" s="133">
        <v>4</v>
      </c>
      <c r="M378" s="133"/>
      <c r="N378" s="134">
        <v>0</v>
      </c>
      <c r="O378" s="235">
        <v>4271</v>
      </c>
      <c r="P378" s="206">
        <v>1</v>
      </c>
      <c r="Q378" s="206">
        <v>1</v>
      </c>
      <c r="R378" s="207">
        <v>9.9</v>
      </c>
      <c r="S378" s="226" t="s">
        <v>651</v>
      </c>
      <c r="T378" s="94" t="s">
        <v>506</v>
      </c>
      <c r="U378" s="106" t="s">
        <v>112</v>
      </c>
      <c r="V378" s="107">
        <v>36</v>
      </c>
      <c r="W378" s="108"/>
      <c r="X378" s="109" t="s">
        <v>45</v>
      </c>
      <c r="Y378" s="20">
        <f t="shared" si="15"/>
        <v>1</v>
      </c>
      <c r="AA378" s="98">
        <f t="shared" si="16"/>
        <v>0.82000000000000028</v>
      </c>
      <c r="AB378" s="98">
        <f t="shared" si="17"/>
        <v>0.40000000000000036</v>
      </c>
    </row>
    <row r="379" spans="1:28" ht="22.35" customHeight="1" thickBot="1" x14ac:dyDescent="0.3">
      <c r="A379" s="80"/>
      <c r="B379" s="80">
        <v>5319992006088</v>
      </c>
      <c r="C379" s="81">
        <v>32</v>
      </c>
      <c r="D379" s="23" t="s">
        <v>652</v>
      </c>
      <c r="E379" s="23" t="s">
        <v>653</v>
      </c>
      <c r="F379" s="82" t="s">
        <v>654</v>
      </c>
      <c r="G379" s="21" t="s">
        <v>89</v>
      </c>
      <c r="H379" s="277">
        <v>5.9</v>
      </c>
      <c r="I379" s="21">
        <v>5.7</v>
      </c>
      <c r="J379" s="23" t="s">
        <v>62</v>
      </c>
      <c r="K379" s="86">
        <v>4101357</v>
      </c>
      <c r="L379" s="86">
        <v>4</v>
      </c>
      <c r="M379" s="86"/>
      <c r="N379" s="87">
        <v>0</v>
      </c>
      <c r="O379" s="223">
        <v>3646</v>
      </c>
      <c r="P379" s="224">
        <v>1</v>
      </c>
      <c r="Q379" s="224">
        <v>1</v>
      </c>
      <c r="R379" s="225">
        <v>6.6</v>
      </c>
      <c r="S379" s="226" t="s">
        <v>62</v>
      </c>
      <c r="T379" s="94" t="str">
        <f>INDEX([1]data!$B$1:$B$100,MATCH('04.02 - 10.02'!S379,[0]!exclusive01,))</f>
        <v>DUCANH</v>
      </c>
      <c r="U379" s="106" t="s">
        <v>112</v>
      </c>
      <c r="V379" s="107">
        <v>36</v>
      </c>
      <c r="W379" s="108">
        <v>1</v>
      </c>
      <c r="X379" s="109" t="s">
        <v>55</v>
      </c>
      <c r="Y379" s="20">
        <f t="shared" si="15"/>
        <v>1</v>
      </c>
      <c r="AA379" s="98">
        <f t="shared" si="16"/>
        <v>0.20000000000000018</v>
      </c>
      <c r="AB379" s="98">
        <f t="shared" si="17"/>
        <v>0.69999999999999929</v>
      </c>
    </row>
    <row r="380" spans="1:28" ht="22.35" customHeight="1" thickBot="1" x14ac:dyDescent="0.3">
      <c r="A380" s="276" t="s">
        <v>655</v>
      </c>
      <c r="B380" s="80" t="s">
        <v>656</v>
      </c>
      <c r="C380" s="81">
        <v>12</v>
      </c>
      <c r="D380" s="23" t="s">
        <v>657</v>
      </c>
      <c r="F380" s="141" t="s">
        <v>362</v>
      </c>
      <c r="G380" s="21">
        <v>4</v>
      </c>
      <c r="H380" s="191">
        <v>17.899999999999999</v>
      </c>
      <c r="I380" s="84">
        <v>17.86</v>
      </c>
      <c r="J380" s="23" t="s">
        <v>109</v>
      </c>
      <c r="K380" s="86" t="s">
        <v>658</v>
      </c>
      <c r="L380" s="86">
        <v>4</v>
      </c>
      <c r="M380" s="86"/>
      <c r="N380" s="87">
        <v>0</v>
      </c>
      <c r="O380" s="100"/>
      <c r="P380" s="143">
        <v>1</v>
      </c>
      <c r="Q380" s="102">
        <v>1</v>
      </c>
      <c r="R380" s="103" t="s">
        <v>645</v>
      </c>
      <c r="S380" s="144" t="s">
        <v>584</v>
      </c>
      <c r="T380" s="112" t="s">
        <v>296</v>
      </c>
      <c r="U380" s="106"/>
      <c r="V380" s="107">
        <v>36</v>
      </c>
      <c r="W380" s="108"/>
      <c r="X380" s="109" t="s">
        <v>117</v>
      </c>
      <c r="Y380" s="20">
        <f t="shared" si="15"/>
        <v>1</v>
      </c>
      <c r="AA380" s="98">
        <f>H380-I380</f>
        <v>3.9999999999999147E-2</v>
      </c>
      <c r="AB380" s="98" t="e">
        <f>R380-H380</f>
        <v>#VALUE!</v>
      </c>
    </row>
    <row r="381" spans="1:28" ht="22.35" customHeight="1" thickBot="1" x14ac:dyDescent="0.3">
      <c r="A381" s="209" t="s">
        <v>659</v>
      </c>
      <c r="B381" s="209" t="s">
        <v>660</v>
      </c>
      <c r="C381" s="210">
        <v>12</v>
      </c>
      <c r="D381" s="211" t="s">
        <v>661</v>
      </c>
      <c r="E381" s="211" t="s">
        <v>629</v>
      </c>
      <c r="F381" s="236" t="s">
        <v>662</v>
      </c>
      <c r="G381" s="213">
        <v>3</v>
      </c>
      <c r="H381" s="191">
        <v>30.9</v>
      </c>
      <c r="I381" s="238">
        <v>30.52</v>
      </c>
      <c r="J381" s="211" t="s">
        <v>663</v>
      </c>
      <c r="K381" s="215" t="s">
        <v>664</v>
      </c>
      <c r="L381" s="215">
        <v>4</v>
      </c>
      <c r="M381" s="215"/>
      <c r="N381" s="216">
        <v>0</v>
      </c>
      <c r="O381" s="239"/>
      <c r="P381" s="240">
        <v>1</v>
      </c>
      <c r="Q381" s="154">
        <v>1</v>
      </c>
      <c r="R381" s="241" t="s">
        <v>327</v>
      </c>
      <c r="S381" s="232" t="s">
        <v>665</v>
      </c>
      <c r="T381" s="125" t="str">
        <f>INDEX([1]data!$B$1:$B$100,MATCH('04.02 - 10.02'!S381,[0]!exclusive01,))</f>
        <v>VU</v>
      </c>
      <c r="U381" s="125" t="s">
        <v>112</v>
      </c>
      <c r="V381" s="156">
        <v>36</v>
      </c>
      <c r="W381" s="108"/>
      <c r="X381" s="109" t="s">
        <v>119</v>
      </c>
      <c r="Y381" s="20">
        <f t="shared" si="15"/>
        <v>1</v>
      </c>
      <c r="AA381" s="98">
        <f t="shared" si="16"/>
        <v>0.37999999999999901</v>
      </c>
      <c r="AB381" s="98" t="e">
        <f t="shared" si="17"/>
        <v>#VALUE!</v>
      </c>
    </row>
    <row r="382" spans="1:28" ht="22.35" customHeight="1" thickBot="1" x14ac:dyDescent="0.3">
      <c r="A382" s="80" t="s">
        <v>666</v>
      </c>
      <c r="B382" s="80" t="s">
        <v>667</v>
      </c>
      <c r="C382" s="128">
        <v>18</v>
      </c>
      <c r="D382" s="129" t="s">
        <v>668</v>
      </c>
      <c r="E382" s="129"/>
      <c r="F382" s="234" t="s">
        <v>399</v>
      </c>
      <c r="G382" s="132" t="s">
        <v>108</v>
      </c>
      <c r="H382" s="191">
        <v>16.899999999999999</v>
      </c>
      <c r="I382" s="132">
        <v>16.54016</v>
      </c>
      <c r="J382" s="129" t="s">
        <v>663</v>
      </c>
      <c r="K382" s="133" t="s">
        <v>669</v>
      </c>
      <c r="L382" s="133">
        <v>4</v>
      </c>
      <c r="M382" s="133"/>
      <c r="N382" s="134">
        <v>0</v>
      </c>
      <c r="O382" s="235"/>
      <c r="P382" s="206">
        <v>1</v>
      </c>
      <c r="Q382" s="206">
        <v>1</v>
      </c>
      <c r="R382" s="207">
        <v>18.899999999999999</v>
      </c>
      <c r="S382" s="208" t="s">
        <v>670</v>
      </c>
      <c r="T382" s="94" t="str">
        <f>INDEX([1]data!$B$1:$B$100,MATCH('04.02 - 10.02'!S382,[0]!exclusive01,))</f>
        <v>VU</v>
      </c>
      <c r="U382" s="94" t="s">
        <v>112</v>
      </c>
      <c r="V382" s="95">
        <v>37</v>
      </c>
      <c r="W382" s="108"/>
      <c r="X382" s="109" t="s">
        <v>45</v>
      </c>
      <c r="Y382" s="20">
        <f t="shared" si="15"/>
        <v>1</v>
      </c>
      <c r="AA382" s="98">
        <f t="shared" si="16"/>
        <v>0.35983999999999838</v>
      </c>
      <c r="AB382" s="98">
        <f t="shared" si="17"/>
        <v>2</v>
      </c>
    </row>
    <row r="383" spans="1:28" ht="22.35" customHeight="1" thickBot="1" x14ac:dyDescent="0.3">
      <c r="A383" s="80" t="s">
        <v>666</v>
      </c>
      <c r="B383" s="80" t="s">
        <v>671</v>
      </c>
      <c r="C383" s="81">
        <v>18</v>
      </c>
      <c r="D383" s="23" t="s">
        <v>672</v>
      </c>
      <c r="F383" s="82" t="s">
        <v>673</v>
      </c>
      <c r="G383" s="21">
        <v>2</v>
      </c>
      <c r="H383" s="191">
        <v>16.899999999999999</v>
      </c>
      <c r="I383" s="21">
        <v>16.54016</v>
      </c>
      <c r="J383" s="23" t="s">
        <v>663</v>
      </c>
      <c r="K383" s="86" t="s">
        <v>674</v>
      </c>
      <c r="L383" s="86">
        <v>4</v>
      </c>
      <c r="M383" s="86"/>
      <c r="N383" s="87">
        <v>0</v>
      </c>
      <c r="O383" s="223"/>
      <c r="P383" s="224">
        <v>1</v>
      </c>
      <c r="Q383" s="224">
        <v>1</v>
      </c>
      <c r="R383" s="225">
        <v>18.899999999999999</v>
      </c>
      <c r="S383" s="226" t="s">
        <v>675</v>
      </c>
      <c r="T383" s="94" t="str">
        <f>INDEX([1]data!$B$1:$B$100,MATCH('04.02 - 10.02'!S383,[0]!exclusive01,))</f>
        <v>VU</v>
      </c>
      <c r="U383" s="106" t="s">
        <v>112</v>
      </c>
      <c r="V383" s="107">
        <v>37</v>
      </c>
      <c r="W383" s="108"/>
      <c r="X383" s="109" t="s">
        <v>55</v>
      </c>
      <c r="Y383" s="20">
        <f t="shared" si="15"/>
        <v>1</v>
      </c>
      <c r="AA383" s="98">
        <f t="shared" si="16"/>
        <v>0.35983999999999838</v>
      </c>
      <c r="AB383" s="98">
        <f t="shared" si="17"/>
        <v>2</v>
      </c>
    </row>
    <row r="384" spans="1:28" ht="22.35" customHeight="1" thickBot="1" x14ac:dyDescent="0.3">
      <c r="A384" s="80" t="s">
        <v>666</v>
      </c>
      <c r="B384" s="80" t="s">
        <v>676</v>
      </c>
      <c r="C384" s="81">
        <v>10</v>
      </c>
      <c r="D384" s="23" t="s">
        <v>677</v>
      </c>
      <c r="E384" s="23" t="s">
        <v>678</v>
      </c>
      <c r="F384" s="82" t="s">
        <v>679</v>
      </c>
      <c r="G384" s="21">
        <v>3</v>
      </c>
      <c r="H384" s="191">
        <v>22.9</v>
      </c>
      <c r="I384" s="21">
        <v>21.7896</v>
      </c>
      <c r="J384" s="23" t="s">
        <v>663</v>
      </c>
      <c r="K384" s="86" t="s">
        <v>680</v>
      </c>
      <c r="L384" s="86">
        <v>4</v>
      </c>
      <c r="M384" s="86"/>
      <c r="N384" s="87">
        <v>0</v>
      </c>
      <c r="O384" s="223"/>
      <c r="P384" s="224">
        <v>1</v>
      </c>
      <c r="Q384" s="224">
        <v>1</v>
      </c>
      <c r="R384" s="225" t="s">
        <v>371</v>
      </c>
      <c r="S384" s="226" t="s">
        <v>681</v>
      </c>
      <c r="T384" s="94" t="str">
        <f>INDEX([1]data!$B$1:$B$100,MATCH('04.02 - 10.02'!S384,[0]!exclusive01,))</f>
        <v>VU</v>
      </c>
      <c r="U384" s="106" t="s">
        <v>112</v>
      </c>
      <c r="V384" s="107">
        <v>37</v>
      </c>
      <c r="W384" s="108"/>
      <c r="X384" s="109" t="s">
        <v>117</v>
      </c>
      <c r="Y384" s="20">
        <f t="shared" si="15"/>
        <v>1</v>
      </c>
      <c r="AA384" s="98">
        <f t="shared" si="16"/>
        <v>1.1103999999999985</v>
      </c>
      <c r="AB384" s="98" t="e">
        <f t="shared" si="17"/>
        <v>#VALUE!</v>
      </c>
    </row>
    <row r="385" spans="1:35" ht="22.35" customHeight="1" thickBot="1" x14ac:dyDescent="0.3">
      <c r="A385" s="209" t="s">
        <v>682</v>
      </c>
      <c r="B385" s="209" t="s">
        <v>683</v>
      </c>
      <c r="C385" s="193">
        <v>36</v>
      </c>
      <c r="D385" s="194" t="s">
        <v>684</v>
      </c>
      <c r="E385" s="194" t="s">
        <v>685</v>
      </c>
      <c r="F385" s="227" t="s">
        <v>580</v>
      </c>
      <c r="G385" s="196">
        <v>3</v>
      </c>
      <c r="H385" s="191">
        <v>10.5</v>
      </c>
      <c r="I385" s="196">
        <v>9.9702400000000004</v>
      </c>
      <c r="J385" s="194" t="s">
        <v>663</v>
      </c>
      <c r="K385" s="198" t="s">
        <v>686</v>
      </c>
      <c r="L385" s="198">
        <v>4</v>
      </c>
      <c r="M385" s="198"/>
      <c r="N385" s="228">
        <v>0</v>
      </c>
      <c r="O385" s="229"/>
      <c r="P385" s="230">
        <v>1</v>
      </c>
      <c r="Q385" s="230">
        <v>1</v>
      </c>
      <c r="R385" s="231" t="s">
        <v>687</v>
      </c>
      <c r="S385" s="232" t="s">
        <v>688</v>
      </c>
      <c r="T385" s="125" t="str">
        <f>INDEX([1]data!$B$1:$B$100,MATCH('04.02 - 10.02'!S385,[0]!exclusive01,))</f>
        <v>VU</v>
      </c>
      <c r="U385" s="125" t="s">
        <v>112</v>
      </c>
      <c r="V385" s="233">
        <v>37</v>
      </c>
      <c r="W385" s="108"/>
      <c r="X385" s="109" t="s">
        <v>119</v>
      </c>
      <c r="Y385" s="20">
        <f t="shared" si="15"/>
        <v>1</v>
      </c>
      <c r="AA385" s="98">
        <f t="shared" si="16"/>
        <v>0.52975999999999956</v>
      </c>
      <c r="AB385" s="98" t="e">
        <f t="shared" si="17"/>
        <v>#VALUE!</v>
      </c>
    </row>
    <row r="386" spans="1:35" ht="22.35" customHeight="1" thickBot="1" x14ac:dyDescent="0.3">
      <c r="A386" s="127"/>
      <c r="B386" s="127"/>
      <c r="C386" s="128"/>
      <c r="D386" s="129"/>
      <c r="E386" s="129"/>
      <c r="F386" s="130"/>
      <c r="G386" s="132"/>
      <c r="H386" s="99"/>
      <c r="I386" s="158"/>
      <c r="J386" s="129"/>
      <c r="K386" s="159"/>
      <c r="L386" s="133"/>
      <c r="M386" s="133"/>
      <c r="N386" s="134"/>
      <c r="O386" s="135"/>
      <c r="P386" s="136"/>
      <c r="Q386" s="137"/>
      <c r="R386" s="138"/>
      <c r="S386" s="144" t="s">
        <v>138</v>
      </c>
      <c r="T386" s="112" t="s">
        <v>296</v>
      </c>
      <c r="U386" s="106"/>
      <c r="V386" s="107">
        <v>38</v>
      </c>
      <c r="W386" s="96"/>
      <c r="X386" s="97"/>
      <c r="Y386" s="20">
        <f t="shared" si="15"/>
        <v>0</v>
      </c>
      <c r="AA386" s="98">
        <f t="shared" si="16"/>
        <v>0</v>
      </c>
      <c r="AB386" s="98">
        <f t="shared" si="17"/>
        <v>0</v>
      </c>
      <c r="AC386" s="110"/>
      <c r="AD386" s="77"/>
      <c r="AE386" s="77"/>
      <c r="AF386" s="75"/>
      <c r="AG386" s="75"/>
      <c r="AH386" s="75"/>
      <c r="AI386" s="75"/>
    </row>
    <row r="387" spans="1:35" ht="22.35" customHeight="1" thickBot="1" x14ac:dyDescent="0.3">
      <c r="A387" s="80"/>
      <c r="B387" s="80"/>
      <c r="F387" s="141"/>
      <c r="H387" s="99"/>
      <c r="I387" s="84"/>
      <c r="K387" s="86"/>
      <c r="L387" s="86"/>
      <c r="M387" s="86"/>
      <c r="O387" s="100"/>
      <c r="P387" s="143"/>
      <c r="Q387" s="102"/>
      <c r="R387" s="103"/>
      <c r="S387" s="144" t="s">
        <v>138</v>
      </c>
      <c r="T387" s="112" t="s">
        <v>296</v>
      </c>
      <c r="U387" s="106"/>
      <c r="V387" s="107">
        <v>38</v>
      </c>
      <c r="W387" s="108"/>
      <c r="X387" s="109"/>
      <c r="Y387" s="20">
        <f t="shared" si="15"/>
        <v>0</v>
      </c>
      <c r="AA387" s="98">
        <f t="shared" si="16"/>
        <v>0</v>
      </c>
      <c r="AB387" s="98">
        <f t="shared" si="17"/>
        <v>0</v>
      </c>
      <c r="AC387" s="110"/>
      <c r="AD387" s="77"/>
      <c r="AE387" s="77"/>
      <c r="AF387" s="75"/>
      <c r="AG387" s="75"/>
      <c r="AH387" s="75"/>
      <c r="AI387" s="75"/>
    </row>
    <row r="388" spans="1:35" ht="22.35" customHeight="1" thickBot="1" x14ac:dyDescent="0.3">
      <c r="A388" s="80"/>
      <c r="B388" s="80"/>
      <c r="F388" s="141"/>
      <c r="H388" s="99"/>
      <c r="I388" s="84"/>
      <c r="K388" s="86"/>
      <c r="L388" s="86"/>
      <c r="M388" s="86"/>
      <c r="O388" s="100"/>
      <c r="P388" s="143"/>
      <c r="Q388" s="90"/>
      <c r="R388" s="91"/>
      <c r="S388" s="144" t="s">
        <v>138</v>
      </c>
      <c r="T388" s="112" t="s">
        <v>296</v>
      </c>
      <c r="U388" s="106"/>
      <c r="V388" s="107">
        <v>38</v>
      </c>
      <c r="W388" s="108"/>
      <c r="X388" s="109"/>
      <c r="Y388" s="20">
        <f t="shared" si="15"/>
        <v>0</v>
      </c>
      <c r="AA388" s="98">
        <f t="shared" si="16"/>
        <v>0</v>
      </c>
      <c r="AB388" s="98">
        <f t="shared" si="17"/>
        <v>0</v>
      </c>
      <c r="AC388" s="110"/>
      <c r="AD388" s="77"/>
      <c r="AE388" s="77"/>
      <c r="AF388" s="75"/>
      <c r="AG388" s="75"/>
      <c r="AH388" s="75"/>
      <c r="AI388" s="75"/>
    </row>
    <row r="389" spans="1:35" ht="22.35" customHeight="1" thickBot="1" x14ac:dyDescent="0.3">
      <c r="A389" s="80"/>
      <c r="B389" s="80"/>
      <c r="F389" s="141"/>
      <c r="H389" s="99"/>
      <c r="I389" s="84"/>
      <c r="K389" s="86"/>
      <c r="L389" s="86"/>
      <c r="M389" s="86"/>
      <c r="O389" s="100"/>
      <c r="P389" s="143"/>
      <c r="Q389" s="90"/>
      <c r="R389" s="91"/>
      <c r="S389" s="144" t="s">
        <v>138</v>
      </c>
      <c r="T389" s="112" t="s">
        <v>296</v>
      </c>
      <c r="U389" s="106"/>
      <c r="V389" s="107">
        <v>38</v>
      </c>
      <c r="W389" s="108"/>
      <c r="X389" s="109"/>
      <c r="Y389" s="20">
        <f t="shared" si="15"/>
        <v>0</v>
      </c>
      <c r="AA389" s="98">
        <f t="shared" si="16"/>
        <v>0</v>
      </c>
      <c r="AB389" s="98">
        <f t="shared" si="17"/>
        <v>0</v>
      </c>
      <c r="AC389" s="110"/>
      <c r="AD389" s="77"/>
      <c r="AE389" s="77"/>
      <c r="AF389" s="75"/>
      <c r="AG389" s="75"/>
      <c r="AH389" s="75"/>
      <c r="AI389" s="75"/>
    </row>
    <row r="390" spans="1:35" ht="22.35" customHeight="1" thickBot="1" x14ac:dyDescent="0.3">
      <c r="A390" s="80"/>
      <c r="B390" s="80"/>
      <c r="F390" s="141"/>
      <c r="H390" s="99"/>
      <c r="I390" s="84"/>
      <c r="K390" s="86"/>
      <c r="L390" s="86"/>
      <c r="M390" s="86"/>
      <c r="O390" s="100"/>
      <c r="P390" s="143"/>
      <c r="Q390" s="90"/>
      <c r="R390" s="91"/>
      <c r="S390" s="144" t="s">
        <v>138</v>
      </c>
      <c r="T390" s="112" t="s">
        <v>296</v>
      </c>
      <c r="U390" s="106"/>
      <c r="V390" s="107">
        <v>38</v>
      </c>
      <c r="W390" s="108"/>
      <c r="X390" s="109"/>
      <c r="Y390" s="20">
        <f t="shared" si="15"/>
        <v>0</v>
      </c>
      <c r="AA390" s="98">
        <f t="shared" si="16"/>
        <v>0</v>
      </c>
      <c r="AB390" s="98">
        <f t="shared" si="17"/>
        <v>0</v>
      </c>
      <c r="AC390" s="110"/>
      <c r="AD390" s="77"/>
      <c r="AE390" s="77"/>
      <c r="AF390" s="75"/>
      <c r="AG390" s="75"/>
      <c r="AH390" s="75"/>
      <c r="AI390" s="75"/>
    </row>
    <row r="391" spans="1:35" ht="22.35" customHeight="1" thickBot="1" x14ac:dyDescent="0.3">
      <c r="A391" s="80"/>
      <c r="B391" s="80"/>
      <c r="F391" s="141"/>
      <c r="H391" s="99"/>
      <c r="I391" s="84"/>
      <c r="K391" s="86"/>
      <c r="L391" s="86"/>
      <c r="M391" s="86"/>
      <c r="O391" s="100"/>
      <c r="P391" s="143"/>
      <c r="Q391" s="90"/>
      <c r="R391" s="91"/>
      <c r="S391" s="144" t="s">
        <v>138</v>
      </c>
      <c r="T391" s="112" t="s">
        <v>296</v>
      </c>
      <c r="U391" s="106"/>
      <c r="V391" s="107">
        <v>38</v>
      </c>
      <c r="W391" s="108"/>
      <c r="X391" s="109"/>
      <c r="Y391" s="20">
        <f t="shared" ref="Y391:Y454" si="18">COUNTIF(K:K,K391)</f>
        <v>0</v>
      </c>
      <c r="AA391" s="98">
        <f t="shared" si="16"/>
        <v>0</v>
      </c>
      <c r="AB391" s="98">
        <f t="shared" si="17"/>
        <v>0</v>
      </c>
      <c r="AC391" s="110"/>
      <c r="AD391" s="77"/>
      <c r="AE391" s="77"/>
      <c r="AF391" s="75"/>
      <c r="AG391" s="75"/>
      <c r="AH391" s="75"/>
      <c r="AI391" s="75"/>
    </row>
    <row r="392" spans="1:35" ht="22.35" customHeight="1" thickBot="1" x14ac:dyDescent="0.3">
      <c r="A392" s="80"/>
      <c r="B392" s="80"/>
      <c r="F392" s="141"/>
      <c r="H392" s="99"/>
      <c r="I392" s="84"/>
      <c r="K392" s="86"/>
      <c r="L392" s="86"/>
      <c r="M392" s="86"/>
      <c r="O392" s="100"/>
      <c r="P392" s="143"/>
      <c r="Q392" s="90"/>
      <c r="R392" s="91"/>
      <c r="S392" s="144" t="s">
        <v>138</v>
      </c>
      <c r="T392" s="112" t="s">
        <v>296</v>
      </c>
      <c r="U392" s="106"/>
      <c r="V392" s="107">
        <v>38</v>
      </c>
      <c r="W392" s="108"/>
      <c r="X392" s="109"/>
      <c r="Y392" s="20">
        <f t="shared" si="18"/>
        <v>0</v>
      </c>
      <c r="AA392" s="98">
        <f t="shared" si="16"/>
        <v>0</v>
      </c>
      <c r="AB392" s="98">
        <f t="shared" si="17"/>
        <v>0</v>
      </c>
      <c r="AC392" s="110"/>
      <c r="AD392" s="77"/>
      <c r="AE392" s="77"/>
      <c r="AF392" s="75"/>
      <c r="AG392" s="75"/>
      <c r="AH392" s="75"/>
      <c r="AI392" s="75"/>
    </row>
    <row r="393" spans="1:35" ht="22.35" customHeight="1" thickBot="1" x14ac:dyDescent="0.3">
      <c r="A393" s="80"/>
      <c r="B393" s="80"/>
      <c r="F393" s="141"/>
      <c r="H393" s="99"/>
      <c r="I393" s="84"/>
      <c r="K393" s="86"/>
      <c r="L393" s="86"/>
      <c r="M393" s="86"/>
      <c r="O393" s="100"/>
      <c r="P393" s="143"/>
      <c r="Q393" s="90"/>
      <c r="R393" s="91"/>
      <c r="S393" s="144" t="s">
        <v>138</v>
      </c>
      <c r="T393" s="112" t="s">
        <v>296</v>
      </c>
      <c r="U393" s="106"/>
      <c r="V393" s="107">
        <v>38</v>
      </c>
      <c r="W393" s="108"/>
      <c r="X393" s="109"/>
      <c r="Y393" s="20">
        <f t="shared" si="18"/>
        <v>0</v>
      </c>
      <c r="AA393" s="98">
        <f t="shared" si="16"/>
        <v>0</v>
      </c>
      <c r="AB393" s="98">
        <f t="shared" si="17"/>
        <v>0</v>
      </c>
      <c r="AC393" s="110"/>
      <c r="AD393" s="77"/>
      <c r="AE393" s="77"/>
      <c r="AF393" s="75"/>
      <c r="AG393" s="75"/>
      <c r="AH393" s="75"/>
      <c r="AI393" s="75"/>
    </row>
    <row r="394" spans="1:35" ht="22.35" customHeight="1" thickBot="1" x14ac:dyDescent="0.3">
      <c r="A394" s="80"/>
      <c r="B394" s="80"/>
      <c r="F394" s="141"/>
      <c r="H394" s="99"/>
      <c r="I394" s="84"/>
      <c r="K394" s="86"/>
      <c r="L394" s="86"/>
      <c r="M394" s="86"/>
      <c r="O394" s="100"/>
      <c r="P394" s="143"/>
      <c r="Q394" s="90"/>
      <c r="R394" s="91"/>
      <c r="S394" s="144" t="s">
        <v>138</v>
      </c>
      <c r="T394" s="112" t="s">
        <v>296</v>
      </c>
      <c r="U394" s="106"/>
      <c r="V394" s="107">
        <v>38</v>
      </c>
      <c r="W394" s="108"/>
      <c r="X394" s="109"/>
      <c r="Y394" s="20">
        <f t="shared" si="18"/>
        <v>0</v>
      </c>
      <c r="AA394" s="98">
        <f t="shared" si="16"/>
        <v>0</v>
      </c>
      <c r="AB394" s="98">
        <f t="shared" si="17"/>
        <v>0</v>
      </c>
      <c r="AC394" s="110"/>
      <c r="AD394" s="77"/>
      <c r="AE394" s="77"/>
      <c r="AF394" s="75"/>
      <c r="AG394" s="75"/>
      <c r="AH394" s="75"/>
      <c r="AI394" s="75"/>
    </row>
    <row r="395" spans="1:35" ht="22.35" customHeight="1" thickBot="1" x14ac:dyDescent="0.3">
      <c r="A395" s="80"/>
      <c r="B395" s="80"/>
      <c r="F395" s="141"/>
      <c r="H395" s="99"/>
      <c r="I395" s="84"/>
      <c r="K395" s="86"/>
      <c r="L395" s="86"/>
      <c r="M395" s="86"/>
      <c r="O395" s="100"/>
      <c r="P395" s="143"/>
      <c r="Q395" s="90"/>
      <c r="R395" s="91"/>
      <c r="S395" s="144" t="s">
        <v>138</v>
      </c>
      <c r="T395" s="112" t="s">
        <v>296</v>
      </c>
      <c r="U395" s="106"/>
      <c r="V395" s="107">
        <v>38</v>
      </c>
      <c r="W395" s="108"/>
      <c r="X395" s="109"/>
      <c r="Y395" s="20">
        <f t="shared" si="18"/>
        <v>0</v>
      </c>
      <c r="AA395" s="98">
        <f t="shared" si="16"/>
        <v>0</v>
      </c>
      <c r="AB395" s="98">
        <f t="shared" si="17"/>
        <v>0</v>
      </c>
      <c r="AC395" s="110"/>
      <c r="AD395" s="77"/>
      <c r="AE395" s="77"/>
      <c r="AF395" s="75"/>
      <c r="AG395" s="75"/>
      <c r="AH395" s="75"/>
      <c r="AI395" s="75"/>
    </row>
    <row r="396" spans="1:35" ht="22.35" customHeight="1" thickBot="1" x14ac:dyDescent="0.3">
      <c r="A396" s="80"/>
      <c r="B396" s="80"/>
      <c r="F396" s="141"/>
      <c r="H396" s="99"/>
      <c r="I396" s="84"/>
      <c r="K396" s="86"/>
      <c r="L396" s="86"/>
      <c r="M396" s="86"/>
      <c r="O396" s="100"/>
      <c r="P396" s="143"/>
      <c r="Q396" s="90"/>
      <c r="R396" s="91"/>
      <c r="S396" s="144" t="s">
        <v>138</v>
      </c>
      <c r="T396" s="112" t="s">
        <v>296</v>
      </c>
      <c r="U396" s="106"/>
      <c r="V396" s="107">
        <v>38</v>
      </c>
      <c r="W396" s="108"/>
      <c r="X396" s="109"/>
      <c r="Y396" s="20">
        <f t="shared" si="18"/>
        <v>0</v>
      </c>
      <c r="AA396" s="98">
        <f t="shared" si="16"/>
        <v>0</v>
      </c>
      <c r="AB396" s="98">
        <f t="shared" si="17"/>
        <v>0</v>
      </c>
      <c r="AC396" s="110"/>
      <c r="AD396" s="77"/>
      <c r="AE396" s="77"/>
      <c r="AF396" s="75"/>
      <c r="AG396" s="75"/>
      <c r="AH396" s="75"/>
      <c r="AI396" s="75"/>
    </row>
    <row r="397" spans="1:35" ht="22.35" customHeight="1" thickBot="1" x14ac:dyDescent="0.3">
      <c r="A397" s="80"/>
      <c r="B397" s="80"/>
      <c r="F397" s="141"/>
      <c r="H397" s="99"/>
      <c r="I397" s="84"/>
      <c r="K397" s="86"/>
      <c r="L397" s="86"/>
      <c r="M397" s="86"/>
      <c r="O397" s="100"/>
      <c r="P397" s="143"/>
      <c r="Q397" s="90"/>
      <c r="R397" s="91"/>
      <c r="S397" s="144" t="s">
        <v>138</v>
      </c>
      <c r="T397" s="112" t="s">
        <v>296</v>
      </c>
      <c r="U397" s="106"/>
      <c r="V397" s="107">
        <v>38</v>
      </c>
      <c r="W397" s="108"/>
      <c r="X397" s="109"/>
      <c r="Y397" s="20">
        <f t="shared" si="18"/>
        <v>0</v>
      </c>
      <c r="AA397" s="98">
        <f t="shared" si="16"/>
        <v>0</v>
      </c>
      <c r="AB397" s="98">
        <f t="shared" si="17"/>
        <v>0</v>
      </c>
      <c r="AC397" s="110"/>
      <c r="AD397" s="77"/>
      <c r="AE397" s="77"/>
      <c r="AF397" s="75"/>
      <c r="AG397" s="75"/>
      <c r="AH397" s="75"/>
      <c r="AI397" s="75"/>
    </row>
    <row r="398" spans="1:35" ht="22.35" customHeight="1" thickBot="1" x14ac:dyDescent="0.3">
      <c r="A398" s="80"/>
      <c r="B398" s="80"/>
      <c r="F398" s="141"/>
      <c r="H398" s="99"/>
      <c r="I398" s="84"/>
      <c r="K398" s="86"/>
      <c r="L398" s="86"/>
      <c r="M398" s="86"/>
      <c r="O398" s="100"/>
      <c r="P398" s="143"/>
      <c r="Q398" s="90"/>
      <c r="R398" s="91"/>
      <c r="S398" s="144" t="s">
        <v>138</v>
      </c>
      <c r="T398" s="112" t="s">
        <v>296</v>
      </c>
      <c r="U398" s="106"/>
      <c r="V398" s="107">
        <v>38</v>
      </c>
      <c r="W398" s="108"/>
      <c r="X398" s="109"/>
      <c r="Y398" s="20">
        <f t="shared" si="18"/>
        <v>0</v>
      </c>
      <c r="AA398" s="98">
        <f t="shared" si="16"/>
        <v>0</v>
      </c>
      <c r="AB398" s="98">
        <f t="shared" si="17"/>
        <v>0</v>
      </c>
      <c r="AC398" s="110"/>
      <c r="AD398" s="77"/>
      <c r="AE398" s="77"/>
      <c r="AF398" s="75"/>
      <c r="AG398" s="75"/>
      <c r="AH398" s="75"/>
      <c r="AI398" s="75"/>
    </row>
    <row r="399" spans="1:35" ht="22.35" customHeight="1" thickBot="1" x14ac:dyDescent="0.3">
      <c r="A399" s="80"/>
      <c r="B399" s="80"/>
      <c r="F399" s="141"/>
      <c r="H399" s="99"/>
      <c r="I399" s="84"/>
      <c r="K399" s="86"/>
      <c r="L399" s="86"/>
      <c r="M399" s="86"/>
      <c r="O399" s="100"/>
      <c r="P399" s="143"/>
      <c r="Q399" s="90"/>
      <c r="R399" s="91"/>
      <c r="S399" s="144" t="s">
        <v>138</v>
      </c>
      <c r="T399" s="112" t="s">
        <v>296</v>
      </c>
      <c r="U399" s="106"/>
      <c r="V399" s="107">
        <v>38</v>
      </c>
      <c r="W399" s="160"/>
      <c r="X399" s="161"/>
      <c r="Y399" s="20">
        <f t="shared" si="18"/>
        <v>0</v>
      </c>
      <c r="AA399" s="98">
        <f t="shared" si="16"/>
        <v>0</v>
      </c>
      <c r="AB399" s="98">
        <f t="shared" si="17"/>
        <v>0</v>
      </c>
      <c r="AC399" s="110"/>
      <c r="AD399" s="77"/>
      <c r="AE399" s="77"/>
      <c r="AF399" s="75"/>
      <c r="AG399" s="75"/>
      <c r="AH399" s="75"/>
      <c r="AI399" s="75"/>
    </row>
    <row r="400" spans="1:35" ht="22.35" customHeight="1" thickBot="1" x14ac:dyDescent="0.3">
      <c r="A400" s="80"/>
      <c r="B400" s="80"/>
      <c r="F400" s="141"/>
      <c r="H400" s="99"/>
      <c r="I400" s="84"/>
      <c r="K400" s="86"/>
      <c r="L400" s="86"/>
      <c r="M400" s="86"/>
      <c r="O400" s="100"/>
      <c r="P400" s="143"/>
      <c r="Q400" s="90"/>
      <c r="R400" s="91"/>
      <c r="S400" s="144" t="s">
        <v>138</v>
      </c>
      <c r="T400" s="112" t="s">
        <v>296</v>
      </c>
      <c r="U400" s="106"/>
      <c r="V400" s="107">
        <v>38</v>
      </c>
      <c r="W400" s="160"/>
      <c r="X400" s="161"/>
      <c r="Y400" s="20">
        <f t="shared" si="18"/>
        <v>0</v>
      </c>
      <c r="AA400" s="98">
        <f t="shared" si="16"/>
        <v>0</v>
      </c>
      <c r="AB400" s="98">
        <f t="shared" si="17"/>
        <v>0</v>
      </c>
      <c r="AC400" s="110"/>
      <c r="AD400" s="77"/>
      <c r="AE400" s="77"/>
      <c r="AF400" s="75"/>
      <c r="AG400" s="75"/>
      <c r="AH400" s="75"/>
      <c r="AI400" s="75"/>
    </row>
    <row r="401" spans="1:35" ht="22.35" customHeight="1" thickBot="1" x14ac:dyDescent="0.3">
      <c r="A401" s="252"/>
      <c r="B401" s="252"/>
      <c r="C401" s="253"/>
      <c r="D401" s="254"/>
      <c r="E401" s="254"/>
      <c r="F401" s="195"/>
      <c r="G401" s="196"/>
      <c r="H401" s="255"/>
      <c r="I401" s="256"/>
      <c r="J401" s="257"/>
      <c r="K401" s="258"/>
      <c r="L401" s="258"/>
      <c r="M401" s="258"/>
      <c r="N401" s="228"/>
      <c r="O401" s="200"/>
      <c r="P401" s="202"/>
      <c r="Q401" s="259"/>
      <c r="R401" s="260"/>
      <c r="S401" s="155" t="s">
        <v>138</v>
      </c>
      <c r="T401" s="124" t="s">
        <v>296</v>
      </c>
      <c r="U401" s="125"/>
      <c r="V401" s="126">
        <v>38</v>
      </c>
      <c r="W401" s="160"/>
      <c r="X401" s="161"/>
      <c r="Y401" s="20">
        <f t="shared" si="18"/>
        <v>0</v>
      </c>
      <c r="AA401" s="98">
        <f t="shared" si="16"/>
        <v>0</v>
      </c>
      <c r="AB401" s="98">
        <f t="shared" si="17"/>
        <v>0</v>
      </c>
      <c r="AC401" s="110"/>
      <c r="AD401" s="77"/>
      <c r="AE401" s="77"/>
      <c r="AF401" s="75"/>
      <c r="AG401" s="75"/>
      <c r="AH401" s="75"/>
      <c r="AI401" s="75"/>
    </row>
    <row r="402" spans="1:35" ht="22.35" customHeight="1" thickBot="1" x14ac:dyDescent="0.3">
      <c r="A402" s="175"/>
      <c r="B402" s="175"/>
      <c r="C402" s="176"/>
      <c r="D402" s="177" t="s">
        <v>689</v>
      </c>
      <c r="E402" s="178"/>
      <c r="F402" s="179"/>
      <c r="G402" s="180"/>
      <c r="H402" s="181"/>
      <c r="I402" s="180"/>
      <c r="J402" s="178"/>
      <c r="K402" s="182"/>
      <c r="L402" s="182"/>
      <c r="M402" s="182"/>
      <c r="N402" s="183"/>
      <c r="O402" s="184"/>
      <c r="P402" s="184"/>
      <c r="Q402" s="184"/>
      <c r="R402" s="185"/>
      <c r="S402" s="186"/>
      <c r="T402" s="187" t="s">
        <v>296</v>
      </c>
      <c r="U402" s="188"/>
      <c r="V402" s="189"/>
      <c r="W402" s="188"/>
      <c r="X402" s="190"/>
      <c r="Y402" s="20">
        <f t="shared" si="18"/>
        <v>0</v>
      </c>
      <c r="AA402" s="98">
        <f t="shared" si="16"/>
        <v>0</v>
      </c>
      <c r="AB402" s="98">
        <f t="shared" si="17"/>
        <v>0</v>
      </c>
    </row>
    <row r="403" spans="1:35" ht="22.35" customHeight="1" thickBot="1" x14ac:dyDescent="0.3">
      <c r="A403" s="127" t="s">
        <v>103</v>
      </c>
      <c r="B403" s="127" t="s">
        <v>690</v>
      </c>
      <c r="C403" s="128">
        <v>16</v>
      </c>
      <c r="D403" s="129" t="s">
        <v>691</v>
      </c>
      <c r="E403" s="129" t="s">
        <v>692</v>
      </c>
      <c r="F403" s="130" t="s">
        <v>274</v>
      </c>
      <c r="G403" s="132">
        <v>2</v>
      </c>
      <c r="H403" s="277">
        <v>17.899999999999999</v>
      </c>
      <c r="I403" s="158">
        <v>16.690239999999999</v>
      </c>
      <c r="J403" s="129" t="s">
        <v>693</v>
      </c>
      <c r="K403" s="159" t="s">
        <v>694</v>
      </c>
      <c r="L403" s="133">
        <v>1</v>
      </c>
      <c r="M403" s="133"/>
      <c r="N403" s="134"/>
      <c r="O403" s="135"/>
      <c r="P403" s="136">
        <v>1</v>
      </c>
      <c r="Q403" s="137">
        <v>1</v>
      </c>
      <c r="R403" s="138" t="s">
        <v>340</v>
      </c>
      <c r="S403" s="144" t="s">
        <v>695</v>
      </c>
      <c r="T403" s="112" t="s">
        <v>296</v>
      </c>
      <c r="U403" s="106" t="s">
        <v>696</v>
      </c>
      <c r="V403" s="107">
        <v>39</v>
      </c>
      <c r="W403" s="96">
        <v>1</v>
      </c>
      <c r="X403" s="97" t="s">
        <v>45</v>
      </c>
      <c r="Y403" s="20">
        <f t="shared" si="18"/>
        <v>1</v>
      </c>
      <c r="AA403" s="98">
        <f t="shared" si="16"/>
        <v>1.2097599999999993</v>
      </c>
      <c r="AB403" s="98" t="e">
        <f t="shared" si="17"/>
        <v>#VALUE!</v>
      </c>
    </row>
    <row r="404" spans="1:35" ht="22.35" customHeight="1" thickBot="1" x14ac:dyDescent="0.3">
      <c r="A404" s="80" t="s">
        <v>607</v>
      </c>
      <c r="B404" s="80" t="s">
        <v>697</v>
      </c>
      <c r="C404" s="81">
        <v>12</v>
      </c>
      <c r="D404" s="23" t="s">
        <v>698</v>
      </c>
      <c r="E404" s="23" t="s">
        <v>699</v>
      </c>
      <c r="F404" s="141" t="s">
        <v>175</v>
      </c>
      <c r="G404" s="21">
        <v>1</v>
      </c>
      <c r="H404" s="191">
        <v>23.9</v>
      </c>
      <c r="I404" s="84">
        <v>22.29</v>
      </c>
      <c r="J404" s="23" t="s">
        <v>693</v>
      </c>
      <c r="K404" s="86" t="s">
        <v>700</v>
      </c>
      <c r="L404" s="86">
        <v>1</v>
      </c>
      <c r="M404" s="86"/>
      <c r="O404" s="100"/>
      <c r="P404" s="143">
        <v>1</v>
      </c>
      <c r="Q404" s="102">
        <v>1</v>
      </c>
      <c r="R404" s="103" t="s">
        <v>499</v>
      </c>
      <c r="S404" s="144" t="s">
        <v>695</v>
      </c>
      <c r="T404" s="112" t="s">
        <v>296</v>
      </c>
      <c r="U404" s="106" t="s">
        <v>696</v>
      </c>
      <c r="V404" s="107">
        <v>39</v>
      </c>
      <c r="W404" s="108"/>
      <c r="X404" s="109" t="s">
        <v>50</v>
      </c>
      <c r="Y404" s="20">
        <f t="shared" si="18"/>
        <v>1</v>
      </c>
      <c r="AA404" s="98">
        <f t="shared" si="16"/>
        <v>1.6099999999999994</v>
      </c>
      <c r="AB404" s="98" t="e">
        <f t="shared" si="17"/>
        <v>#VALUE!</v>
      </c>
    </row>
    <row r="405" spans="1:35" ht="22.35" customHeight="1" thickBot="1" x14ac:dyDescent="0.3">
      <c r="A405" s="80" t="s">
        <v>328</v>
      </c>
      <c r="B405" s="80" t="s">
        <v>701</v>
      </c>
      <c r="C405" s="81">
        <v>10</v>
      </c>
      <c r="D405" s="23" t="s">
        <v>702</v>
      </c>
      <c r="E405" s="23" t="s">
        <v>703</v>
      </c>
      <c r="F405" s="141" t="s">
        <v>40</v>
      </c>
      <c r="G405" s="21">
        <v>4</v>
      </c>
      <c r="H405" s="191">
        <v>12.5</v>
      </c>
      <c r="I405" s="84">
        <v>12.210240000000001</v>
      </c>
      <c r="J405" s="23" t="s">
        <v>704</v>
      </c>
      <c r="K405" s="86" t="s">
        <v>705</v>
      </c>
      <c r="L405" s="86">
        <v>1</v>
      </c>
      <c r="M405" s="86"/>
      <c r="O405" s="100"/>
      <c r="P405" s="143">
        <v>1</v>
      </c>
      <c r="Q405" s="102">
        <v>1</v>
      </c>
      <c r="R405" s="103">
        <v>13.5</v>
      </c>
      <c r="S405" s="144" t="s">
        <v>695</v>
      </c>
      <c r="T405" s="112" t="s">
        <v>296</v>
      </c>
      <c r="U405" s="106" t="s">
        <v>696</v>
      </c>
      <c r="V405" s="107">
        <v>39</v>
      </c>
      <c r="W405" s="108"/>
      <c r="X405" s="109" t="s">
        <v>55</v>
      </c>
      <c r="Y405" s="20">
        <f t="shared" si="18"/>
        <v>1</v>
      </c>
      <c r="AA405" s="98">
        <f t="shared" si="16"/>
        <v>0.28975999999999935</v>
      </c>
      <c r="AB405" s="98">
        <f t="shared" si="17"/>
        <v>1</v>
      </c>
    </row>
    <row r="406" spans="1:35" ht="22.35" customHeight="1" thickBot="1" x14ac:dyDescent="0.3">
      <c r="A406" s="80" t="s">
        <v>655</v>
      </c>
      <c r="B406" s="80" t="s">
        <v>706</v>
      </c>
      <c r="C406" s="81">
        <v>15</v>
      </c>
      <c r="D406" s="23" t="s">
        <v>707</v>
      </c>
      <c r="E406" s="23" t="s">
        <v>708</v>
      </c>
      <c r="F406" s="141" t="s">
        <v>709</v>
      </c>
      <c r="G406" s="21">
        <v>1</v>
      </c>
      <c r="H406" s="191">
        <v>37.9</v>
      </c>
      <c r="I406" s="84">
        <v>36.96</v>
      </c>
      <c r="J406" s="23" t="s">
        <v>710</v>
      </c>
      <c r="K406" s="86" t="s">
        <v>711</v>
      </c>
      <c r="L406" s="86">
        <v>1</v>
      </c>
      <c r="M406" s="86"/>
      <c r="O406" s="100"/>
      <c r="P406" s="143">
        <v>1</v>
      </c>
      <c r="Q406" s="102">
        <v>1</v>
      </c>
      <c r="R406" s="103" t="s">
        <v>712</v>
      </c>
      <c r="S406" s="144" t="s">
        <v>695</v>
      </c>
      <c r="T406" s="112" t="s">
        <v>296</v>
      </c>
      <c r="U406" s="106" t="s">
        <v>696</v>
      </c>
      <c r="V406" s="107">
        <v>39</v>
      </c>
      <c r="W406" s="108"/>
      <c r="X406" s="109" t="s">
        <v>59</v>
      </c>
      <c r="Y406" s="20">
        <f t="shared" si="18"/>
        <v>1</v>
      </c>
      <c r="AA406" s="98">
        <f t="shared" si="16"/>
        <v>0.93999999999999773</v>
      </c>
      <c r="AB406" s="98" t="e">
        <f t="shared" si="17"/>
        <v>#VALUE!</v>
      </c>
    </row>
    <row r="407" spans="1:35" ht="22.35" customHeight="1" thickBot="1" x14ac:dyDescent="0.3">
      <c r="A407" s="80" t="s">
        <v>255</v>
      </c>
      <c r="B407" s="80" t="s">
        <v>713</v>
      </c>
      <c r="C407" s="81">
        <v>15</v>
      </c>
      <c r="D407" s="23" t="s">
        <v>714</v>
      </c>
      <c r="E407" s="23" t="s">
        <v>715</v>
      </c>
      <c r="F407" s="141" t="s">
        <v>709</v>
      </c>
      <c r="G407" s="21">
        <v>1</v>
      </c>
      <c r="H407" s="191">
        <v>37.9</v>
      </c>
      <c r="I407" s="84">
        <v>36.96</v>
      </c>
      <c r="J407" s="23" t="s">
        <v>710</v>
      </c>
      <c r="K407" s="86" t="s">
        <v>716</v>
      </c>
      <c r="L407" s="86">
        <v>1</v>
      </c>
      <c r="M407" s="86"/>
      <c r="O407" s="100"/>
      <c r="P407" s="143">
        <v>1</v>
      </c>
      <c r="Q407" s="102">
        <v>1</v>
      </c>
      <c r="R407" s="103" t="s">
        <v>712</v>
      </c>
      <c r="S407" s="144" t="s">
        <v>695</v>
      </c>
      <c r="T407" s="112" t="s">
        <v>296</v>
      </c>
      <c r="U407" s="106" t="s">
        <v>717</v>
      </c>
      <c r="V407" s="107">
        <v>39</v>
      </c>
      <c r="W407" s="108"/>
      <c r="X407" s="109" t="s">
        <v>63</v>
      </c>
      <c r="Y407" s="20">
        <f t="shared" si="18"/>
        <v>1</v>
      </c>
      <c r="AA407" s="98">
        <f t="shared" si="16"/>
        <v>0.93999999999999773</v>
      </c>
      <c r="AB407" s="98" t="e">
        <f t="shared" si="17"/>
        <v>#VALUE!</v>
      </c>
    </row>
    <row r="408" spans="1:35" ht="22.35" customHeight="1" thickBot="1" x14ac:dyDescent="0.3">
      <c r="A408" s="80" t="s">
        <v>718</v>
      </c>
      <c r="B408" s="80" t="s">
        <v>719</v>
      </c>
      <c r="C408" s="81">
        <v>12</v>
      </c>
      <c r="D408" s="23" t="s">
        <v>720</v>
      </c>
      <c r="E408" s="23" t="s">
        <v>721</v>
      </c>
      <c r="F408" s="141" t="s">
        <v>722</v>
      </c>
      <c r="G408" s="21">
        <v>1</v>
      </c>
      <c r="H408" s="191">
        <v>105</v>
      </c>
      <c r="I408" s="84">
        <v>103.6</v>
      </c>
      <c r="J408" s="23" t="s">
        <v>723</v>
      </c>
      <c r="K408" s="86" t="s">
        <v>724</v>
      </c>
      <c r="L408" s="86">
        <v>1</v>
      </c>
      <c r="M408" s="86"/>
      <c r="O408" s="100"/>
      <c r="P408" s="143">
        <v>1</v>
      </c>
      <c r="Q408" s="102">
        <v>1</v>
      </c>
      <c r="R408" s="103" t="s">
        <v>725</v>
      </c>
      <c r="S408" s="144" t="s">
        <v>695</v>
      </c>
      <c r="T408" s="112" t="s">
        <v>296</v>
      </c>
      <c r="U408" s="106" t="s">
        <v>717</v>
      </c>
      <c r="V408" s="107">
        <v>39</v>
      </c>
      <c r="W408" s="108"/>
      <c r="X408" s="109" t="s">
        <v>66</v>
      </c>
      <c r="Y408" s="20">
        <f t="shared" si="18"/>
        <v>1</v>
      </c>
      <c r="AA408" s="98">
        <f t="shared" si="16"/>
        <v>1.4000000000000057</v>
      </c>
      <c r="AB408" s="98" t="e">
        <f t="shared" si="17"/>
        <v>#VALUE!</v>
      </c>
    </row>
    <row r="409" spans="1:35" ht="22.35" customHeight="1" thickBot="1" x14ac:dyDescent="0.3">
      <c r="A409" s="80" t="s">
        <v>103</v>
      </c>
      <c r="B409" s="80" t="s">
        <v>726</v>
      </c>
      <c r="C409" s="81">
        <v>30</v>
      </c>
      <c r="D409" s="23" t="s">
        <v>727</v>
      </c>
      <c r="E409" s="23" t="s">
        <v>728</v>
      </c>
      <c r="F409" s="141" t="s">
        <v>274</v>
      </c>
      <c r="G409" s="21" t="s">
        <v>89</v>
      </c>
      <c r="H409" s="191">
        <v>9.5</v>
      </c>
      <c r="I409" s="84">
        <v>9.3004800000000003</v>
      </c>
      <c r="J409" s="23" t="s">
        <v>729</v>
      </c>
      <c r="K409" s="86" t="s">
        <v>730</v>
      </c>
      <c r="L409" s="86">
        <v>1</v>
      </c>
      <c r="M409" s="86"/>
      <c r="O409" s="100"/>
      <c r="P409" s="143">
        <v>1</v>
      </c>
      <c r="Q409" s="102">
        <v>1</v>
      </c>
      <c r="R409" s="103" t="s">
        <v>641</v>
      </c>
      <c r="S409" s="144" t="s">
        <v>695</v>
      </c>
      <c r="T409" s="112" t="s">
        <v>296</v>
      </c>
      <c r="U409" s="106" t="s">
        <v>717</v>
      </c>
      <c r="V409" s="107">
        <v>39</v>
      </c>
      <c r="W409" s="108"/>
      <c r="X409" s="109" t="s">
        <v>179</v>
      </c>
      <c r="Y409" s="20">
        <f t="shared" si="18"/>
        <v>1</v>
      </c>
      <c r="AA409" s="98">
        <f t="shared" si="16"/>
        <v>0.1995199999999997</v>
      </c>
      <c r="AB409" s="98" t="e">
        <f t="shared" si="17"/>
        <v>#VALUE!</v>
      </c>
    </row>
    <row r="410" spans="1:35" ht="22.35" customHeight="1" thickBot="1" x14ac:dyDescent="0.3">
      <c r="A410" s="80" t="s">
        <v>731</v>
      </c>
      <c r="B410" s="80" t="s">
        <v>732</v>
      </c>
      <c r="C410" s="81">
        <v>6</v>
      </c>
      <c r="D410" s="23" t="s">
        <v>733</v>
      </c>
      <c r="E410" s="23" t="s">
        <v>734</v>
      </c>
      <c r="F410" s="141" t="s">
        <v>735</v>
      </c>
      <c r="G410" s="21">
        <v>2</v>
      </c>
      <c r="H410" s="277">
        <v>42.9</v>
      </c>
      <c r="I410" s="84">
        <v>40.32</v>
      </c>
      <c r="J410" s="23" t="s">
        <v>736</v>
      </c>
      <c r="K410" s="86" t="s">
        <v>737</v>
      </c>
      <c r="L410" s="86">
        <v>1</v>
      </c>
      <c r="M410" s="86"/>
      <c r="O410" s="100"/>
      <c r="P410" s="143">
        <v>1</v>
      </c>
      <c r="Q410" s="102">
        <v>1</v>
      </c>
      <c r="R410" s="103" t="s">
        <v>738</v>
      </c>
      <c r="S410" s="144" t="s">
        <v>695</v>
      </c>
      <c r="T410" s="112" t="s">
        <v>296</v>
      </c>
      <c r="U410" s="106" t="s">
        <v>717</v>
      </c>
      <c r="V410" s="107">
        <v>39</v>
      </c>
      <c r="W410" s="108">
        <v>1</v>
      </c>
      <c r="X410" s="109" t="s">
        <v>70</v>
      </c>
      <c r="Y410" s="20">
        <f t="shared" si="18"/>
        <v>1</v>
      </c>
      <c r="AA410" s="98">
        <f t="shared" si="16"/>
        <v>2.5799999999999983</v>
      </c>
      <c r="AB410" s="98" t="e">
        <f t="shared" si="17"/>
        <v>#VALUE!</v>
      </c>
    </row>
    <row r="411" spans="1:35" ht="22.35" customHeight="1" thickBot="1" x14ac:dyDescent="0.3">
      <c r="A411" s="80" t="s">
        <v>103</v>
      </c>
      <c r="B411" s="80" t="s">
        <v>739</v>
      </c>
      <c r="C411" s="81">
        <v>32</v>
      </c>
      <c r="D411" s="23" t="s">
        <v>740</v>
      </c>
      <c r="E411" s="23" t="s">
        <v>741</v>
      </c>
      <c r="F411" s="141" t="s">
        <v>742</v>
      </c>
      <c r="G411" s="21" t="s">
        <v>89</v>
      </c>
      <c r="H411" s="191">
        <v>5.9</v>
      </c>
      <c r="I411" s="84">
        <v>5.6</v>
      </c>
      <c r="J411" s="23" t="s">
        <v>743</v>
      </c>
      <c r="K411" s="86" t="s">
        <v>744</v>
      </c>
      <c r="L411" s="86">
        <v>1</v>
      </c>
      <c r="M411" s="86"/>
      <c r="O411" s="100"/>
      <c r="P411" s="143">
        <v>1</v>
      </c>
      <c r="Q411" s="102">
        <v>1</v>
      </c>
      <c r="R411" s="103" t="s">
        <v>745</v>
      </c>
      <c r="S411" s="144" t="s">
        <v>695</v>
      </c>
      <c r="T411" s="112" t="s">
        <v>296</v>
      </c>
      <c r="U411" s="106" t="s">
        <v>728</v>
      </c>
      <c r="V411" s="107">
        <v>39</v>
      </c>
      <c r="W411" s="108"/>
      <c r="X411" s="109" t="s">
        <v>199</v>
      </c>
      <c r="Y411" s="20">
        <f t="shared" si="18"/>
        <v>1</v>
      </c>
      <c r="AA411" s="98">
        <f t="shared" si="16"/>
        <v>0.30000000000000071</v>
      </c>
      <c r="AB411" s="98" t="e">
        <f t="shared" si="17"/>
        <v>#VALUE!</v>
      </c>
    </row>
    <row r="412" spans="1:35" ht="22.35" customHeight="1" thickBot="1" x14ac:dyDescent="0.3">
      <c r="A412" s="80" t="s">
        <v>381</v>
      </c>
      <c r="B412" s="80" t="s">
        <v>746</v>
      </c>
      <c r="C412" s="81">
        <v>6</v>
      </c>
      <c r="D412" s="23" t="s">
        <v>747</v>
      </c>
      <c r="E412" s="23" t="s">
        <v>748</v>
      </c>
      <c r="F412" s="141" t="s">
        <v>709</v>
      </c>
      <c r="G412" s="21">
        <v>2</v>
      </c>
      <c r="H412" s="191">
        <v>77.900000000000006</v>
      </c>
      <c r="I412" s="84">
        <v>74.240319999999997</v>
      </c>
      <c r="J412" s="23" t="s">
        <v>749</v>
      </c>
      <c r="K412" s="86" t="s">
        <v>750</v>
      </c>
      <c r="L412" s="86">
        <v>2</v>
      </c>
      <c r="M412" s="86"/>
      <c r="O412" s="100"/>
      <c r="P412" s="143">
        <v>1</v>
      </c>
      <c r="Q412" s="102">
        <v>1</v>
      </c>
      <c r="R412" s="103" t="s">
        <v>395</v>
      </c>
      <c r="S412" s="144" t="s">
        <v>695</v>
      </c>
      <c r="T412" s="112" t="s">
        <v>296</v>
      </c>
      <c r="U412" s="106" t="s">
        <v>728</v>
      </c>
      <c r="V412" s="107">
        <v>39</v>
      </c>
      <c r="W412" s="108"/>
      <c r="X412" s="109" t="s">
        <v>117</v>
      </c>
      <c r="Y412" s="20">
        <f t="shared" si="18"/>
        <v>1</v>
      </c>
      <c r="AA412" s="98">
        <f t="shared" si="16"/>
        <v>3.6596800000000087</v>
      </c>
      <c r="AB412" s="98" t="e">
        <f t="shared" si="17"/>
        <v>#VALUE!</v>
      </c>
    </row>
    <row r="413" spans="1:35" ht="22.35" customHeight="1" thickBot="1" x14ac:dyDescent="0.3">
      <c r="A413" s="192" t="s">
        <v>255</v>
      </c>
      <c r="B413" s="192" t="s">
        <v>751</v>
      </c>
      <c r="C413" s="193">
        <v>8</v>
      </c>
      <c r="D413" s="194" t="s">
        <v>752</v>
      </c>
      <c r="E413" s="194" t="s">
        <v>753</v>
      </c>
      <c r="F413" s="195" t="s">
        <v>754</v>
      </c>
      <c r="G413" s="196" t="s">
        <v>89</v>
      </c>
      <c r="H413" s="191">
        <v>21.9</v>
      </c>
      <c r="I413" s="197">
        <v>21.84</v>
      </c>
      <c r="J413" s="194" t="s">
        <v>755</v>
      </c>
      <c r="K413" s="198" t="s">
        <v>756</v>
      </c>
      <c r="L413" s="198">
        <v>1</v>
      </c>
      <c r="M413" s="198"/>
      <c r="N413" s="228"/>
      <c r="O413" s="200"/>
      <c r="P413" s="201">
        <v>1</v>
      </c>
      <c r="Q413" s="202">
        <v>1</v>
      </c>
      <c r="R413" s="315">
        <v>24.9</v>
      </c>
      <c r="S413" s="144" t="s">
        <v>695</v>
      </c>
      <c r="T413" s="112" t="s">
        <v>296</v>
      </c>
      <c r="U413" s="106" t="s">
        <v>728</v>
      </c>
      <c r="V413" s="107">
        <v>39</v>
      </c>
      <c r="W413" s="108"/>
      <c r="X413" s="109" t="s">
        <v>209</v>
      </c>
      <c r="Y413" s="20">
        <f t="shared" si="18"/>
        <v>1</v>
      </c>
      <c r="AA413" s="98">
        <f t="shared" si="16"/>
        <v>5.9999999999998721E-2</v>
      </c>
      <c r="AB413" s="98">
        <f t="shared" si="17"/>
        <v>3</v>
      </c>
    </row>
    <row r="414" spans="1:35" ht="22.35" customHeight="1" thickBot="1" x14ac:dyDescent="0.3">
      <c r="A414" s="209"/>
      <c r="B414" s="209"/>
      <c r="C414" s="193"/>
      <c r="D414" s="194"/>
      <c r="E414" s="194"/>
      <c r="F414" s="227"/>
      <c r="G414" s="196"/>
      <c r="H414" s="246"/>
      <c r="I414" s="196"/>
      <c r="J414" s="194"/>
      <c r="K414" s="198"/>
      <c r="L414" s="198">
        <v>4</v>
      </c>
      <c r="M414" s="198"/>
      <c r="N414" s="228">
        <v>0</v>
      </c>
      <c r="O414" s="316"/>
      <c r="P414" s="317"/>
      <c r="Q414" s="317"/>
      <c r="R414" s="318"/>
      <c r="S414" s="220" t="s">
        <v>757</v>
      </c>
      <c r="T414" s="221" t="str">
        <f>INDEX([1]data!$B$1:$B$100,MATCH('04.02 - 10.02'!S414,[0]!exclusive01,))</f>
        <v>VU</v>
      </c>
      <c r="U414" s="221"/>
      <c r="V414" s="222">
        <v>39</v>
      </c>
      <c r="W414" s="108"/>
      <c r="X414" s="109" t="s">
        <v>119</v>
      </c>
      <c r="Y414" s="20">
        <f t="shared" si="18"/>
        <v>0</v>
      </c>
      <c r="AA414" s="98">
        <f t="shared" si="16"/>
        <v>0</v>
      </c>
      <c r="AB414" s="98">
        <f t="shared" si="17"/>
        <v>0</v>
      </c>
    </row>
    <row r="415" spans="1:35" ht="22.35" customHeight="1" thickBot="1" x14ac:dyDescent="0.3">
      <c r="A415" s="80"/>
      <c r="B415" s="80">
        <v>8585002443304</v>
      </c>
      <c r="C415" s="81">
        <v>12</v>
      </c>
      <c r="D415" s="23" t="s">
        <v>758</v>
      </c>
      <c r="E415" s="23" t="s">
        <v>759</v>
      </c>
      <c r="F415" s="82" t="s">
        <v>760</v>
      </c>
      <c r="G415" s="21" t="s">
        <v>89</v>
      </c>
      <c r="H415" s="191">
        <v>29.9</v>
      </c>
      <c r="I415" s="21">
        <v>28.57</v>
      </c>
      <c r="J415" s="23" t="s">
        <v>421</v>
      </c>
      <c r="K415" s="86">
        <v>4053805</v>
      </c>
      <c r="L415" s="86">
        <v>4</v>
      </c>
      <c r="M415" s="86"/>
      <c r="N415" s="87">
        <v>0</v>
      </c>
      <c r="O415" s="223">
        <v>985</v>
      </c>
      <c r="P415" s="224">
        <v>1</v>
      </c>
      <c r="Q415" s="224">
        <v>1</v>
      </c>
      <c r="R415" s="225">
        <v>31.9</v>
      </c>
      <c r="S415" s="208" t="s">
        <v>761</v>
      </c>
      <c r="T415" s="94" t="str">
        <f>INDEX([1]data!$B$1:$B$100,MATCH('04.02 - 10.02'!S415,[0]!exclusive01,))</f>
        <v>DUCANH</v>
      </c>
      <c r="U415" s="94"/>
      <c r="V415" s="95">
        <v>40</v>
      </c>
      <c r="W415" s="108"/>
      <c r="X415" s="109" t="s">
        <v>45</v>
      </c>
      <c r="Y415" s="20">
        <f t="shared" si="18"/>
        <v>1</v>
      </c>
      <c r="AA415" s="98">
        <f t="shared" si="16"/>
        <v>1.3299999999999983</v>
      </c>
      <c r="AB415" s="98">
        <f t="shared" si="17"/>
        <v>2</v>
      </c>
    </row>
    <row r="416" spans="1:35" ht="22.35" customHeight="1" thickBot="1" x14ac:dyDescent="0.3">
      <c r="A416" s="80" t="s">
        <v>328</v>
      </c>
      <c r="B416" s="80" t="s">
        <v>762</v>
      </c>
      <c r="C416" s="81">
        <v>6</v>
      </c>
      <c r="D416" s="23" t="s">
        <v>763</v>
      </c>
      <c r="E416" s="23" t="s">
        <v>764</v>
      </c>
      <c r="F416" s="82" t="s">
        <v>765</v>
      </c>
      <c r="G416" s="21" t="s">
        <v>538</v>
      </c>
      <c r="H416" s="191">
        <v>47.9</v>
      </c>
      <c r="I416" s="21">
        <v>40.880000000000003</v>
      </c>
      <c r="J416" s="23" t="s">
        <v>766</v>
      </c>
      <c r="K416" s="86" t="s">
        <v>767</v>
      </c>
      <c r="L416" s="86">
        <v>4</v>
      </c>
      <c r="M416" s="86"/>
      <c r="N416" s="87">
        <v>1</v>
      </c>
      <c r="O416" s="223"/>
      <c r="P416" s="224">
        <v>1</v>
      </c>
      <c r="Q416" s="224">
        <v>1</v>
      </c>
      <c r="R416" s="225">
        <v>50.9</v>
      </c>
      <c r="S416" s="226" t="s">
        <v>768</v>
      </c>
      <c r="T416" s="94" t="str">
        <f>INDEX([1]data!$B$1:$B$100,MATCH('04.02 - 10.02'!S416,[0]!exclusive01,))</f>
        <v>VU</v>
      </c>
      <c r="U416" s="106"/>
      <c r="V416" s="107">
        <v>40</v>
      </c>
      <c r="W416" s="108"/>
      <c r="X416" s="109" t="s">
        <v>55</v>
      </c>
      <c r="Y416" s="20">
        <f t="shared" si="18"/>
        <v>1</v>
      </c>
      <c r="AA416" s="98">
        <f t="shared" si="16"/>
        <v>7.019999999999996</v>
      </c>
      <c r="AB416" s="98">
        <f t="shared" si="17"/>
        <v>3</v>
      </c>
    </row>
    <row r="417" spans="1:28" ht="22.35" customHeight="1" thickBot="1" x14ac:dyDescent="0.3">
      <c r="A417" s="80" t="s">
        <v>769</v>
      </c>
      <c r="B417" s="80" t="s">
        <v>770</v>
      </c>
      <c r="C417" s="81">
        <v>25</v>
      </c>
      <c r="D417" s="23" t="s">
        <v>771</v>
      </c>
      <c r="E417" s="23" t="s">
        <v>772</v>
      </c>
      <c r="G417" s="21" t="s">
        <v>538</v>
      </c>
      <c r="H417" s="277">
        <v>4.9000000000000004</v>
      </c>
      <c r="I417" s="21">
        <v>4.76</v>
      </c>
      <c r="J417" s="23" t="s">
        <v>773</v>
      </c>
      <c r="K417" s="86" t="s">
        <v>774</v>
      </c>
      <c r="L417" s="86">
        <v>4</v>
      </c>
      <c r="M417" s="86"/>
      <c r="N417" s="87">
        <v>1</v>
      </c>
      <c r="O417" s="223"/>
      <c r="P417" s="224">
        <v>1</v>
      </c>
      <c r="Q417" s="224">
        <v>1</v>
      </c>
      <c r="R417" s="225" t="s">
        <v>745</v>
      </c>
      <c r="S417" s="226" t="s">
        <v>775</v>
      </c>
      <c r="T417" s="94" t="str">
        <f>INDEX([1]data!$B$1:$B$100,MATCH('04.02 - 10.02'!S417,[0]!exclusive01,))</f>
        <v>VU</v>
      </c>
      <c r="U417" s="106"/>
      <c r="V417" s="107">
        <v>40</v>
      </c>
      <c r="W417" s="108">
        <v>1</v>
      </c>
      <c r="X417" s="109" t="s">
        <v>117</v>
      </c>
      <c r="Y417" s="20">
        <f t="shared" si="18"/>
        <v>1</v>
      </c>
      <c r="AA417" s="98">
        <f t="shared" si="16"/>
        <v>0.14000000000000057</v>
      </c>
      <c r="AB417" s="98" t="e">
        <f t="shared" si="17"/>
        <v>#VALUE!</v>
      </c>
    </row>
    <row r="418" spans="1:28" ht="22.35" customHeight="1" thickBot="1" x14ac:dyDescent="0.3">
      <c r="A418" s="209" t="s">
        <v>255</v>
      </c>
      <c r="B418" s="209" t="s">
        <v>776</v>
      </c>
      <c r="C418" s="193">
        <v>25</v>
      </c>
      <c r="D418" s="194" t="s">
        <v>752</v>
      </c>
      <c r="E418" s="194" t="s">
        <v>777</v>
      </c>
      <c r="F418" s="227"/>
      <c r="G418" s="196" t="s">
        <v>89</v>
      </c>
      <c r="H418" s="191">
        <v>8.9</v>
      </c>
      <c r="I418" s="196">
        <v>7.9598399999999998</v>
      </c>
      <c r="J418" s="194" t="s">
        <v>755</v>
      </c>
      <c r="K418" s="198" t="s">
        <v>778</v>
      </c>
      <c r="L418" s="198">
        <v>4</v>
      </c>
      <c r="M418" s="198"/>
      <c r="N418" s="228">
        <v>1</v>
      </c>
      <c r="O418" s="229"/>
      <c r="P418" s="230">
        <v>1</v>
      </c>
      <c r="Q418" s="230">
        <v>1</v>
      </c>
      <c r="R418" s="231" t="s">
        <v>779</v>
      </c>
      <c r="S418" s="232" t="s">
        <v>780</v>
      </c>
      <c r="T418" s="125" t="str">
        <f>INDEX([1]data!$B$1:$B$100,MATCH('04.02 - 10.02'!S418,[0]!exclusive01,))</f>
        <v>VU</v>
      </c>
      <c r="U418" s="125"/>
      <c r="V418" s="233">
        <v>40</v>
      </c>
      <c r="W418" s="108"/>
      <c r="X418" s="109" t="s">
        <v>119</v>
      </c>
      <c r="Y418" s="20">
        <f t="shared" si="18"/>
        <v>1</v>
      </c>
      <c r="AA418" s="98">
        <f t="shared" si="16"/>
        <v>0.94016000000000055</v>
      </c>
      <c r="AB418" s="98" t="e">
        <f t="shared" si="17"/>
        <v>#VALUE!</v>
      </c>
    </row>
    <row r="419" spans="1:28" ht="22.35" customHeight="1" thickBot="1" x14ac:dyDescent="0.3">
      <c r="A419" s="80" t="s">
        <v>103</v>
      </c>
      <c r="B419" s="80" t="s">
        <v>781</v>
      </c>
      <c r="C419" s="81">
        <v>8</v>
      </c>
      <c r="D419" s="23" t="s">
        <v>782</v>
      </c>
      <c r="E419" s="23" t="s">
        <v>783</v>
      </c>
      <c r="F419" s="141" t="s">
        <v>274</v>
      </c>
      <c r="G419" s="21">
        <v>1</v>
      </c>
      <c r="H419" s="191">
        <v>37.9</v>
      </c>
      <c r="I419" s="84">
        <v>36.85</v>
      </c>
      <c r="J419" s="23" t="s">
        <v>784</v>
      </c>
      <c r="K419" s="86" t="s">
        <v>785</v>
      </c>
      <c r="L419" s="86">
        <v>1</v>
      </c>
      <c r="M419" s="86"/>
      <c r="O419" s="88"/>
      <c r="P419" s="136">
        <v>1</v>
      </c>
      <c r="Q419" s="90">
        <v>1</v>
      </c>
      <c r="R419" s="91" t="s">
        <v>489</v>
      </c>
      <c r="S419" s="139" t="s">
        <v>695</v>
      </c>
      <c r="T419" s="140" t="s">
        <v>296</v>
      </c>
      <c r="U419" s="94" t="s">
        <v>786</v>
      </c>
      <c r="V419" s="95">
        <v>41</v>
      </c>
      <c r="W419" s="108"/>
      <c r="X419" s="109" t="s">
        <v>45</v>
      </c>
      <c r="Y419" s="20">
        <f t="shared" si="18"/>
        <v>1</v>
      </c>
      <c r="AA419" s="98">
        <f t="shared" si="16"/>
        <v>1.0499999999999972</v>
      </c>
      <c r="AB419" s="98" t="e">
        <f t="shared" si="17"/>
        <v>#VALUE!</v>
      </c>
    </row>
    <row r="420" spans="1:28" ht="22.35" customHeight="1" thickBot="1" x14ac:dyDescent="0.3">
      <c r="A420" s="80" t="s">
        <v>103</v>
      </c>
      <c r="B420" s="80" t="s">
        <v>787</v>
      </c>
      <c r="C420" s="81">
        <v>8</v>
      </c>
      <c r="D420" s="23" t="s">
        <v>788</v>
      </c>
      <c r="E420" s="23" t="s">
        <v>789</v>
      </c>
      <c r="F420" s="141" t="s">
        <v>274</v>
      </c>
      <c r="G420" s="21">
        <v>1</v>
      </c>
      <c r="H420" s="191">
        <v>27.9</v>
      </c>
      <c r="I420" s="84">
        <v>26.77</v>
      </c>
      <c r="J420" s="23" t="s">
        <v>784</v>
      </c>
      <c r="K420" s="86" t="s">
        <v>790</v>
      </c>
      <c r="L420" s="86">
        <v>1</v>
      </c>
      <c r="M420" s="86"/>
      <c r="O420" s="100"/>
      <c r="P420" s="143">
        <v>1</v>
      </c>
      <c r="Q420" s="102">
        <v>1</v>
      </c>
      <c r="R420" s="103" t="s">
        <v>791</v>
      </c>
      <c r="S420" s="144" t="s">
        <v>695</v>
      </c>
      <c r="T420" s="112" t="s">
        <v>296</v>
      </c>
      <c r="U420" s="106" t="s">
        <v>786</v>
      </c>
      <c r="V420" s="107">
        <v>41</v>
      </c>
      <c r="W420" s="108"/>
      <c r="X420" s="109" t="s">
        <v>50</v>
      </c>
      <c r="Y420" s="20">
        <f t="shared" si="18"/>
        <v>1</v>
      </c>
      <c r="AA420" s="98">
        <f t="shared" si="16"/>
        <v>1.129999999999999</v>
      </c>
      <c r="AB420" s="98" t="e">
        <f t="shared" si="17"/>
        <v>#VALUE!</v>
      </c>
    </row>
    <row r="421" spans="1:28" ht="22.35" customHeight="1" thickBot="1" x14ac:dyDescent="0.3">
      <c r="A421" s="80" t="s">
        <v>103</v>
      </c>
      <c r="B421" s="80" t="s">
        <v>792</v>
      </c>
      <c r="C421" s="81">
        <v>12</v>
      </c>
      <c r="D421" s="23" t="s">
        <v>793</v>
      </c>
      <c r="E421" s="23" t="s">
        <v>794</v>
      </c>
      <c r="F421" s="141" t="s">
        <v>185</v>
      </c>
      <c r="G421" s="21">
        <v>3</v>
      </c>
      <c r="H421" s="191">
        <v>33.9</v>
      </c>
      <c r="I421" s="84">
        <v>32.979520000000001</v>
      </c>
      <c r="J421" s="23" t="s">
        <v>795</v>
      </c>
      <c r="K421" s="86" t="s">
        <v>796</v>
      </c>
      <c r="L421" s="86">
        <v>1</v>
      </c>
      <c r="M421" s="86"/>
      <c r="O421" s="100"/>
      <c r="P421" s="143">
        <v>1</v>
      </c>
      <c r="Q421" s="102">
        <v>1</v>
      </c>
      <c r="R421" s="103" t="s">
        <v>797</v>
      </c>
      <c r="S421" s="144" t="s">
        <v>695</v>
      </c>
      <c r="T421" s="112" t="s">
        <v>296</v>
      </c>
      <c r="U421" s="106" t="s">
        <v>798</v>
      </c>
      <c r="V421" s="107">
        <v>41</v>
      </c>
      <c r="W421" s="108"/>
      <c r="X421" s="109" t="s">
        <v>55</v>
      </c>
      <c r="Y421" s="20">
        <f t="shared" si="18"/>
        <v>1</v>
      </c>
      <c r="AA421" s="98">
        <f t="shared" si="16"/>
        <v>0.92047999999999774</v>
      </c>
      <c r="AB421" s="98" t="e">
        <f t="shared" si="17"/>
        <v>#VALUE!</v>
      </c>
    </row>
    <row r="422" spans="1:28" ht="22.35" customHeight="1" thickBot="1" x14ac:dyDescent="0.3">
      <c r="A422" s="80" t="s">
        <v>103</v>
      </c>
      <c r="B422" s="80" t="s">
        <v>799</v>
      </c>
      <c r="C422" s="81">
        <v>8</v>
      </c>
      <c r="D422" s="23" t="s">
        <v>800</v>
      </c>
      <c r="E422" s="23" t="s">
        <v>801</v>
      </c>
      <c r="F422" s="141" t="s">
        <v>175</v>
      </c>
      <c r="G422" s="21">
        <v>3</v>
      </c>
      <c r="H422" s="191">
        <v>23.9</v>
      </c>
      <c r="I422" s="84">
        <v>23.860479999999999</v>
      </c>
      <c r="J422" s="23" t="s">
        <v>802</v>
      </c>
      <c r="K422" s="86" t="s">
        <v>803</v>
      </c>
      <c r="L422" s="86">
        <v>1</v>
      </c>
      <c r="M422" s="86"/>
      <c r="O422" s="100"/>
      <c r="P422" s="143">
        <v>1</v>
      </c>
      <c r="Q422" s="102">
        <v>1</v>
      </c>
      <c r="R422" s="103" t="s">
        <v>499</v>
      </c>
      <c r="S422" s="144" t="s">
        <v>695</v>
      </c>
      <c r="T422" s="112" t="s">
        <v>296</v>
      </c>
      <c r="U422" s="106" t="s">
        <v>798</v>
      </c>
      <c r="V422" s="107">
        <v>41</v>
      </c>
      <c r="W422" s="108"/>
      <c r="X422" s="109" t="s">
        <v>59</v>
      </c>
      <c r="Y422" s="20">
        <f t="shared" si="18"/>
        <v>1</v>
      </c>
      <c r="AA422" s="98">
        <f t="shared" si="16"/>
        <v>3.9519999999999555E-2</v>
      </c>
      <c r="AB422" s="98" t="e">
        <f t="shared" si="17"/>
        <v>#VALUE!</v>
      </c>
    </row>
    <row r="423" spans="1:28" ht="22.35" customHeight="1" thickBot="1" x14ac:dyDescent="0.3">
      <c r="A423" s="80" t="s">
        <v>607</v>
      </c>
      <c r="B423" s="80" t="s">
        <v>804</v>
      </c>
      <c r="C423" s="81">
        <v>50</v>
      </c>
      <c r="D423" s="23" t="s">
        <v>805</v>
      </c>
      <c r="E423" s="23" t="s">
        <v>806</v>
      </c>
      <c r="F423" s="141" t="s">
        <v>53</v>
      </c>
      <c r="G423" s="21">
        <v>1</v>
      </c>
      <c r="H423" s="191">
        <v>4.5</v>
      </c>
      <c r="I423" s="84">
        <v>4.4800000000000004</v>
      </c>
      <c r="J423" s="23" t="s">
        <v>807</v>
      </c>
      <c r="K423" s="86" t="s">
        <v>808</v>
      </c>
      <c r="L423" s="86">
        <v>1</v>
      </c>
      <c r="M423" s="86"/>
      <c r="O423" s="100"/>
      <c r="P423" s="143">
        <v>1</v>
      </c>
      <c r="Q423" s="102">
        <v>1</v>
      </c>
      <c r="R423" s="103" t="s">
        <v>809</v>
      </c>
      <c r="S423" s="144" t="s">
        <v>695</v>
      </c>
      <c r="T423" s="112" t="s">
        <v>296</v>
      </c>
      <c r="U423" s="106" t="s">
        <v>798</v>
      </c>
      <c r="V423" s="107">
        <v>41</v>
      </c>
      <c r="W423" s="108"/>
      <c r="X423" s="109" t="s">
        <v>63</v>
      </c>
      <c r="Y423" s="20">
        <f t="shared" si="18"/>
        <v>1</v>
      </c>
      <c r="AA423" s="98">
        <f t="shared" si="16"/>
        <v>1.9999999999999574E-2</v>
      </c>
      <c r="AB423" s="98" t="e">
        <f t="shared" si="17"/>
        <v>#VALUE!</v>
      </c>
    </row>
    <row r="424" spans="1:28" ht="22.35" customHeight="1" thickBot="1" x14ac:dyDescent="0.3">
      <c r="A424" s="80" t="s">
        <v>103</v>
      </c>
      <c r="B424" s="80" t="s">
        <v>810</v>
      </c>
      <c r="C424" s="81">
        <v>24</v>
      </c>
      <c r="D424" s="23" t="s">
        <v>811</v>
      </c>
      <c r="E424" s="23" t="s">
        <v>812</v>
      </c>
      <c r="F424" s="141" t="s">
        <v>274</v>
      </c>
      <c r="G424" s="21">
        <v>1</v>
      </c>
      <c r="H424" s="191">
        <v>12.9</v>
      </c>
      <c r="I424" s="84">
        <v>12.66048</v>
      </c>
      <c r="J424" s="23" t="s">
        <v>813</v>
      </c>
      <c r="K424" s="86" t="s">
        <v>814</v>
      </c>
      <c r="L424" s="86">
        <v>1</v>
      </c>
      <c r="M424" s="86"/>
      <c r="O424" s="100"/>
      <c r="P424" s="143">
        <v>1</v>
      </c>
      <c r="Q424" s="102">
        <v>1</v>
      </c>
      <c r="R424" s="103" t="s">
        <v>583</v>
      </c>
      <c r="S424" s="144" t="s">
        <v>695</v>
      </c>
      <c r="T424" s="112" t="s">
        <v>296</v>
      </c>
      <c r="U424" s="106" t="s">
        <v>798</v>
      </c>
      <c r="V424" s="107">
        <v>41</v>
      </c>
      <c r="W424" s="108"/>
      <c r="X424" s="109" t="s">
        <v>66</v>
      </c>
      <c r="Y424" s="20">
        <f t="shared" si="18"/>
        <v>1</v>
      </c>
      <c r="AA424" s="98">
        <f t="shared" ref="AA424:AA487" si="19">H424-I424</f>
        <v>0.23952000000000062</v>
      </c>
      <c r="AB424" s="98" t="e">
        <f t="shared" ref="AB424:AB487" si="20">R424-H424</f>
        <v>#VALUE!</v>
      </c>
    </row>
    <row r="425" spans="1:28" ht="22.35" customHeight="1" thickBot="1" x14ac:dyDescent="0.3">
      <c r="A425" s="80" t="s">
        <v>815</v>
      </c>
      <c r="B425" s="80" t="s">
        <v>816</v>
      </c>
      <c r="C425" s="81">
        <v>50</v>
      </c>
      <c r="D425" s="23" t="s">
        <v>811</v>
      </c>
      <c r="E425" s="23" t="s">
        <v>817</v>
      </c>
      <c r="F425" s="141" t="s">
        <v>599</v>
      </c>
      <c r="G425" s="21">
        <v>1</v>
      </c>
      <c r="H425" s="191">
        <v>7.9</v>
      </c>
      <c r="I425" s="84">
        <v>7.84</v>
      </c>
      <c r="J425" s="23" t="s">
        <v>813</v>
      </c>
      <c r="K425" s="86" t="s">
        <v>818</v>
      </c>
      <c r="L425" s="86">
        <v>1</v>
      </c>
      <c r="M425" s="86"/>
      <c r="O425" s="100"/>
      <c r="P425" s="143">
        <v>1</v>
      </c>
      <c r="Q425" s="102">
        <v>1</v>
      </c>
      <c r="R425" s="103" t="s">
        <v>779</v>
      </c>
      <c r="S425" s="144" t="s">
        <v>695</v>
      </c>
      <c r="T425" s="112" t="s">
        <v>296</v>
      </c>
      <c r="U425" s="106" t="s">
        <v>819</v>
      </c>
      <c r="V425" s="107">
        <v>41</v>
      </c>
      <c r="W425" s="108"/>
      <c r="X425" s="109" t="s">
        <v>179</v>
      </c>
      <c r="Y425" s="20">
        <f t="shared" si="18"/>
        <v>1</v>
      </c>
      <c r="AA425" s="98">
        <f t="shared" si="19"/>
        <v>6.0000000000000497E-2</v>
      </c>
      <c r="AB425" s="98" t="e">
        <f t="shared" si="20"/>
        <v>#VALUE!</v>
      </c>
    </row>
    <row r="426" spans="1:28" ht="22.35" customHeight="1" thickBot="1" x14ac:dyDescent="0.3">
      <c r="A426" s="209" t="s">
        <v>103</v>
      </c>
      <c r="B426" s="209" t="s">
        <v>820</v>
      </c>
      <c r="C426" s="210">
        <v>25</v>
      </c>
      <c r="D426" s="211" t="s">
        <v>821</v>
      </c>
      <c r="E426" s="211" t="s">
        <v>822</v>
      </c>
      <c r="F426" s="236" t="s">
        <v>823</v>
      </c>
      <c r="G426" s="213">
        <v>1</v>
      </c>
      <c r="H426" s="191">
        <v>13.9</v>
      </c>
      <c r="I426" s="238">
        <v>13.44</v>
      </c>
      <c r="J426" s="211" t="s">
        <v>824</v>
      </c>
      <c r="K426" s="215" t="s">
        <v>825</v>
      </c>
      <c r="L426" s="215">
        <v>1</v>
      </c>
      <c r="M426" s="215"/>
      <c r="N426" s="216"/>
      <c r="O426" s="239"/>
      <c r="P426" s="240">
        <v>1</v>
      </c>
      <c r="Q426" s="154">
        <v>1</v>
      </c>
      <c r="R426" s="241" t="s">
        <v>826</v>
      </c>
      <c r="S426" s="242" t="s">
        <v>695</v>
      </c>
      <c r="T426" s="243" t="s">
        <v>296</v>
      </c>
      <c r="U426" s="244" t="s">
        <v>819</v>
      </c>
      <c r="V426" s="233">
        <v>41</v>
      </c>
      <c r="W426" s="108"/>
      <c r="X426" s="109" t="s">
        <v>70</v>
      </c>
      <c r="Y426" s="20">
        <f t="shared" si="18"/>
        <v>1</v>
      </c>
      <c r="AA426" s="98">
        <f t="shared" si="19"/>
        <v>0.46000000000000085</v>
      </c>
      <c r="AB426" s="98" t="e">
        <f t="shared" si="20"/>
        <v>#VALUE!</v>
      </c>
    </row>
    <row r="427" spans="1:28" ht="22.35" customHeight="1" thickBot="1" x14ac:dyDescent="0.3">
      <c r="A427" s="285" t="s">
        <v>607</v>
      </c>
      <c r="B427" s="285" t="s">
        <v>827</v>
      </c>
      <c r="C427" s="286">
        <v>12</v>
      </c>
      <c r="D427" s="287" t="s">
        <v>828</v>
      </c>
      <c r="E427" s="287" t="s">
        <v>829</v>
      </c>
      <c r="F427" s="288" t="s">
        <v>40</v>
      </c>
      <c r="G427" s="289">
        <v>1</v>
      </c>
      <c r="H427" s="191">
        <v>11.9</v>
      </c>
      <c r="I427" s="289">
        <v>11.67</v>
      </c>
      <c r="J427" s="287" t="s">
        <v>830</v>
      </c>
      <c r="K427" s="291" t="s">
        <v>831</v>
      </c>
      <c r="L427" s="291">
        <v>4</v>
      </c>
      <c r="M427" s="291"/>
      <c r="N427" s="292">
        <v>1</v>
      </c>
      <c r="O427" s="293"/>
      <c r="P427" s="294">
        <v>1</v>
      </c>
      <c r="Q427" s="294"/>
      <c r="R427" s="295" t="s">
        <v>832</v>
      </c>
      <c r="S427" s="296" t="s">
        <v>833</v>
      </c>
      <c r="T427" s="94" t="str">
        <f>INDEX([1]data!$B$1:$B$100,MATCH('04.02 - 10.02'!S427,[0]!exclusive01,))</f>
        <v>VU</v>
      </c>
      <c r="U427" s="297"/>
      <c r="V427" s="298">
        <v>41</v>
      </c>
      <c r="W427" s="108"/>
      <c r="X427" s="109" t="s">
        <v>117</v>
      </c>
      <c r="Y427" s="20">
        <f t="shared" si="18"/>
        <v>1</v>
      </c>
      <c r="AA427" s="98">
        <f t="shared" si="19"/>
        <v>0.23000000000000043</v>
      </c>
      <c r="AB427" s="98" t="e">
        <f t="shared" si="20"/>
        <v>#VALUE!</v>
      </c>
    </row>
    <row r="428" spans="1:28" ht="22.35" customHeight="1" thickBot="1" x14ac:dyDescent="0.3">
      <c r="A428" s="209"/>
      <c r="B428" s="209"/>
      <c r="C428" s="210"/>
      <c r="D428" s="319" t="s">
        <v>834</v>
      </c>
      <c r="E428" s="211"/>
      <c r="F428" s="212"/>
      <c r="G428" s="213"/>
      <c r="H428" s="237"/>
      <c r="I428" s="213"/>
      <c r="J428" s="211"/>
      <c r="K428" s="215"/>
      <c r="L428" s="215">
        <v>4</v>
      </c>
      <c r="M428" s="215"/>
      <c r="N428" s="216"/>
      <c r="O428" s="247"/>
      <c r="P428" s="248"/>
      <c r="Q428" s="248"/>
      <c r="R428" s="249"/>
      <c r="S428" s="250" t="s">
        <v>835</v>
      </c>
      <c r="T428" s="125" t="str">
        <f>INDEX([1]data!$B$1:$B$100,MATCH('04.02 - 10.02'!S428,[0]!exclusive01,))</f>
        <v>VU</v>
      </c>
      <c r="U428" s="244"/>
      <c r="V428" s="245">
        <v>41</v>
      </c>
      <c r="W428" s="108"/>
      <c r="X428" s="109" t="s">
        <v>119</v>
      </c>
      <c r="Y428" s="20">
        <f t="shared" si="18"/>
        <v>0</v>
      </c>
      <c r="AA428" s="98">
        <f t="shared" si="19"/>
        <v>0</v>
      </c>
      <c r="AB428" s="98">
        <f t="shared" si="20"/>
        <v>0</v>
      </c>
    </row>
    <row r="429" spans="1:28" ht="22.35" customHeight="1" thickBot="1" x14ac:dyDescent="0.3">
      <c r="A429" s="80" t="s">
        <v>103</v>
      </c>
      <c r="B429" s="80" t="s">
        <v>836</v>
      </c>
      <c r="C429" s="81">
        <v>25</v>
      </c>
      <c r="D429" s="23" t="s">
        <v>837</v>
      </c>
      <c r="E429" s="23" t="s">
        <v>838</v>
      </c>
      <c r="G429" s="21" t="s">
        <v>538</v>
      </c>
      <c r="H429" s="320">
        <v>7.5</v>
      </c>
      <c r="I429" s="21">
        <v>6.6203200000000004</v>
      </c>
      <c r="J429" s="23" t="s">
        <v>562</v>
      </c>
      <c r="K429" s="86" t="s">
        <v>839</v>
      </c>
      <c r="L429" s="86">
        <v>4</v>
      </c>
      <c r="M429" s="86"/>
      <c r="N429" s="87">
        <v>1</v>
      </c>
      <c r="O429" s="235"/>
      <c r="P429" s="206">
        <v>1</v>
      </c>
      <c r="Q429" s="206">
        <v>1</v>
      </c>
      <c r="R429" s="207" t="s">
        <v>840</v>
      </c>
      <c r="S429" s="226" t="s">
        <v>841</v>
      </c>
      <c r="T429" s="94" t="str">
        <f>INDEX([1]data!$B$1:$B$100,MATCH('04.02 - 10.02'!S429,[0]!exclusive01,))</f>
        <v>VU</v>
      </c>
      <c r="U429" s="106"/>
      <c r="V429" s="107">
        <v>42</v>
      </c>
      <c r="W429" s="108">
        <v>1</v>
      </c>
      <c r="X429" s="109" t="s">
        <v>45</v>
      </c>
      <c r="Y429" s="20">
        <f t="shared" si="18"/>
        <v>1</v>
      </c>
      <c r="AA429" s="98">
        <f t="shared" si="19"/>
        <v>0.87967999999999957</v>
      </c>
      <c r="AB429" s="98" t="e">
        <f t="shared" si="20"/>
        <v>#VALUE!</v>
      </c>
    </row>
    <row r="430" spans="1:28" ht="22.35" customHeight="1" thickBot="1" x14ac:dyDescent="0.3">
      <c r="A430" s="80" t="s">
        <v>103</v>
      </c>
      <c r="B430" s="80" t="s">
        <v>842</v>
      </c>
      <c r="C430" s="81">
        <v>36</v>
      </c>
      <c r="D430" s="23" t="s">
        <v>843</v>
      </c>
      <c r="E430" s="23" t="s">
        <v>844</v>
      </c>
      <c r="F430" s="82" t="s">
        <v>845</v>
      </c>
      <c r="G430" s="21">
        <v>2</v>
      </c>
      <c r="H430" s="191">
        <v>12.5</v>
      </c>
      <c r="I430" s="21">
        <v>12.32</v>
      </c>
      <c r="J430" s="23" t="s">
        <v>846</v>
      </c>
      <c r="K430" s="86" t="s">
        <v>847</v>
      </c>
      <c r="L430" s="86">
        <v>4</v>
      </c>
      <c r="M430" s="86"/>
      <c r="N430" s="87">
        <v>0</v>
      </c>
      <c r="O430" s="223"/>
      <c r="P430" s="224">
        <v>1</v>
      </c>
      <c r="Q430" s="224">
        <v>1</v>
      </c>
      <c r="R430" s="225" t="s">
        <v>590</v>
      </c>
      <c r="S430" s="226" t="s">
        <v>848</v>
      </c>
      <c r="T430" s="94" t="str">
        <f>INDEX([1]data!$B$1:$B$100,MATCH('04.02 - 10.02'!S430,[0]!exclusive01,))</f>
        <v>VU</v>
      </c>
      <c r="U430" s="106"/>
      <c r="V430" s="107">
        <v>42</v>
      </c>
      <c r="W430" s="108"/>
      <c r="X430" s="109" t="s">
        <v>55</v>
      </c>
      <c r="Y430" s="20">
        <f t="shared" si="18"/>
        <v>1</v>
      </c>
      <c r="AA430" s="98">
        <f t="shared" si="19"/>
        <v>0.17999999999999972</v>
      </c>
      <c r="AB430" s="98" t="e">
        <f t="shared" si="20"/>
        <v>#VALUE!</v>
      </c>
    </row>
    <row r="431" spans="1:28" ht="22.35" customHeight="1" thickBot="1" x14ac:dyDescent="0.3">
      <c r="A431" s="80" t="s">
        <v>103</v>
      </c>
      <c r="B431" s="80" t="s">
        <v>849</v>
      </c>
      <c r="C431" s="81">
        <v>48</v>
      </c>
      <c r="D431" s="23" t="s">
        <v>843</v>
      </c>
      <c r="E431" s="23" t="s">
        <v>850</v>
      </c>
      <c r="F431" s="82" t="s">
        <v>517</v>
      </c>
      <c r="G431" s="21" t="s">
        <v>538</v>
      </c>
      <c r="H431" s="191">
        <v>36.9</v>
      </c>
      <c r="I431" s="21">
        <v>36.064</v>
      </c>
      <c r="J431" s="23" t="s">
        <v>846</v>
      </c>
      <c r="K431" s="86" t="s">
        <v>851</v>
      </c>
      <c r="L431" s="86">
        <v>4</v>
      </c>
      <c r="M431" s="86"/>
      <c r="N431" s="87">
        <v>0</v>
      </c>
      <c r="O431" s="223"/>
      <c r="P431" s="224">
        <v>1</v>
      </c>
      <c r="Q431" s="224">
        <v>1</v>
      </c>
      <c r="R431" s="225" t="s">
        <v>712</v>
      </c>
      <c r="S431" s="226" t="s">
        <v>852</v>
      </c>
      <c r="T431" s="94" t="str">
        <f>INDEX([1]data!$B$1:$B$100,MATCH('04.02 - 10.02'!S431,[0]!exclusive01,))</f>
        <v>VU</v>
      </c>
      <c r="U431" s="106"/>
      <c r="V431" s="107">
        <v>42</v>
      </c>
      <c r="W431" s="108"/>
      <c r="X431" s="109" t="s">
        <v>117</v>
      </c>
      <c r="Y431" s="20">
        <f t="shared" si="18"/>
        <v>1</v>
      </c>
      <c r="AA431" s="98">
        <f t="shared" si="19"/>
        <v>0.83599999999999852</v>
      </c>
      <c r="AB431" s="98" t="e">
        <f t="shared" si="20"/>
        <v>#VALUE!</v>
      </c>
    </row>
    <row r="432" spans="1:28" ht="22.35" customHeight="1" thickBot="1" x14ac:dyDescent="0.3">
      <c r="A432" s="209" t="s">
        <v>255</v>
      </c>
      <c r="B432" s="209" t="s">
        <v>853</v>
      </c>
      <c r="C432" s="193">
        <v>4</v>
      </c>
      <c r="D432" s="194" t="s">
        <v>854</v>
      </c>
      <c r="E432" s="194" t="s">
        <v>855</v>
      </c>
      <c r="F432" s="227" t="s">
        <v>274</v>
      </c>
      <c r="G432" s="196">
        <v>2</v>
      </c>
      <c r="H432" s="191">
        <v>41.9</v>
      </c>
      <c r="I432" s="196">
        <v>39.230240000000002</v>
      </c>
      <c r="J432" s="194" t="s">
        <v>856</v>
      </c>
      <c r="K432" s="198" t="s">
        <v>857</v>
      </c>
      <c r="L432" s="198">
        <v>4</v>
      </c>
      <c r="M432" s="198"/>
      <c r="N432" s="228">
        <v>1</v>
      </c>
      <c r="O432" s="229"/>
      <c r="P432" s="230">
        <v>1</v>
      </c>
      <c r="Q432" s="230">
        <v>1</v>
      </c>
      <c r="R432" s="231" t="s">
        <v>738</v>
      </c>
      <c r="S432" s="232" t="s">
        <v>858</v>
      </c>
      <c r="T432" s="125" t="str">
        <f>INDEX([1]data!$B$1:$B$100,MATCH('04.02 - 10.02'!S432,[0]!exclusive01,))</f>
        <v>VU</v>
      </c>
      <c r="U432" s="125"/>
      <c r="V432" s="233">
        <v>42</v>
      </c>
      <c r="W432" s="108"/>
      <c r="X432" s="109" t="s">
        <v>119</v>
      </c>
      <c r="Y432" s="20">
        <f t="shared" si="18"/>
        <v>1</v>
      </c>
      <c r="AA432" s="98">
        <f t="shared" si="19"/>
        <v>2.6697599999999966</v>
      </c>
      <c r="AB432" s="98" t="e">
        <f t="shared" si="20"/>
        <v>#VALUE!</v>
      </c>
    </row>
    <row r="433" spans="1:35" ht="22.35" customHeight="1" thickBot="1" x14ac:dyDescent="0.3">
      <c r="A433" s="127"/>
      <c r="B433" s="127"/>
      <c r="C433" s="128"/>
      <c r="D433" s="129"/>
      <c r="E433" s="129"/>
      <c r="F433" s="130"/>
      <c r="G433" s="132"/>
      <c r="H433" s="99"/>
      <c r="I433" s="158"/>
      <c r="J433" s="129"/>
      <c r="K433" s="159"/>
      <c r="L433" s="133"/>
      <c r="M433" s="133"/>
      <c r="N433" s="134"/>
      <c r="O433" s="135"/>
      <c r="P433" s="136"/>
      <c r="Q433" s="137"/>
      <c r="R433" s="138"/>
      <c r="S433" s="144" t="s">
        <v>138</v>
      </c>
      <c r="T433" s="112" t="s">
        <v>296</v>
      </c>
      <c r="U433" s="106"/>
      <c r="V433" s="107">
        <v>43</v>
      </c>
      <c r="W433" s="96"/>
      <c r="X433" s="97"/>
      <c r="Y433" s="20">
        <f t="shared" si="18"/>
        <v>0</v>
      </c>
      <c r="AA433" s="98">
        <f t="shared" si="19"/>
        <v>0</v>
      </c>
      <c r="AB433" s="98">
        <f t="shared" si="20"/>
        <v>0</v>
      </c>
      <c r="AC433" s="110"/>
      <c r="AD433" s="77"/>
      <c r="AE433" s="77"/>
      <c r="AF433" s="75"/>
      <c r="AG433" s="75"/>
      <c r="AH433" s="75"/>
      <c r="AI433" s="75"/>
    </row>
    <row r="434" spans="1:35" ht="22.35" customHeight="1" thickBot="1" x14ac:dyDescent="0.3">
      <c r="A434" s="80"/>
      <c r="B434" s="80"/>
      <c r="F434" s="141"/>
      <c r="H434" s="99"/>
      <c r="I434" s="84"/>
      <c r="K434" s="86"/>
      <c r="L434" s="86"/>
      <c r="M434" s="86"/>
      <c r="O434" s="100"/>
      <c r="P434" s="143"/>
      <c r="Q434" s="102"/>
      <c r="R434" s="103"/>
      <c r="S434" s="144" t="s">
        <v>138</v>
      </c>
      <c r="T434" s="112" t="s">
        <v>296</v>
      </c>
      <c r="U434" s="106"/>
      <c r="V434" s="107">
        <v>43</v>
      </c>
      <c r="W434" s="108"/>
      <c r="X434" s="109"/>
      <c r="Y434" s="20">
        <f t="shared" si="18"/>
        <v>0</v>
      </c>
      <c r="AA434" s="98">
        <f t="shared" si="19"/>
        <v>0</v>
      </c>
      <c r="AB434" s="98">
        <f t="shared" si="20"/>
        <v>0</v>
      </c>
      <c r="AC434" s="110"/>
      <c r="AD434" s="77"/>
      <c r="AE434" s="77"/>
      <c r="AF434" s="75"/>
      <c r="AG434" s="75"/>
      <c r="AH434" s="75"/>
      <c r="AI434" s="75"/>
    </row>
    <row r="435" spans="1:35" ht="22.35" customHeight="1" thickBot="1" x14ac:dyDescent="0.3">
      <c r="A435" s="80"/>
      <c r="B435" s="80"/>
      <c r="F435" s="141"/>
      <c r="H435" s="99"/>
      <c r="I435" s="84"/>
      <c r="K435" s="86"/>
      <c r="L435" s="86"/>
      <c r="M435" s="86"/>
      <c r="O435" s="100"/>
      <c r="P435" s="143"/>
      <c r="Q435" s="90"/>
      <c r="R435" s="91"/>
      <c r="S435" s="144" t="s">
        <v>138</v>
      </c>
      <c r="T435" s="112" t="s">
        <v>296</v>
      </c>
      <c r="U435" s="106"/>
      <c r="V435" s="107">
        <v>43</v>
      </c>
      <c r="W435" s="108"/>
      <c r="X435" s="109"/>
      <c r="Y435" s="20">
        <f t="shared" si="18"/>
        <v>0</v>
      </c>
      <c r="AA435" s="98">
        <f t="shared" si="19"/>
        <v>0</v>
      </c>
      <c r="AB435" s="98">
        <f t="shared" si="20"/>
        <v>0</v>
      </c>
      <c r="AC435" s="110"/>
      <c r="AD435" s="77"/>
      <c r="AE435" s="77"/>
      <c r="AF435" s="75"/>
      <c r="AG435" s="75"/>
      <c r="AH435" s="75"/>
      <c r="AI435" s="75"/>
    </row>
    <row r="436" spans="1:35" ht="22.35" customHeight="1" thickBot="1" x14ac:dyDescent="0.3">
      <c r="A436" s="80"/>
      <c r="B436" s="80"/>
      <c r="F436" s="141"/>
      <c r="H436" s="99"/>
      <c r="I436" s="84"/>
      <c r="K436" s="86"/>
      <c r="L436" s="86"/>
      <c r="M436" s="86"/>
      <c r="O436" s="100"/>
      <c r="P436" s="143"/>
      <c r="Q436" s="90"/>
      <c r="R436" s="91"/>
      <c r="S436" s="144" t="s">
        <v>138</v>
      </c>
      <c r="T436" s="112" t="s">
        <v>296</v>
      </c>
      <c r="U436" s="106"/>
      <c r="V436" s="107">
        <v>43</v>
      </c>
      <c r="W436" s="108"/>
      <c r="X436" s="109"/>
      <c r="Y436" s="20">
        <f t="shared" si="18"/>
        <v>0</v>
      </c>
      <c r="AA436" s="98">
        <f t="shared" si="19"/>
        <v>0</v>
      </c>
      <c r="AB436" s="98">
        <f t="shared" si="20"/>
        <v>0</v>
      </c>
      <c r="AC436" s="110"/>
      <c r="AD436" s="77"/>
      <c r="AE436" s="77"/>
      <c r="AF436" s="75"/>
      <c r="AG436" s="75"/>
      <c r="AH436" s="75"/>
      <c r="AI436" s="75"/>
    </row>
    <row r="437" spans="1:35" ht="22.35" customHeight="1" thickBot="1" x14ac:dyDescent="0.3">
      <c r="A437" s="80"/>
      <c r="B437" s="80"/>
      <c r="F437" s="141"/>
      <c r="H437" s="99"/>
      <c r="I437" s="84"/>
      <c r="K437" s="86"/>
      <c r="L437" s="86"/>
      <c r="M437" s="86"/>
      <c r="O437" s="100"/>
      <c r="P437" s="143"/>
      <c r="Q437" s="90"/>
      <c r="R437" s="91"/>
      <c r="S437" s="144" t="s">
        <v>138</v>
      </c>
      <c r="T437" s="112" t="s">
        <v>296</v>
      </c>
      <c r="U437" s="106"/>
      <c r="V437" s="107">
        <v>43</v>
      </c>
      <c r="W437" s="108"/>
      <c r="X437" s="109"/>
      <c r="Y437" s="20">
        <f t="shared" si="18"/>
        <v>0</v>
      </c>
      <c r="AA437" s="98">
        <f t="shared" si="19"/>
        <v>0</v>
      </c>
      <c r="AB437" s="98">
        <f t="shared" si="20"/>
        <v>0</v>
      </c>
      <c r="AC437" s="110"/>
      <c r="AD437" s="77"/>
      <c r="AE437" s="77"/>
      <c r="AF437" s="75"/>
      <c r="AG437" s="75"/>
      <c r="AH437" s="75"/>
      <c r="AI437" s="75"/>
    </row>
    <row r="438" spans="1:35" ht="22.35" customHeight="1" thickBot="1" x14ac:dyDescent="0.3">
      <c r="A438" s="80"/>
      <c r="B438" s="80"/>
      <c r="F438" s="141"/>
      <c r="H438" s="99"/>
      <c r="I438" s="84"/>
      <c r="K438" s="86"/>
      <c r="L438" s="86"/>
      <c r="M438" s="86"/>
      <c r="O438" s="100"/>
      <c r="P438" s="143"/>
      <c r="Q438" s="90"/>
      <c r="R438" s="91"/>
      <c r="S438" s="144" t="s">
        <v>138</v>
      </c>
      <c r="T438" s="112" t="s">
        <v>296</v>
      </c>
      <c r="U438" s="106"/>
      <c r="V438" s="107">
        <v>43</v>
      </c>
      <c r="W438" s="108"/>
      <c r="X438" s="109"/>
      <c r="Y438" s="20">
        <f t="shared" si="18"/>
        <v>0</v>
      </c>
      <c r="AA438" s="98">
        <f t="shared" si="19"/>
        <v>0</v>
      </c>
      <c r="AB438" s="98">
        <f t="shared" si="20"/>
        <v>0</v>
      </c>
      <c r="AC438" s="110"/>
      <c r="AD438" s="77"/>
      <c r="AE438" s="77"/>
      <c r="AF438" s="75"/>
      <c r="AG438" s="75"/>
      <c r="AH438" s="75"/>
      <c r="AI438" s="75"/>
    </row>
    <row r="439" spans="1:35" ht="22.35" customHeight="1" thickBot="1" x14ac:dyDescent="0.3">
      <c r="A439" s="80"/>
      <c r="B439" s="80"/>
      <c r="F439" s="141"/>
      <c r="H439" s="99"/>
      <c r="I439" s="84"/>
      <c r="K439" s="86"/>
      <c r="L439" s="86"/>
      <c r="M439" s="86"/>
      <c r="O439" s="100"/>
      <c r="P439" s="143"/>
      <c r="Q439" s="90"/>
      <c r="R439" s="91"/>
      <c r="S439" s="144" t="s">
        <v>138</v>
      </c>
      <c r="T439" s="112" t="s">
        <v>296</v>
      </c>
      <c r="U439" s="106"/>
      <c r="V439" s="107">
        <v>43</v>
      </c>
      <c r="W439" s="108"/>
      <c r="X439" s="109"/>
      <c r="Y439" s="20">
        <f t="shared" si="18"/>
        <v>0</v>
      </c>
      <c r="AA439" s="98">
        <f t="shared" si="19"/>
        <v>0</v>
      </c>
      <c r="AB439" s="98">
        <f t="shared" si="20"/>
        <v>0</v>
      </c>
      <c r="AC439" s="110"/>
      <c r="AD439" s="77"/>
      <c r="AE439" s="77"/>
      <c r="AF439" s="75"/>
      <c r="AG439" s="75"/>
      <c r="AH439" s="75"/>
      <c r="AI439" s="75"/>
    </row>
    <row r="440" spans="1:35" ht="22.35" customHeight="1" thickBot="1" x14ac:dyDescent="0.3">
      <c r="A440" s="80"/>
      <c r="B440" s="80"/>
      <c r="F440" s="141"/>
      <c r="H440" s="99"/>
      <c r="I440" s="84"/>
      <c r="K440" s="86"/>
      <c r="L440" s="86"/>
      <c r="M440" s="86"/>
      <c r="O440" s="100"/>
      <c r="P440" s="143"/>
      <c r="Q440" s="90"/>
      <c r="R440" s="91"/>
      <c r="S440" s="144" t="s">
        <v>138</v>
      </c>
      <c r="T440" s="112" t="s">
        <v>296</v>
      </c>
      <c r="U440" s="106"/>
      <c r="V440" s="107">
        <v>43</v>
      </c>
      <c r="W440" s="108"/>
      <c r="X440" s="109"/>
      <c r="Y440" s="20">
        <f t="shared" si="18"/>
        <v>0</v>
      </c>
      <c r="AA440" s="98">
        <f t="shared" si="19"/>
        <v>0</v>
      </c>
      <c r="AB440" s="98">
        <f t="shared" si="20"/>
        <v>0</v>
      </c>
      <c r="AC440" s="110"/>
      <c r="AD440" s="77"/>
      <c r="AE440" s="77"/>
      <c r="AF440" s="75"/>
      <c r="AG440" s="75"/>
      <c r="AH440" s="75"/>
      <c r="AI440" s="75"/>
    </row>
    <row r="441" spans="1:35" ht="22.35" customHeight="1" thickBot="1" x14ac:dyDescent="0.3">
      <c r="A441" s="80"/>
      <c r="B441" s="80"/>
      <c r="F441" s="141"/>
      <c r="H441" s="99"/>
      <c r="I441" s="84"/>
      <c r="K441" s="86"/>
      <c r="L441" s="86"/>
      <c r="M441" s="86"/>
      <c r="O441" s="100"/>
      <c r="P441" s="143"/>
      <c r="Q441" s="90"/>
      <c r="R441" s="91"/>
      <c r="S441" s="144" t="s">
        <v>138</v>
      </c>
      <c r="T441" s="112" t="s">
        <v>296</v>
      </c>
      <c r="U441" s="106"/>
      <c r="V441" s="107">
        <v>43</v>
      </c>
      <c r="W441" s="108"/>
      <c r="X441" s="109"/>
      <c r="Y441" s="20">
        <f t="shared" si="18"/>
        <v>0</v>
      </c>
      <c r="AA441" s="98">
        <f t="shared" si="19"/>
        <v>0</v>
      </c>
      <c r="AB441" s="98">
        <f t="shared" si="20"/>
        <v>0</v>
      </c>
      <c r="AC441" s="110"/>
      <c r="AD441" s="77"/>
      <c r="AE441" s="77"/>
      <c r="AF441" s="75"/>
      <c r="AG441" s="75"/>
      <c r="AH441" s="75"/>
      <c r="AI441" s="75"/>
    </row>
    <row r="442" spans="1:35" ht="22.35" customHeight="1" thickBot="1" x14ac:dyDescent="0.3">
      <c r="A442" s="80"/>
      <c r="B442" s="80"/>
      <c r="F442" s="141"/>
      <c r="H442" s="99"/>
      <c r="I442" s="84"/>
      <c r="K442" s="86"/>
      <c r="L442" s="86"/>
      <c r="M442" s="86"/>
      <c r="O442" s="100"/>
      <c r="P442" s="143"/>
      <c r="Q442" s="90"/>
      <c r="R442" s="91"/>
      <c r="S442" s="144" t="s">
        <v>138</v>
      </c>
      <c r="T442" s="112" t="s">
        <v>296</v>
      </c>
      <c r="U442" s="106"/>
      <c r="V442" s="107">
        <v>43</v>
      </c>
      <c r="W442" s="108"/>
      <c r="X442" s="109"/>
      <c r="Y442" s="20">
        <f t="shared" si="18"/>
        <v>0</v>
      </c>
      <c r="AA442" s="98">
        <f t="shared" si="19"/>
        <v>0</v>
      </c>
      <c r="AB442" s="98">
        <f t="shared" si="20"/>
        <v>0</v>
      </c>
      <c r="AC442" s="110"/>
      <c r="AD442" s="77"/>
      <c r="AE442" s="77"/>
      <c r="AF442" s="75"/>
      <c r="AG442" s="75"/>
      <c r="AH442" s="75"/>
      <c r="AI442" s="75"/>
    </row>
    <row r="443" spans="1:35" ht="22.35" customHeight="1" thickBot="1" x14ac:dyDescent="0.3">
      <c r="A443" s="80"/>
      <c r="B443" s="80"/>
      <c r="F443" s="141"/>
      <c r="H443" s="99"/>
      <c r="I443" s="84"/>
      <c r="K443" s="86"/>
      <c r="L443" s="86"/>
      <c r="M443" s="86"/>
      <c r="O443" s="100"/>
      <c r="P443" s="143"/>
      <c r="Q443" s="90"/>
      <c r="R443" s="91"/>
      <c r="S443" s="144" t="s">
        <v>138</v>
      </c>
      <c r="T443" s="112" t="s">
        <v>296</v>
      </c>
      <c r="U443" s="106"/>
      <c r="V443" s="107">
        <v>43</v>
      </c>
      <c r="W443" s="108"/>
      <c r="X443" s="109"/>
      <c r="Y443" s="20">
        <f t="shared" si="18"/>
        <v>0</v>
      </c>
      <c r="AA443" s="98">
        <f t="shared" si="19"/>
        <v>0</v>
      </c>
      <c r="AB443" s="98">
        <f t="shared" si="20"/>
        <v>0</v>
      </c>
      <c r="AC443" s="110"/>
      <c r="AD443" s="77"/>
      <c r="AE443" s="77"/>
      <c r="AF443" s="75"/>
      <c r="AG443" s="75"/>
      <c r="AH443" s="75"/>
      <c r="AI443" s="75"/>
    </row>
    <row r="444" spans="1:35" ht="22.35" customHeight="1" thickBot="1" x14ac:dyDescent="0.3">
      <c r="A444" s="80"/>
      <c r="B444" s="80"/>
      <c r="F444" s="141"/>
      <c r="H444" s="99"/>
      <c r="I444" s="84"/>
      <c r="K444" s="86"/>
      <c r="L444" s="86"/>
      <c r="M444" s="86"/>
      <c r="O444" s="100"/>
      <c r="P444" s="143"/>
      <c r="Q444" s="90"/>
      <c r="R444" s="91"/>
      <c r="S444" s="144" t="s">
        <v>138</v>
      </c>
      <c r="T444" s="112" t="s">
        <v>296</v>
      </c>
      <c r="U444" s="106"/>
      <c r="V444" s="107">
        <v>43</v>
      </c>
      <c r="W444" s="108"/>
      <c r="X444" s="109"/>
      <c r="Y444" s="20">
        <f t="shared" si="18"/>
        <v>0</v>
      </c>
      <c r="AA444" s="98">
        <f t="shared" si="19"/>
        <v>0</v>
      </c>
      <c r="AB444" s="98">
        <f t="shared" si="20"/>
        <v>0</v>
      </c>
      <c r="AC444" s="110"/>
      <c r="AD444" s="77"/>
      <c r="AE444" s="77"/>
      <c r="AF444" s="75"/>
      <c r="AG444" s="75"/>
      <c r="AH444" s="75"/>
      <c r="AI444" s="75"/>
    </row>
    <row r="445" spans="1:35" ht="22.35" customHeight="1" thickBot="1" x14ac:dyDescent="0.3">
      <c r="A445" s="80"/>
      <c r="B445" s="80"/>
      <c r="F445" s="141"/>
      <c r="H445" s="99"/>
      <c r="I445" s="84"/>
      <c r="K445" s="86"/>
      <c r="L445" s="86"/>
      <c r="M445" s="86"/>
      <c r="O445" s="100"/>
      <c r="P445" s="143"/>
      <c r="Q445" s="90"/>
      <c r="R445" s="91"/>
      <c r="S445" s="144" t="s">
        <v>138</v>
      </c>
      <c r="T445" s="112" t="s">
        <v>296</v>
      </c>
      <c r="U445" s="106"/>
      <c r="V445" s="107">
        <v>43</v>
      </c>
      <c r="W445" s="108"/>
      <c r="X445" s="109"/>
      <c r="Y445" s="20">
        <f t="shared" si="18"/>
        <v>0</v>
      </c>
      <c r="AA445" s="98">
        <f t="shared" si="19"/>
        <v>0</v>
      </c>
      <c r="AB445" s="98">
        <f t="shared" si="20"/>
        <v>0</v>
      </c>
      <c r="AC445" s="110"/>
      <c r="AD445" s="77"/>
      <c r="AE445" s="77"/>
      <c r="AF445" s="75"/>
      <c r="AG445" s="75"/>
      <c r="AH445" s="75"/>
      <c r="AI445" s="75"/>
    </row>
    <row r="446" spans="1:35" ht="22.35" customHeight="1" thickBot="1" x14ac:dyDescent="0.3">
      <c r="A446" s="80"/>
      <c r="B446" s="80"/>
      <c r="F446" s="141"/>
      <c r="H446" s="99"/>
      <c r="I446" s="84"/>
      <c r="K446" s="86"/>
      <c r="L446" s="86"/>
      <c r="M446" s="86"/>
      <c r="O446" s="100"/>
      <c r="P446" s="143"/>
      <c r="Q446" s="90"/>
      <c r="R446" s="91"/>
      <c r="S446" s="144" t="s">
        <v>138</v>
      </c>
      <c r="T446" s="112" t="s">
        <v>296</v>
      </c>
      <c r="U446" s="106"/>
      <c r="V446" s="107">
        <v>43</v>
      </c>
      <c r="W446" s="160"/>
      <c r="X446" s="161"/>
      <c r="Y446" s="20">
        <f t="shared" si="18"/>
        <v>0</v>
      </c>
      <c r="AA446" s="98">
        <f t="shared" si="19"/>
        <v>0</v>
      </c>
      <c r="AB446" s="98">
        <f t="shared" si="20"/>
        <v>0</v>
      </c>
      <c r="AC446" s="110"/>
      <c r="AD446" s="77"/>
      <c r="AE446" s="77"/>
      <c r="AF446" s="75"/>
      <c r="AG446" s="75"/>
      <c r="AH446" s="75"/>
      <c r="AI446" s="75"/>
    </row>
    <row r="447" spans="1:35" ht="22.35" customHeight="1" thickBot="1" x14ac:dyDescent="0.3">
      <c r="A447" s="80"/>
      <c r="B447" s="80"/>
      <c r="F447" s="141"/>
      <c r="H447" s="99"/>
      <c r="I447" s="84"/>
      <c r="K447" s="86"/>
      <c r="L447" s="86"/>
      <c r="M447" s="86"/>
      <c r="O447" s="100"/>
      <c r="P447" s="143"/>
      <c r="Q447" s="90"/>
      <c r="R447" s="91"/>
      <c r="S447" s="144" t="s">
        <v>138</v>
      </c>
      <c r="T447" s="112" t="s">
        <v>296</v>
      </c>
      <c r="U447" s="106"/>
      <c r="V447" s="107">
        <v>43</v>
      </c>
      <c r="W447" s="160"/>
      <c r="X447" s="161"/>
      <c r="Y447" s="20">
        <f t="shared" si="18"/>
        <v>0</v>
      </c>
      <c r="AA447" s="98">
        <f t="shared" si="19"/>
        <v>0</v>
      </c>
      <c r="AB447" s="98">
        <f t="shared" si="20"/>
        <v>0</v>
      </c>
      <c r="AC447" s="110"/>
      <c r="AD447" s="77"/>
      <c r="AE447" s="77"/>
      <c r="AF447" s="75"/>
      <c r="AG447" s="75"/>
      <c r="AH447" s="75"/>
      <c r="AI447" s="75"/>
    </row>
    <row r="448" spans="1:35" ht="22.35" customHeight="1" thickBot="1" x14ac:dyDescent="0.3">
      <c r="A448" s="252"/>
      <c r="B448" s="252"/>
      <c r="C448" s="253"/>
      <c r="D448" s="254"/>
      <c r="E448" s="254"/>
      <c r="F448" s="195"/>
      <c r="G448" s="196"/>
      <c r="H448" s="255"/>
      <c r="I448" s="256"/>
      <c r="J448" s="257"/>
      <c r="K448" s="258"/>
      <c r="L448" s="258"/>
      <c r="M448" s="258"/>
      <c r="N448" s="228"/>
      <c r="O448" s="200"/>
      <c r="P448" s="202"/>
      <c r="Q448" s="259"/>
      <c r="R448" s="260"/>
      <c r="S448" s="155" t="s">
        <v>138</v>
      </c>
      <c r="T448" s="124" t="s">
        <v>296</v>
      </c>
      <c r="U448" s="125"/>
      <c r="V448" s="126">
        <v>43</v>
      </c>
      <c r="W448" s="261"/>
      <c r="X448" s="262"/>
      <c r="Y448" s="20">
        <f t="shared" si="18"/>
        <v>0</v>
      </c>
      <c r="AA448" s="98">
        <f t="shared" si="19"/>
        <v>0</v>
      </c>
      <c r="AB448" s="98">
        <f t="shared" si="20"/>
        <v>0</v>
      </c>
      <c r="AC448" s="110"/>
      <c r="AD448" s="77"/>
      <c r="AE448" s="77"/>
      <c r="AF448" s="75"/>
      <c r="AG448" s="75"/>
      <c r="AH448" s="75"/>
      <c r="AI448" s="75"/>
    </row>
    <row r="449" spans="1:35" ht="22.35" customHeight="1" thickBot="1" x14ac:dyDescent="0.3">
      <c r="A449" s="175"/>
      <c r="B449" s="175"/>
      <c r="C449" s="176"/>
      <c r="D449" s="177" t="s">
        <v>859</v>
      </c>
      <c r="E449" s="178"/>
      <c r="F449" s="179"/>
      <c r="G449" s="180"/>
      <c r="H449" s="181"/>
      <c r="I449" s="180"/>
      <c r="J449" s="178"/>
      <c r="K449" s="182"/>
      <c r="L449" s="182"/>
      <c r="M449" s="182"/>
      <c r="N449" s="183"/>
      <c r="O449" s="184"/>
      <c r="P449" s="184"/>
      <c r="Q449" s="184"/>
      <c r="R449" s="185"/>
      <c r="S449" s="186"/>
      <c r="T449" s="187" t="s">
        <v>290</v>
      </c>
      <c r="U449" s="188"/>
      <c r="V449" s="189"/>
      <c r="W449" s="188"/>
      <c r="X449" s="190"/>
      <c r="Y449" s="20">
        <f t="shared" si="18"/>
        <v>0</v>
      </c>
      <c r="AA449" s="98">
        <f t="shared" si="19"/>
        <v>0</v>
      </c>
      <c r="AB449" s="98">
        <f t="shared" si="20"/>
        <v>0</v>
      </c>
    </row>
    <row r="450" spans="1:35" ht="22.35" customHeight="1" thickBot="1" x14ac:dyDescent="0.3">
      <c r="A450" s="127"/>
      <c r="B450" s="127"/>
      <c r="C450" s="128"/>
      <c r="D450" s="129"/>
      <c r="E450" s="129"/>
      <c r="F450" s="130"/>
      <c r="G450" s="132"/>
      <c r="H450" s="191"/>
      <c r="I450" s="158"/>
      <c r="J450" s="129"/>
      <c r="K450" s="159"/>
      <c r="L450" s="133"/>
      <c r="M450" s="133"/>
      <c r="N450" s="134"/>
      <c r="O450" s="135"/>
      <c r="P450" s="136"/>
      <c r="Q450" s="137"/>
      <c r="R450" s="138"/>
      <c r="S450" s="144" t="s">
        <v>860</v>
      </c>
      <c r="T450" s="112" t="s">
        <v>290</v>
      </c>
      <c r="U450" s="106" t="s">
        <v>861</v>
      </c>
      <c r="V450" s="107">
        <v>44</v>
      </c>
      <c r="W450" s="96"/>
      <c r="X450" s="97"/>
      <c r="Y450" s="20">
        <f t="shared" si="18"/>
        <v>0</v>
      </c>
      <c r="AA450" s="98">
        <f t="shared" si="19"/>
        <v>0</v>
      </c>
      <c r="AB450" s="98">
        <f t="shared" si="20"/>
        <v>0</v>
      </c>
    </row>
    <row r="451" spans="1:35" ht="22.35" customHeight="1" thickBot="1" x14ac:dyDescent="0.3">
      <c r="A451" s="80"/>
      <c r="B451" s="80"/>
      <c r="F451" s="141"/>
      <c r="H451" s="191"/>
      <c r="I451" s="84"/>
      <c r="K451" s="86"/>
      <c r="L451" s="86"/>
      <c r="M451" s="86"/>
      <c r="O451" s="100"/>
      <c r="P451" s="143"/>
      <c r="Q451" s="102"/>
      <c r="R451" s="103"/>
      <c r="S451" s="144" t="s">
        <v>860</v>
      </c>
      <c r="T451" s="112" t="s">
        <v>290</v>
      </c>
      <c r="U451" s="106" t="s">
        <v>861</v>
      </c>
      <c r="V451" s="107">
        <v>44</v>
      </c>
      <c r="W451" s="108"/>
      <c r="X451" s="109"/>
      <c r="Y451" s="20">
        <f t="shared" si="18"/>
        <v>0</v>
      </c>
      <c r="AA451" s="98">
        <f t="shared" si="19"/>
        <v>0</v>
      </c>
      <c r="AB451" s="98">
        <f t="shared" si="20"/>
        <v>0</v>
      </c>
    </row>
    <row r="452" spans="1:35" ht="22.35" customHeight="1" thickBot="1" x14ac:dyDescent="0.3">
      <c r="A452" s="80"/>
      <c r="B452" s="80"/>
      <c r="F452" s="141"/>
      <c r="H452" s="191"/>
      <c r="I452" s="84"/>
      <c r="K452" s="86"/>
      <c r="L452" s="86"/>
      <c r="M452" s="86"/>
      <c r="O452" s="100"/>
      <c r="P452" s="143"/>
      <c r="Q452" s="102"/>
      <c r="R452" s="103"/>
      <c r="S452" s="144" t="s">
        <v>860</v>
      </c>
      <c r="T452" s="112" t="s">
        <v>290</v>
      </c>
      <c r="U452" s="106" t="s">
        <v>861</v>
      </c>
      <c r="V452" s="107">
        <v>44</v>
      </c>
      <c r="W452" s="108"/>
      <c r="X452" s="109"/>
      <c r="Y452" s="20">
        <f t="shared" si="18"/>
        <v>0</v>
      </c>
      <c r="AA452" s="98">
        <f t="shared" si="19"/>
        <v>0</v>
      </c>
      <c r="AB452" s="98">
        <f t="shared" si="20"/>
        <v>0</v>
      </c>
    </row>
    <row r="453" spans="1:35" ht="22.35" customHeight="1" thickBot="1" x14ac:dyDescent="0.3">
      <c r="A453" s="80"/>
      <c r="B453" s="80"/>
      <c r="D453" s="23" t="s">
        <v>862</v>
      </c>
      <c r="F453" s="141"/>
      <c r="H453" s="191"/>
      <c r="I453" s="84"/>
      <c r="K453" s="86"/>
      <c r="L453" s="86"/>
      <c r="M453" s="86"/>
      <c r="O453" s="100"/>
      <c r="P453" s="143"/>
      <c r="Q453" s="102"/>
      <c r="R453" s="103"/>
      <c r="S453" s="144" t="s">
        <v>860</v>
      </c>
      <c r="T453" s="112" t="s">
        <v>290</v>
      </c>
      <c r="U453" s="106" t="s">
        <v>863</v>
      </c>
      <c r="V453" s="107">
        <v>44</v>
      </c>
      <c r="W453" s="108"/>
      <c r="X453" s="109"/>
      <c r="Y453" s="20">
        <f t="shared" si="18"/>
        <v>0</v>
      </c>
      <c r="AA453" s="98">
        <f t="shared" si="19"/>
        <v>0</v>
      </c>
      <c r="AB453" s="98">
        <f t="shared" si="20"/>
        <v>0</v>
      </c>
    </row>
    <row r="454" spans="1:35" ht="22.35" customHeight="1" thickBot="1" x14ac:dyDescent="0.3">
      <c r="A454" s="80"/>
      <c r="B454" s="80"/>
      <c r="F454" s="141"/>
      <c r="H454" s="191"/>
      <c r="I454" s="84"/>
      <c r="K454" s="86"/>
      <c r="L454" s="86"/>
      <c r="M454" s="86"/>
      <c r="O454" s="100"/>
      <c r="P454" s="143"/>
      <c r="Q454" s="102"/>
      <c r="R454" s="103"/>
      <c r="S454" s="144" t="s">
        <v>860</v>
      </c>
      <c r="T454" s="112" t="s">
        <v>290</v>
      </c>
      <c r="U454" s="106" t="s">
        <v>863</v>
      </c>
      <c r="V454" s="107">
        <v>44</v>
      </c>
      <c r="W454" s="108"/>
      <c r="X454" s="109"/>
      <c r="Y454" s="20">
        <f t="shared" si="18"/>
        <v>0</v>
      </c>
      <c r="AA454" s="98">
        <f t="shared" si="19"/>
        <v>0</v>
      </c>
      <c r="AB454" s="98">
        <f t="shared" si="20"/>
        <v>0</v>
      </c>
    </row>
    <row r="455" spans="1:35" ht="22.35" customHeight="1" thickBot="1" x14ac:dyDescent="0.3">
      <c r="A455" s="80"/>
      <c r="B455" s="80"/>
      <c r="F455" s="141"/>
      <c r="H455" s="191"/>
      <c r="I455" s="84"/>
      <c r="K455" s="86"/>
      <c r="L455" s="86"/>
      <c r="M455" s="86"/>
      <c r="O455" s="100"/>
      <c r="P455" s="143"/>
      <c r="Q455" s="102"/>
      <c r="R455" s="103"/>
      <c r="S455" s="144" t="s">
        <v>860</v>
      </c>
      <c r="T455" s="112" t="s">
        <v>290</v>
      </c>
      <c r="U455" s="106" t="s">
        <v>863</v>
      </c>
      <c r="V455" s="107">
        <v>44</v>
      </c>
      <c r="W455" s="108"/>
      <c r="X455" s="109"/>
      <c r="Y455" s="20">
        <f t="shared" ref="Y455:Y518" si="21">COUNTIF(K:K,K455)</f>
        <v>0</v>
      </c>
      <c r="AA455" s="98">
        <f t="shared" si="19"/>
        <v>0</v>
      </c>
      <c r="AB455" s="98">
        <f t="shared" si="20"/>
        <v>0</v>
      </c>
    </row>
    <row r="456" spans="1:35" ht="22.35" customHeight="1" thickBot="1" x14ac:dyDescent="0.3">
      <c r="A456" s="80"/>
      <c r="B456" s="80"/>
      <c r="F456" s="141"/>
      <c r="H456" s="191"/>
      <c r="I456" s="84"/>
      <c r="K456" s="86"/>
      <c r="L456" s="86"/>
      <c r="M456" s="86"/>
      <c r="O456" s="100"/>
      <c r="P456" s="143"/>
      <c r="Q456" s="102"/>
      <c r="R456" s="103"/>
      <c r="S456" s="144" t="s">
        <v>860</v>
      </c>
      <c r="T456" s="112" t="s">
        <v>864</v>
      </c>
      <c r="U456" s="106" t="s">
        <v>865</v>
      </c>
      <c r="V456" s="107">
        <v>44</v>
      </c>
      <c r="W456" s="108"/>
      <c r="X456" s="109"/>
      <c r="Y456" s="20">
        <f t="shared" si="21"/>
        <v>0</v>
      </c>
      <c r="AA456" s="98">
        <f t="shared" si="19"/>
        <v>0</v>
      </c>
      <c r="AB456" s="98">
        <f t="shared" si="20"/>
        <v>0</v>
      </c>
    </row>
    <row r="457" spans="1:35" ht="22.35" customHeight="1" thickBot="1" x14ac:dyDescent="0.3">
      <c r="A457" s="80"/>
      <c r="B457" s="80"/>
      <c r="F457" s="141"/>
      <c r="H457" s="191"/>
      <c r="I457" s="84"/>
      <c r="K457" s="86"/>
      <c r="L457" s="86"/>
      <c r="M457" s="86"/>
      <c r="O457" s="100"/>
      <c r="P457" s="143"/>
      <c r="Q457" s="102"/>
      <c r="R457" s="103"/>
      <c r="S457" s="144" t="s">
        <v>860</v>
      </c>
      <c r="T457" s="112" t="s">
        <v>864</v>
      </c>
      <c r="U457" s="106" t="s">
        <v>865</v>
      </c>
      <c r="V457" s="107">
        <v>44</v>
      </c>
      <c r="W457" s="108"/>
      <c r="X457" s="109"/>
      <c r="Y457" s="20">
        <f t="shared" si="21"/>
        <v>0</v>
      </c>
      <c r="AA457" s="98">
        <f t="shared" si="19"/>
        <v>0</v>
      </c>
      <c r="AB457" s="98">
        <f t="shared" si="20"/>
        <v>0</v>
      </c>
    </row>
    <row r="458" spans="1:35" ht="22.35" customHeight="1" thickBot="1" x14ac:dyDescent="0.3">
      <c r="A458" s="80"/>
      <c r="B458" s="80"/>
      <c r="F458" s="141"/>
      <c r="H458" s="191"/>
      <c r="I458" s="84"/>
      <c r="K458" s="86"/>
      <c r="L458" s="86"/>
      <c r="M458" s="86"/>
      <c r="O458" s="100"/>
      <c r="P458" s="143"/>
      <c r="Q458" s="102"/>
      <c r="R458" s="103"/>
      <c r="S458" s="144" t="s">
        <v>860</v>
      </c>
      <c r="T458" s="112" t="s">
        <v>864</v>
      </c>
      <c r="U458" s="106" t="s">
        <v>798</v>
      </c>
      <c r="V458" s="107">
        <v>44</v>
      </c>
      <c r="W458" s="108"/>
      <c r="X458" s="109"/>
      <c r="Y458" s="20">
        <f t="shared" si="21"/>
        <v>0</v>
      </c>
      <c r="AA458" s="98">
        <f t="shared" si="19"/>
        <v>0</v>
      </c>
      <c r="AB458" s="98">
        <f t="shared" si="20"/>
        <v>0</v>
      </c>
    </row>
    <row r="459" spans="1:35" ht="22.35" customHeight="1" thickBot="1" x14ac:dyDescent="0.3">
      <c r="A459" s="80"/>
      <c r="B459" s="80"/>
      <c r="F459" s="141"/>
      <c r="H459" s="191"/>
      <c r="I459" s="84"/>
      <c r="K459" s="86"/>
      <c r="L459" s="86"/>
      <c r="M459" s="86"/>
      <c r="O459" s="100"/>
      <c r="P459" s="143"/>
      <c r="Q459" s="102"/>
      <c r="R459" s="103"/>
      <c r="S459" s="144" t="s">
        <v>860</v>
      </c>
      <c r="T459" s="112" t="s">
        <v>864</v>
      </c>
      <c r="U459" s="106" t="s">
        <v>798</v>
      </c>
      <c r="V459" s="107">
        <v>44</v>
      </c>
      <c r="W459" s="108"/>
      <c r="X459" s="109"/>
      <c r="Y459" s="20">
        <f t="shared" si="21"/>
        <v>0</v>
      </c>
      <c r="AA459" s="98">
        <f t="shared" si="19"/>
        <v>0</v>
      </c>
      <c r="AB459" s="98">
        <f t="shared" si="20"/>
        <v>0</v>
      </c>
    </row>
    <row r="460" spans="1:35" ht="22.35" customHeight="1" thickBot="1" x14ac:dyDescent="0.3">
      <c r="A460" s="80"/>
      <c r="B460" s="80"/>
      <c r="F460" s="141"/>
      <c r="H460" s="191"/>
      <c r="I460" s="84"/>
      <c r="K460" s="86"/>
      <c r="L460" s="86"/>
      <c r="M460" s="86"/>
      <c r="O460" s="100"/>
      <c r="P460" s="143"/>
      <c r="Q460" s="102"/>
      <c r="R460" s="103"/>
      <c r="S460" s="144" t="s">
        <v>860</v>
      </c>
      <c r="T460" s="112" t="s">
        <v>864</v>
      </c>
      <c r="U460" s="106" t="s">
        <v>798</v>
      </c>
      <c r="V460" s="107">
        <v>44</v>
      </c>
      <c r="W460" s="108"/>
      <c r="X460" s="109"/>
      <c r="Y460" s="20">
        <f t="shared" si="21"/>
        <v>0</v>
      </c>
      <c r="AA460" s="98">
        <f t="shared" si="19"/>
        <v>0</v>
      </c>
      <c r="AB460" s="98">
        <f t="shared" si="20"/>
        <v>0</v>
      </c>
    </row>
    <row r="461" spans="1:35" ht="22.35" customHeight="1" thickBot="1" x14ac:dyDescent="0.3">
      <c r="A461" s="209"/>
      <c r="B461" s="209"/>
      <c r="C461" s="210"/>
      <c r="D461" s="211"/>
      <c r="E461" s="211"/>
      <c r="F461" s="236"/>
      <c r="G461" s="213"/>
      <c r="H461" s="191"/>
      <c r="I461" s="238"/>
      <c r="J461" s="211"/>
      <c r="K461" s="215"/>
      <c r="L461" s="215"/>
      <c r="M461" s="215"/>
      <c r="N461" s="216"/>
      <c r="O461" s="239"/>
      <c r="P461" s="240"/>
      <c r="Q461" s="154"/>
      <c r="R461" s="241"/>
      <c r="S461" s="242" t="s">
        <v>860</v>
      </c>
      <c r="T461" s="243" t="s">
        <v>864</v>
      </c>
      <c r="U461" s="244" t="s">
        <v>819</v>
      </c>
      <c r="V461" s="233">
        <v>44</v>
      </c>
      <c r="W461" s="108"/>
      <c r="X461" s="109"/>
      <c r="Y461" s="20">
        <f t="shared" si="21"/>
        <v>0</v>
      </c>
      <c r="AA461" s="98">
        <f t="shared" si="19"/>
        <v>0</v>
      </c>
      <c r="AB461" s="98">
        <f t="shared" si="20"/>
        <v>0</v>
      </c>
    </row>
    <row r="462" spans="1:35" ht="22.35" customHeight="1" thickBot="1" x14ac:dyDescent="0.3">
      <c r="A462" s="209"/>
      <c r="B462" s="209"/>
      <c r="C462" s="193"/>
      <c r="D462" s="194"/>
      <c r="E462" s="194"/>
      <c r="F462" s="227"/>
      <c r="G462" s="196"/>
      <c r="H462" s="191"/>
      <c r="I462" s="196"/>
      <c r="J462" s="194"/>
      <c r="K462" s="198"/>
      <c r="L462" s="198">
        <v>4</v>
      </c>
      <c r="M462" s="198"/>
      <c r="N462" s="228">
        <v>1</v>
      </c>
      <c r="O462" s="229"/>
      <c r="P462" s="230"/>
      <c r="Q462" s="230"/>
      <c r="R462" s="231"/>
      <c r="S462" s="250" t="s">
        <v>866</v>
      </c>
      <c r="T462" s="125" t="str">
        <f>INDEX([1]data!$B$1:$B$100,MATCH('04.02 - 10.02'!S462,[0]!exclusive01,))</f>
        <v>KHANH</v>
      </c>
      <c r="U462" s="244"/>
      <c r="V462" s="245">
        <v>44</v>
      </c>
      <c r="W462" s="108"/>
      <c r="X462" s="109" t="s">
        <v>45</v>
      </c>
      <c r="Y462" s="20">
        <f t="shared" si="21"/>
        <v>0</v>
      </c>
      <c r="AA462" s="98">
        <f t="shared" si="19"/>
        <v>0</v>
      </c>
      <c r="AB462" s="98">
        <f t="shared" si="20"/>
        <v>0</v>
      </c>
    </row>
    <row r="463" spans="1:35" ht="22.35" customHeight="1" thickBot="1" x14ac:dyDescent="0.3">
      <c r="A463" s="127"/>
      <c r="B463" s="127"/>
      <c r="C463" s="128"/>
      <c r="D463" s="129"/>
      <c r="E463" s="129"/>
      <c r="F463" s="130"/>
      <c r="G463" s="132"/>
      <c r="H463" s="99"/>
      <c r="I463" s="158"/>
      <c r="J463" s="129"/>
      <c r="K463" s="159"/>
      <c r="L463" s="133"/>
      <c r="M463" s="133"/>
      <c r="N463" s="134"/>
      <c r="O463" s="135"/>
      <c r="P463" s="136"/>
      <c r="Q463" s="137"/>
      <c r="R463" s="138"/>
      <c r="S463" s="144" t="s">
        <v>138</v>
      </c>
      <c r="T463" s="112" t="s">
        <v>290</v>
      </c>
      <c r="U463" s="106"/>
      <c r="V463" s="107">
        <v>45</v>
      </c>
      <c r="W463" s="96"/>
      <c r="X463" s="97"/>
      <c r="Y463" s="20">
        <f t="shared" si="21"/>
        <v>0</v>
      </c>
      <c r="AA463" s="98">
        <f t="shared" si="19"/>
        <v>0</v>
      </c>
      <c r="AB463" s="98">
        <f t="shared" si="20"/>
        <v>0</v>
      </c>
      <c r="AC463" s="110"/>
      <c r="AD463" s="77"/>
      <c r="AE463" s="77"/>
      <c r="AF463" s="75"/>
      <c r="AG463" s="75"/>
      <c r="AH463" s="75"/>
      <c r="AI463" s="75"/>
    </row>
    <row r="464" spans="1:35" ht="22.35" customHeight="1" thickBot="1" x14ac:dyDescent="0.3">
      <c r="A464" s="80"/>
      <c r="B464" s="80"/>
      <c r="F464" s="141"/>
      <c r="H464" s="99"/>
      <c r="I464" s="84"/>
      <c r="K464" s="86"/>
      <c r="L464" s="86"/>
      <c r="M464" s="86"/>
      <c r="O464" s="100"/>
      <c r="P464" s="143"/>
      <c r="Q464" s="102"/>
      <c r="R464" s="103"/>
      <c r="S464" s="144" t="s">
        <v>138</v>
      </c>
      <c r="T464" s="112" t="s">
        <v>290</v>
      </c>
      <c r="U464" s="106"/>
      <c r="V464" s="107">
        <v>45</v>
      </c>
      <c r="W464" s="108"/>
      <c r="X464" s="109"/>
      <c r="Y464" s="20">
        <f t="shared" si="21"/>
        <v>0</v>
      </c>
      <c r="AA464" s="98">
        <f t="shared" si="19"/>
        <v>0</v>
      </c>
      <c r="AB464" s="98">
        <f t="shared" si="20"/>
        <v>0</v>
      </c>
      <c r="AC464" s="110"/>
      <c r="AD464" s="77"/>
      <c r="AE464" s="77"/>
      <c r="AF464" s="75"/>
      <c r="AG464" s="75"/>
      <c r="AH464" s="75"/>
      <c r="AI464" s="75"/>
    </row>
    <row r="465" spans="1:35" ht="22.35" customHeight="1" thickBot="1" x14ac:dyDescent="0.3">
      <c r="A465" s="80"/>
      <c r="B465" s="80"/>
      <c r="F465" s="141"/>
      <c r="H465" s="99"/>
      <c r="I465" s="84"/>
      <c r="K465" s="86"/>
      <c r="L465" s="86"/>
      <c r="M465" s="86"/>
      <c r="O465" s="100"/>
      <c r="P465" s="143"/>
      <c r="Q465" s="90"/>
      <c r="R465" s="91"/>
      <c r="S465" s="144" t="s">
        <v>138</v>
      </c>
      <c r="T465" s="112" t="s">
        <v>290</v>
      </c>
      <c r="U465" s="106"/>
      <c r="V465" s="107">
        <v>45</v>
      </c>
      <c r="W465" s="108"/>
      <c r="X465" s="109"/>
      <c r="Y465" s="20">
        <f t="shared" si="21"/>
        <v>0</v>
      </c>
      <c r="AA465" s="98">
        <f t="shared" si="19"/>
        <v>0</v>
      </c>
      <c r="AB465" s="98">
        <f t="shared" si="20"/>
        <v>0</v>
      </c>
      <c r="AC465" s="110"/>
      <c r="AD465" s="77"/>
      <c r="AE465" s="77"/>
      <c r="AF465" s="75"/>
      <c r="AG465" s="75"/>
      <c r="AH465" s="75"/>
      <c r="AI465" s="75"/>
    </row>
    <row r="466" spans="1:35" ht="22.35" customHeight="1" thickBot="1" x14ac:dyDescent="0.3">
      <c r="A466" s="80"/>
      <c r="B466" s="80"/>
      <c r="F466" s="141"/>
      <c r="H466" s="99"/>
      <c r="I466" s="84"/>
      <c r="K466" s="86"/>
      <c r="L466" s="86"/>
      <c r="M466" s="86"/>
      <c r="O466" s="100"/>
      <c r="P466" s="143"/>
      <c r="Q466" s="90"/>
      <c r="R466" s="91"/>
      <c r="S466" s="144" t="s">
        <v>138</v>
      </c>
      <c r="T466" s="112" t="s">
        <v>290</v>
      </c>
      <c r="U466" s="106"/>
      <c r="V466" s="107">
        <v>45</v>
      </c>
      <c r="W466" s="108"/>
      <c r="X466" s="109"/>
      <c r="Y466" s="20">
        <f t="shared" si="21"/>
        <v>0</v>
      </c>
      <c r="AA466" s="98">
        <f t="shared" si="19"/>
        <v>0</v>
      </c>
      <c r="AB466" s="98">
        <f t="shared" si="20"/>
        <v>0</v>
      </c>
      <c r="AC466" s="110"/>
      <c r="AD466" s="77"/>
      <c r="AE466" s="77"/>
      <c r="AF466" s="75"/>
      <c r="AG466" s="75"/>
      <c r="AH466" s="75"/>
      <c r="AI466" s="75"/>
    </row>
    <row r="467" spans="1:35" ht="22.35" customHeight="1" thickBot="1" x14ac:dyDescent="0.3">
      <c r="A467" s="80"/>
      <c r="B467" s="80"/>
      <c r="F467" s="141"/>
      <c r="H467" s="99"/>
      <c r="I467" s="84"/>
      <c r="K467" s="86"/>
      <c r="L467" s="86"/>
      <c r="M467" s="86"/>
      <c r="O467" s="100"/>
      <c r="P467" s="143"/>
      <c r="Q467" s="90"/>
      <c r="R467" s="91"/>
      <c r="S467" s="144" t="s">
        <v>138</v>
      </c>
      <c r="T467" s="112" t="s">
        <v>290</v>
      </c>
      <c r="U467" s="106"/>
      <c r="V467" s="107">
        <v>45</v>
      </c>
      <c r="W467" s="108"/>
      <c r="X467" s="109"/>
      <c r="Y467" s="20">
        <f t="shared" si="21"/>
        <v>0</v>
      </c>
      <c r="AA467" s="98">
        <f t="shared" si="19"/>
        <v>0</v>
      </c>
      <c r="AB467" s="98">
        <f t="shared" si="20"/>
        <v>0</v>
      </c>
      <c r="AC467" s="110"/>
      <c r="AD467" s="77"/>
      <c r="AE467" s="77"/>
      <c r="AF467" s="75"/>
      <c r="AG467" s="75"/>
      <c r="AH467" s="75"/>
      <c r="AI467" s="75"/>
    </row>
    <row r="468" spans="1:35" ht="22.35" customHeight="1" thickBot="1" x14ac:dyDescent="0.3">
      <c r="A468" s="80"/>
      <c r="B468" s="80"/>
      <c r="F468" s="141"/>
      <c r="H468" s="99"/>
      <c r="I468" s="84"/>
      <c r="K468" s="86"/>
      <c r="L468" s="86"/>
      <c r="M468" s="86"/>
      <c r="O468" s="100"/>
      <c r="P468" s="143"/>
      <c r="Q468" s="90"/>
      <c r="R468" s="91"/>
      <c r="S468" s="144" t="s">
        <v>138</v>
      </c>
      <c r="T468" s="112" t="s">
        <v>290</v>
      </c>
      <c r="U468" s="106"/>
      <c r="V468" s="107">
        <v>45</v>
      </c>
      <c r="W468" s="108"/>
      <c r="X468" s="109"/>
      <c r="Y468" s="20">
        <f t="shared" si="21"/>
        <v>0</v>
      </c>
      <c r="AA468" s="98">
        <f t="shared" si="19"/>
        <v>0</v>
      </c>
      <c r="AB468" s="98">
        <f t="shared" si="20"/>
        <v>0</v>
      </c>
      <c r="AC468" s="110"/>
      <c r="AD468" s="77"/>
      <c r="AE468" s="77"/>
      <c r="AF468" s="75"/>
      <c r="AG468" s="75"/>
      <c r="AH468" s="75"/>
      <c r="AI468" s="75"/>
    </row>
    <row r="469" spans="1:35" ht="22.35" customHeight="1" thickBot="1" x14ac:dyDescent="0.3">
      <c r="A469" s="80"/>
      <c r="B469" s="80"/>
      <c r="F469" s="141"/>
      <c r="H469" s="99"/>
      <c r="I469" s="84"/>
      <c r="K469" s="86"/>
      <c r="L469" s="86"/>
      <c r="M469" s="86"/>
      <c r="O469" s="100"/>
      <c r="P469" s="143"/>
      <c r="Q469" s="90"/>
      <c r="R469" s="91"/>
      <c r="S469" s="144" t="s">
        <v>138</v>
      </c>
      <c r="T469" s="112" t="s">
        <v>290</v>
      </c>
      <c r="U469" s="106"/>
      <c r="V469" s="107">
        <v>45</v>
      </c>
      <c r="W469" s="108"/>
      <c r="X469" s="109"/>
      <c r="Y469" s="20">
        <f t="shared" si="21"/>
        <v>0</v>
      </c>
      <c r="AA469" s="98">
        <f t="shared" si="19"/>
        <v>0</v>
      </c>
      <c r="AB469" s="98">
        <f t="shared" si="20"/>
        <v>0</v>
      </c>
      <c r="AC469" s="110"/>
      <c r="AD469" s="77"/>
      <c r="AE469" s="77"/>
      <c r="AF469" s="75"/>
      <c r="AG469" s="75"/>
      <c r="AH469" s="75"/>
      <c r="AI469" s="75"/>
    </row>
    <row r="470" spans="1:35" ht="22.35" customHeight="1" thickBot="1" x14ac:dyDescent="0.3">
      <c r="A470" s="80"/>
      <c r="B470" s="80"/>
      <c r="F470" s="141"/>
      <c r="H470" s="99"/>
      <c r="I470" s="84"/>
      <c r="K470" s="86"/>
      <c r="L470" s="86"/>
      <c r="M470" s="86"/>
      <c r="O470" s="100"/>
      <c r="P470" s="143"/>
      <c r="Q470" s="90"/>
      <c r="R470" s="91"/>
      <c r="S470" s="144" t="s">
        <v>138</v>
      </c>
      <c r="T470" s="112" t="s">
        <v>290</v>
      </c>
      <c r="U470" s="106"/>
      <c r="V470" s="107">
        <v>45</v>
      </c>
      <c r="W470" s="108"/>
      <c r="X470" s="109"/>
      <c r="Y470" s="20">
        <f t="shared" si="21"/>
        <v>0</v>
      </c>
      <c r="AA470" s="98">
        <f t="shared" si="19"/>
        <v>0</v>
      </c>
      <c r="AB470" s="98">
        <f t="shared" si="20"/>
        <v>0</v>
      </c>
      <c r="AC470" s="110"/>
      <c r="AD470" s="77"/>
      <c r="AE470" s="77"/>
      <c r="AF470" s="75"/>
      <c r="AG470" s="75"/>
      <c r="AH470" s="75"/>
      <c r="AI470" s="75"/>
    </row>
    <row r="471" spans="1:35" ht="22.35" customHeight="1" thickBot="1" x14ac:dyDescent="0.3">
      <c r="A471" s="80"/>
      <c r="B471" s="80"/>
      <c r="F471" s="141"/>
      <c r="H471" s="99"/>
      <c r="I471" s="84"/>
      <c r="K471" s="86"/>
      <c r="L471" s="86"/>
      <c r="M471" s="86"/>
      <c r="O471" s="100"/>
      <c r="P471" s="143"/>
      <c r="Q471" s="90"/>
      <c r="R471" s="91"/>
      <c r="S471" s="144" t="s">
        <v>138</v>
      </c>
      <c r="T471" s="112" t="s">
        <v>290</v>
      </c>
      <c r="U471" s="106"/>
      <c r="V471" s="107">
        <v>45</v>
      </c>
      <c r="W471" s="108"/>
      <c r="X471" s="109"/>
      <c r="Y471" s="20">
        <f t="shared" si="21"/>
        <v>0</v>
      </c>
      <c r="AA471" s="98">
        <f t="shared" si="19"/>
        <v>0</v>
      </c>
      <c r="AB471" s="98">
        <f t="shared" si="20"/>
        <v>0</v>
      </c>
      <c r="AC471" s="110"/>
      <c r="AD471" s="77"/>
      <c r="AE471" s="77"/>
      <c r="AF471" s="75"/>
      <c r="AG471" s="75"/>
      <c r="AH471" s="75"/>
      <c r="AI471" s="75"/>
    </row>
    <row r="472" spans="1:35" ht="22.35" customHeight="1" thickBot="1" x14ac:dyDescent="0.3">
      <c r="A472" s="80"/>
      <c r="B472" s="80"/>
      <c r="F472" s="141"/>
      <c r="H472" s="99"/>
      <c r="I472" s="84"/>
      <c r="K472" s="86"/>
      <c r="L472" s="86"/>
      <c r="M472" s="86"/>
      <c r="O472" s="100"/>
      <c r="P472" s="143"/>
      <c r="Q472" s="90"/>
      <c r="R472" s="91"/>
      <c r="S472" s="144" t="s">
        <v>138</v>
      </c>
      <c r="T472" s="112" t="s">
        <v>290</v>
      </c>
      <c r="U472" s="106"/>
      <c r="V472" s="107">
        <v>45</v>
      </c>
      <c r="W472" s="108"/>
      <c r="X472" s="109"/>
      <c r="Y472" s="20">
        <f t="shared" si="21"/>
        <v>0</v>
      </c>
      <c r="AA472" s="98">
        <f t="shared" si="19"/>
        <v>0</v>
      </c>
      <c r="AB472" s="98">
        <f t="shared" si="20"/>
        <v>0</v>
      </c>
      <c r="AC472" s="110"/>
      <c r="AD472" s="77"/>
      <c r="AE472" s="77"/>
      <c r="AF472" s="75"/>
      <c r="AG472" s="75"/>
      <c r="AH472" s="75"/>
      <c r="AI472" s="75"/>
    </row>
    <row r="473" spans="1:35" ht="22.35" customHeight="1" thickBot="1" x14ac:dyDescent="0.3">
      <c r="A473" s="80"/>
      <c r="B473" s="80"/>
      <c r="F473" s="141"/>
      <c r="H473" s="99"/>
      <c r="I473" s="84"/>
      <c r="K473" s="86"/>
      <c r="L473" s="86"/>
      <c r="M473" s="86"/>
      <c r="O473" s="100"/>
      <c r="P473" s="143"/>
      <c r="Q473" s="90"/>
      <c r="R473" s="91"/>
      <c r="S473" s="144" t="s">
        <v>138</v>
      </c>
      <c r="T473" s="112" t="s">
        <v>290</v>
      </c>
      <c r="U473" s="106"/>
      <c r="V473" s="107">
        <v>45</v>
      </c>
      <c r="W473" s="108"/>
      <c r="X473" s="109"/>
      <c r="Y473" s="20">
        <f t="shared" si="21"/>
        <v>0</v>
      </c>
      <c r="AA473" s="98">
        <f t="shared" si="19"/>
        <v>0</v>
      </c>
      <c r="AB473" s="98">
        <f t="shared" si="20"/>
        <v>0</v>
      </c>
      <c r="AC473" s="110"/>
      <c r="AD473" s="77"/>
      <c r="AE473" s="77"/>
      <c r="AF473" s="75"/>
      <c r="AG473" s="75"/>
      <c r="AH473" s="75"/>
      <c r="AI473" s="75"/>
    </row>
    <row r="474" spans="1:35" ht="22.35" customHeight="1" thickBot="1" x14ac:dyDescent="0.3">
      <c r="A474" s="80"/>
      <c r="B474" s="80"/>
      <c r="F474" s="141"/>
      <c r="H474" s="99"/>
      <c r="I474" s="84"/>
      <c r="K474" s="86"/>
      <c r="L474" s="86"/>
      <c r="M474" s="86"/>
      <c r="O474" s="100"/>
      <c r="P474" s="143"/>
      <c r="Q474" s="90"/>
      <c r="R474" s="91"/>
      <c r="S474" s="144" t="s">
        <v>138</v>
      </c>
      <c r="T474" s="112" t="s">
        <v>290</v>
      </c>
      <c r="U474" s="106"/>
      <c r="V474" s="107">
        <v>45</v>
      </c>
      <c r="W474" s="108"/>
      <c r="X474" s="109"/>
      <c r="Y474" s="20">
        <f t="shared" si="21"/>
        <v>0</v>
      </c>
      <c r="AA474" s="98">
        <f t="shared" si="19"/>
        <v>0</v>
      </c>
      <c r="AB474" s="98">
        <f t="shared" si="20"/>
        <v>0</v>
      </c>
      <c r="AC474" s="110"/>
      <c r="AD474" s="77"/>
      <c r="AE474" s="77"/>
      <c r="AF474" s="75"/>
      <c r="AG474" s="75"/>
      <c r="AH474" s="75"/>
      <c r="AI474" s="75"/>
    </row>
    <row r="475" spans="1:35" ht="22.35" customHeight="1" thickBot="1" x14ac:dyDescent="0.3">
      <c r="A475" s="80"/>
      <c r="B475" s="80"/>
      <c r="F475" s="141"/>
      <c r="H475" s="99"/>
      <c r="I475" s="84"/>
      <c r="K475" s="86"/>
      <c r="L475" s="86"/>
      <c r="M475" s="86"/>
      <c r="O475" s="100"/>
      <c r="P475" s="143"/>
      <c r="Q475" s="90"/>
      <c r="R475" s="91"/>
      <c r="S475" s="144" t="s">
        <v>138</v>
      </c>
      <c r="T475" s="112" t="s">
        <v>290</v>
      </c>
      <c r="U475" s="106"/>
      <c r="V475" s="107">
        <v>45</v>
      </c>
      <c r="W475" s="108"/>
      <c r="X475" s="109"/>
      <c r="Y475" s="20">
        <f t="shared" si="21"/>
        <v>0</v>
      </c>
      <c r="AA475" s="98">
        <f t="shared" si="19"/>
        <v>0</v>
      </c>
      <c r="AB475" s="98">
        <f t="shared" si="20"/>
        <v>0</v>
      </c>
      <c r="AC475" s="110"/>
      <c r="AD475" s="77"/>
      <c r="AE475" s="77"/>
      <c r="AF475" s="75"/>
      <c r="AG475" s="75"/>
      <c r="AH475" s="75"/>
      <c r="AI475" s="75"/>
    </row>
    <row r="476" spans="1:35" ht="22.35" customHeight="1" thickBot="1" x14ac:dyDescent="0.3">
      <c r="A476" s="80"/>
      <c r="B476" s="80"/>
      <c r="F476" s="141"/>
      <c r="H476" s="99"/>
      <c r="I476" s="84"/>
      <c r="K476" s="86"/>
      <c r="L476" s="86"/>
      <c r="M476" s="86"/>
      <c r="O476" s="100"/>
      <c r="P476" s="143"/>
      <c r="Q476" s="90"/>
      <c r="R476" s="91"/>
      <c r="S476" s="144" t="s">
        <v>138</v>
      </c>
      <c r="T476" s="112" t="s">
        <v>290</v>
      </c>
      <c r="U476" s="106"/>
      <c r="V476" s="107">
        <v>45</v>
      </c>
      <c r="W476" s="160"/>
      <c r="X476" s="161"/>
      <c r="Y476" s="20">
        <f t="shared" si="21"/>
        <v>0</v>
      </c>
      <c r="AA476" s="98">
        <f t="shared" si="19"/>
        <v>0</v>
      </c>
      <c r="AB476" s="98">
        <f t="shared" si="20"/>
        <v>0</v>
      </c>
      <c r="AC476" s="110"/>
      <c r="AD476" s="77"/>
      <c r="AE476" s="77"/>
      <c r="AF476" s="75"/>
      <c r="AG476" s="75"/>
      <c r="AH476" s="75"/>
      <c r="AI476" s="75"/>
    </row>
    <row r="477" spans="1:35" ht="22.35" customHeight="1" thickBot="1" x14ac:dyDescent="0.3">
      <c r="A477" s="80"/>
      <c r="B477" s="80"/>
      <c r="F477" s="141"/>
      <c r="H477" s="99"/>
      <c r="I477" s="84"/>
      <c r="K477" s="86"/>
      <c r="L477" s="86"/>
      <c r="M477" s="86"/>
      <c r="O477" s="100"/>
      <c r="P477" s="143"/>
      <c r="Q477" s="90"/>
      <c r="R477" s="91"/>
      <c r="S477" s="144" t="s">
        <v>138</v>
      </c>
      <c r="T477" s="112" t="s">
        <v>290</v>
      </c>
      <c r="U477" s="106"/>
      <c r="V477" s="107">
        <v>45</v>
      </c>
      <c r="W477" s="160"/>
      <c r="X477" s="161"/>
      <c r="Y477" s="20">
        <f t="shared" si="21"/>
        <v>0</v>
      </c>
      <c r="AA477" s="98">
        <f t="shared" si="19"/>
        <v>0</v>
      </c>
      <c r="AB477" s="98">
        <f t="shared" si="20"/>
        <v>0</v>
      </c>
      <c r="AC477" s="110"/>
      <c r="AD477" s="77"/>
      <c r="AE477" s="77"/>
      <c r="AF477" s="75"/>
      <c r="AG477" s="75"/>
      <c r="AH477" s="75"/>
      <c r="AI477" s="75"/>
    </row>
    <row r="478" spans="1:35" ht="22.35" customHeight="1" thickBot="1" x14ac:dyDescent="0.3">
      <c r="A478" s="252"/>
      <c r="B478" s="252"/>
      <c r="C478" s="253"/>
      <c r="D478" s="254"/>
      <c r="E478" s="254"/>
      <c r="F478" s="195"/>
      <c r="G478" s="196"/>
      <c r="H478" s="255"/>
      <c r="I478" s="256"/>
      <c r="J478" s="257"/>
      <c r="K478" s="258"/>
      <c r="L478" s="258"/>
      <c r="M478" s="258"/>
      <c r="N478" s="228"/>
      <c r="O478" s="200"/>
      <c r="P478" s="202"/>
      <c r="Q478" s="259"/>
      <c r="R478" s="260"/>
      <c r="S478" s="155" t="s">
        <v>138</v>
      </c>
      <c r="T478" s="124" t="s">
        <v>290</v>
      </c>
      <c r="U478" s="125"/>
      <c r="V478" s="126">
        <v>45</v>
      </c>
      <c r="W478" s="160"/>
      <c r="X478" s="161"/>
      <c r="Y478" s="20">
        <f t="shared" si="21"/>
        <v>0</v>
      </c>
      <c r="AA478" s="98">
        <f t="shared" si="19"/>
        <v>0</v>
      </c>
      <c r="AB478" s="98">
        <f t="shared" si="20"/>
        <v>0</v>
      </c>
      <c r="AC478" s="110"/>
      <c r="AD478" s="77"/>
      <c r="AE478" s="77"/>
      <c r="AF478" s="75"/>
      <c r="AG478" s="75"/>
      <c r="AH478" s="75"/>
      <c r="AI478" s="75"/>
    </row>
    <row r="479" spans="1:35" ht="22.35" customHeight="1" thickBot="1" x14ac:dyDescent="0.3">
      <c r="A479" s="127"/>
      <c r="B479" s="127"/>
      <c r="C479" s="128"/>
      <c r="D479" s="129"/>
      <c r="E479" s="129"/>
      <c r="F479" s="130"/>
      <c r="G479" s="132"/>
      <c r="H479" s="191"/>
      <c r="I479" s="158"/>
      <c r="J479" s="129"/>
      <c r="K479" s="159"/>
      <c r="L479" s="133"/>
      <c r="M479" s="133"/>
      <c r="N479" s="134"/>
      <c r="O479" s="135"/>
      <c r="P479" s="136"/>
      <c r="Q479" s="137"/>
      <c r="R479" s="138"/>
      <c r="S479" s="144" t="s">
        <v>860</v>
      </c>
      <c r="T479" s="112" t="s">
        <v>867</v>
      </c>
      <c r="U479" s="106" t="s">
        <v>819</v>
      </c>
      <c r="V479" s="107">
        <v>46</v>
      </c>
      <c r="W479" s="160"/>
      <c r="X479" s="161"/>
      <c r="Y479" s="20">
        <f t="shared" si="21"/>
        <v>0</v>
      </c>
      <c r="AA479" s="98">
        <f t="shared" si="19"/>
        <v>0</v>
      </c>
      <c r="AB479" s="98">
        <f t="shared" si="20"/>
        <v>0</v>
      </c>
    </row>
    <row r="480" spans="1:35" ht="22.35" customHeight="1" thickBot="1" x14ac:dyDescent="0.3">
      <c r="A480" s="80"/>
      <c r="B480" s="80"/>
      <c r="F480" s="141"/>
      <c r="H480" s="191"/>
      <c r="I480" s="84"/>
      <c r="K480" s="86"/>
      <c r="L480" s="86"/>
      <c r="M480" s="86"/>
      <c r="O480" s="100"/>
      <c r="P480" s="143"/>
      <c r="Q480" s="102"/>
      <c r="R480" s="103"/>
      <c r="S480" s="144" t="s">
        <v>860</v>
      </c>
      <c r="T480" s="112" t="s">
        <v>867</v>
      </c>
      <c r="U480" s="106" t="s">
        <v>819</v>
      </c>
      <c r="V480" s="107">
        <v>46</v>
      </c>
      <c r="W480" s="160"/>
      <c r="X480" s="161"/>
      <c r="Y480" s="20">
        <f t="shared" si="21"/>
        <v>0</v>
      </c>
      <c r="AA480" s="98">
        <f t="shared" si="19"/>
        <v>0</v>
      </c>
      <c r="AB480" s="98">
        <f t="shared" si="20"/>
        <v>0</v>
      </c>
    </row>
    <row r="481" spans="1:28" ht="22.35" customHeight="1" thickBot="1" x14ac:dyDescent="0.3">
      <c r="A481" s="80"/>
      <c r="B481" s="80"/>
      <c r="F481" s="141"/>
      <c r="H481" s="191"/>
      <c r="I481" s="84"/>
      <c r="K481" s="86"/>
      <c r="L481" s="86"/>
      <c r="M481" s="86"/>
      <c r="O481" s="100"/>
      <c r="P481" s="143"/>
      <c r="Q481" s="102"/>
      <c r="R481" s="103"/>
      <c r="S481" s="144" t="s">
        <v>860</v>
      </c>
      <c r="T481" s="112" t="s">
        <v>867</v>
      </c>
      <c r="U481" s="106" t="s">
        <v>819</v>
      </c>
      <c r="V481" s="107">
        <v>46</v>
      </c>
      <c r="W481" s="160"/>
      <c r="X481" s="161"/>
      <c r="Y481" s="20">
        <f t="shared" si="21"/>
        <v>0</v>
      </c>
      <c r="AA481" s="98">
        <f>H481-I481</f>
        <v>0</v>
      </c>
      <c r="AB481" s="98">
        <f>R481-H481</f>
        <v>0</v>
      </c>
    </row>
    <row r="482" spans="1:28" ht="22.35" customHeight="1" thickBot="1" x14ac:dyDescent="0.3">
      <c r="A482" s="80"/>
      <c r="B482" s="80"/>
      <c r="F482" s="141"/>
      <c r="H482" s="191"/>
      <c r="I482" s="84"/>
      <c r="K482" s="86"/>
      <c r="L482" s="86"/>
      <c r="M482" s="86"/>
      <c r="O482" s="100"/>
      <c r="P482" s="143"/>
      <c r="Q482" s="102"/>
      <c r="R482" s="103"/>
      <c r="S482" s="144" t="s">
        <v>860</v>
      </c>
      <c r="T482" s="112" t="s">
        <v>867</v>
      </c>
      <c r="U482" s="106" t="s">
        <v>647</v>
      </c>
      <c r="V482" s="107">
        <v>46</v>
      </c>
      <c r="W482" s="108"/>
      <c r="X482" s="109"/>
      <c r="Y482" s="20">
        <f t="shared" si="21"/>
        <v>0</v>
      </c>
      <c r="AA482" s="98">
        <f t="shared" si="19"/>
        <v>0</v>
      </c>
      <c r="AB482" s="98">
        <f t="shared" si="20"/>
        <v>0</v>
      </c>
    </row>
    <row r="483" spans="1:28" ht="22.35" customHeight="1" thickBot="1" x14ac:dyDescent="0.3">
      <c r="A483" s="80"/>
      <c r="B483" s="80"/>
      <c r="F483" s="141"/>
      <c r="H483" s="191"/>
      <c r="I483" s="84"/>
      <c r="K483" s="86"/>
      <c r="L483" s="86"/>
      <c r="M483" s="86"/>
      <c r="O483" s="100"/>
      <c r="P483" s="143"/>
      <c r="Q483" s="102"/>
      <c r="R483" s="103"/>
      <c r="S483" s="144" t="s">
        <v>860</v>
      </c>
      <c r="T483" s="112" t="s">
        <v>867</v>
      </c>
      <c r="U483" s="106" t="s">
        <v>647</v>
      </c>
      <c r="V483" s="107">
        <v>46</v>
      </c>
      <c r="W483" s="108"/>
      <c r="X483" s="109"/>
      <c r="Y483" s="20">
        <f t="shared" si="21"/>
        <v>0</v>
      </c>
      <c r="AA483" s="98">
        <f t="shared" si="19"/>
        <v>0</v>
      </c>
      <c r="AB483" s="98">
        <f t="shared" si="20"/>
        <v>0</v>
      </c>
    </row>
    <row r="484" spans="1:28" ht="22.35" customHeight="1" thickBot="1" x14ac:dyDescent="0.3">
      <c r="A484" s="80"/>
      <c r="B484" s="80"/>
      <c r="F484" s="141"/>
      <c r="H484" s="191"/>
      <c r="I484" s="84"/>
      <c r="K484" s="86"/>
      <c r="L484" s="86"/>
      <c r="M484" s="86"/>
      <c r="O484" s="100"/>
      <c r="P484" s="143"/>
      <c r="Q484" s="102"/>
      <c r="R484" s="103"/>
      <c r="S484" s="144" t="s">
        <v>860</v>
      </c>
      <c r="T484" s="112" t="s">
        <v>867</v>
      </c>
      <c r="U484" s="106" t="s">
        <v>647</v>
      </c>
      <c r="V484" s="107">
        <v>46</v>
      </c>
      <c r="W484" s="108"/>
      <c r="X484" s="109"/>
      <c r="Y484" s="20">
        <f t="shared" si="21"/>
        <v>0</v>
      </c>
      <c r="AA484" s="98">
        <f t="shared" si="19"/>
        <v>0</v>
      </c>
      <c r="AB484" s="98">
        <f t="shared" si="20"/>
        <v>0</v>
      </c>
    </row>
    <row r="485" spans="1:28" ht="22.35" customHeight="1" thickBot="1" x14ac:dyDescent="0.3">
      <c r="A485" s="80"/>
      <c r="B485" s="80"/>
      <c r="F485" s="141"/>
      <c r="H485" s="191"/>
      <c r="I485" s="84"/>
      <c r="K485" s="86"/>
      <c r="L485" s="86"/>
      <c r="M485" s="86"/>
      <c r="O485" s="100"/>
      <c r="P485" s="143"/>
      <c r="Q485" s="102"/>
      <c r="R485" s="103"/>
      <c r="S485" s="144" t="s">
        <v>860</v>
      </c>
      <c r="T485" s="112" t="s">
        <v>867</v>
      </c>
      <c r="U485" s="106" t="s">
        <v>647</v>
      </c>
      <c r="V485" s="107">
        <v>46</v>
      </c>
      <c r="W485" s="108"/>
      <c r="X485" s="109"/>
      <c r="Y485" s="20">
        <f t="shared" si="21"/>
        <v>0</v>
      </c>
      <c r="AA485" s="98">
        <f t="shared" si="19"/>
        <v>0</v>
      </c>
      <c r="AB485" s="98">
        <f t="shared" si="20"/>
        <v>0</v>
      </c>
    </row>
    <row r="486" spans="1:28" ht="22.35" customHeight="1" thickBot="1" x14ac:dyDescent="0.3">
      <c r="A486" s="80"/>
      <c r="B486" s="80"/>
      <c r="F486" s="141"/>
      <c r="H486" s="191"/>
      <c r="I486" s="84"/>
      <c r="K486" s="86"/>
      <c r="L486" s="86"/>
      <c r="M486" s="86"/>
      <c r="O486" s="100"/>
      <c r="P486" s="143"/>
      <c r="Q486" s="102"/>
      <c r="R486" s="103"/>
      <c r="S486" s="144" t="s">
        <v>860</v>
      </c>
      <c r="T486" s="112" t="s">
        <v>867</v>
      </c>
      <c r="U486" s="106" t="s">
        <v>293</v>
      </c>
      <c r="V486" s="107">
        <v>46</v>
      </c>
      <c r="W486" s="108"/>
      <c r="X486" s="109"/>
      <c r="Y486" s="20">
        <f t="shared" si="21"/>
        <v>0</v>
      </c>
      <c r="AA486" s="98">
        <f t="shared" si="19"/>
        <v>0</v>
      </c>
      <c r="AB486" s="98">
        <f t="shared" si="20"/>
        <v>0</v>
      </c>
    </row>
    <row r="487" spans="1:28" ht="22.35" customHeight="1" thickBot="1" x14ac:dyDescent="0.3">
      <c r="A487" s="80"/>
      <c r="B487" s="80"/>
      <c r="F487" s="141"/>
      <c r="H487" s="191"/>
      <c r="I487" s="84"/>
      <c r="K487" s="86"/>
      <c r="L487" s="86"/>
      <c r="M487" s="86"/>
      <c r="O487" s="100"/>
      <c r="P487" s="143"/>
      <c r="Q487" s="102"/>
      <c r="R487" s="103"/>
      <c r="S487" s="144" t="s">
        <v>860</v>
      </c>
      <c r="T487" s="112" t="s">
        <v>867</v>
      </c>
      <c r="U487" s="106" t="s">
        <v>293</v>
      </c>
      <c r="V487" s="107">
        <v>46</v>
      </c>
      <c r="W487" s="108"/>
      <c r="X487" s="109"/>
      <c r="Y487" s="20">
        <f t="shared" si="21"/>
        <v>0</v>
      </c>
      <c r="AA487" s="98">
        <f>H487-I487</f>
        <v>0</v>
      </c>
      <c r="AB487" s="98">
        <f>R487-H487</f>
        <v>0</v>
      </c>
    </row>
    <row r="488" spans="1:28" ht="22.35" customHeight="1" thickBot="1" x14ac:dyDescent="0.3">
      <c r="A488" s="80"/>
      <c r="B488" s="80"/>
      <c r="F488" s="141"/>
      <c r="H488" s="191"/>
      <c r="I488" s="84"/>
      <c r="K488" s="86"/>
      <c r="L488" s="86"/>
      <c r="M488" s="86"/>
      <c r="O488" s="100"/>
      <c r="P488" s="143"/>
      <c r="Q488" s="102"/>
      <c r="R488" s="103"/>
      <c r="S488" s="144" t="s">
        <v>860</v>
      </c>
      <c r="T488" s="112" t="s">
        <v>867</v>
      </c>
      <c r="U488" s="106" t="s">
        <v>293</v>
      </c>
      <c r="V488" s="107">
        <v>46</v>
      </c>
      <c r="W488" s="108"/>
      <c r="X488" s="109"/>
      <c r="Y488" s="20">
        <f t="shared" si="21"/>
        <v>0</v>
      </c>
      <c r="AA488" s="98">
        <f>H488-I488</f>
        <v>0</v>
      </c>
      <c r="AB488" s="98">
        <f>R488-H488</f>
        <v>0</v>
      </c>
    </row>
    <row r="489" spans="1:28" ht="22.35" customHeight="1" thickBot="1" x14ac:dyDescent="0.3">
      <c r="A489" s="80"/>
      <c r="B489" s="80"/>
      <c r="F489" s="141"/>
      <c r="H489" s="191"/>
      <c r="I489" s="84"/>
      <c r="K489" s="86"/>
      <c r="L489" s="86"/>
      <c r="M489" s="86"/>
      <c r="O489" s="100"/>
      <c r="P489" s="143"/>
      <c r="Q489" s="102"/>
      <c r="R489" s="103"/>
      <c r="S489" s="144" t="s">
        <v>860</v>
      </c>
      <c r="T489" s="112" t="s">
        <v>867</v>
      </c>
      <c r="U489" s="106" t="s">
        <v>293</v>
      </c>
      <c r="V489" s="107">
        <v>46</v>
      </c>
      <c r="W489" s="108"/>
      <c r="X489" s="109"/>
      <c r="Y489" s="20">
        <f t="shared" si="21"/>
        <v>0</v>
      </c>
      <c r="AA489" s="98">
        <f>H489-I489</f>
        <v>0</v>
      </c>
      <c r="AB489" s="98">
        <f>R489-H489</f>
        <v>0</v>
      </c>
    </row>
    <row r="490" spans="1:28" ht="22.35" customHeight="1" thickBot="1" x14ac:dyDescent="0.3">
      <c r="A490" s="80"/>
      <c r="B490" s="80"/>
      <c r="F490" s="141"/>
      <c r="H490" s="191"/>
      <c r="I490" s="84"/>
      <c r="K490" s="86"/>
      <c r="L490" s="86"/>
      <c r="M490" s="86"/>
      <c r="O490" s="100"/>
      <c r="P490" s="143"/>
      <c r="Q490" s="102"/>
      <c r="R490" s="103"/>
      <c r="S490" s="144" t="s">
        <v>860</v>
      </c>
      <c r="T490" s="112" t="s">
        <v>867</v>
      </c>
      <c r="U490" s="106" t="s">
        <v>293</v>
      </c>
      <c r="V490" s="107">
        <v>46</v>
      </c>
      <c r="W490" s="108"/>
      <c r="X490" s="109"/>
      <c r="Y490" s="20">
        <f t="shared" si="21"/>
        <v>0</v>
      </c>
      <c r="AA490" s="98">
        <f t="shared" ref="AA490:AA557" si="22">H490-I490</f>
        <v>0</v>
      </c>
      <c r="AB490" s="98">
        <f t="shared" ref="AB490:AB557" si="23">R490-H490</f>
        <v>0</v>
      </c>
    </row>
    <row r="491" spans="1:28" ht="22.35" customHeight="1" thickBot="1" x14ac:dyDescent="0.3">
      <c r="A491" s="80"/>
      <c r="B491" s="80"/>
      <c r="F491" s="141"/>
      <c r="H491" s="191"/>
      <c r="I491" s="84"/>
      <c r="K491" s="86"/>
      <c r="L491" s="86"/>
      <c r="M491" s="86"/>
      <c r="O491" s="100"/>
      <c r="P491" s="143"/>
      <c r="Q491" s="102"/>
      <c r="R491" s="103"/>
      <c r="S491" s="144" t="s">
        <v>860</v>
      </c>
      <c r="T491" s="112" t="s">
        <v>867</v>
      </c>
      <c r="U491" s="106" t="s">
        <v>293</v>
      </c>
      <c r="V491" s="107">
        <v>46</v>
      </c>
      <c r="W491" s="108"/>
      <c r="X491" s="109"/>
      <c r="Y491" s="20">
        <f t="shared" si="21"/>
        <v>0</v>
      </c>
      <c r="AA491" s="98">
        <f t="shared" si="22"/>
        <v>0</v>
      </c>
      <c r="AB491" s="98">
        <f t="shared" si="23"/>
        <v>0</v>
      </c>
    </row>
    <row r="492" spans="1:28" ht="22.35" customHeight="1" thickBot="1" x14ac:dyDescent="0.3">
      <c r="A492" s="80"/>
      <c r="B492" s="80"/>
      <c r="F492" s="141"/>
      <c r="H492" s="191"/>
      <c r="I492" s="84"/>
      <c r="K492" s="86"/>
      <c r="L492" s="86"/>
      <c r="M492" s="86"/>
      <c r="O492" s="100"/>
      <c r="P492" s="143"/>
      <c r="Q492" s="102"/>
      <c r="R492" s="103"/>
      <c r="S492" s="144" t="s">
        <v>860</v>
      </c>
      <c r="T492" s="112" t="s">
        <v>867</v>
      </c>
      <c r="U492" s="106" t="s">
        <v>293</v>
      </c>
      <c r="V492" s="107">
        <v>46</v>
      </c>
      <c r="W492" s="108"/>
      <c r="X492" s="109"/>
      <c r="Y492" s="20">
        <f t="shared" si="21"/>
        <v>0</v>
      </c>
      <c r="AA492" s="98">
        <f t="shared" si="22"/>
        <v>0</v>
      </c>
      <c r="AB492" s="98">
        <f t="shared" si="23"/>
        <v>0</v>
      </c>
    </row>
    <row r="493" spans="1:28" ht="22.35" customHeight="1" thickBot="1" x14ac:dyDescent="0.3">
      <c r="A493" s="80"/>
      <c r="B493" s="80"/>
      <c r="F493" s="141"/>
      <c r="H493" s="191"/>
      <c r="I493" s="84"/>
      <c r="K493" s="86"/>
      <c r="L493" s="86"/>
      <c r="M493" s="86"/>
      <c r="O493" s="100"/>
      <c r="P493" s="143"/>
      <c r="Q493" s="102"/>
      <c r="R493" s="103"/>
      <c r="S493" s="144" t="s">
        <v>860</v>
      </c>
      <c r="T493" s="112" t="s">
        <v>867</v>
      </c>
      <c r="U493" s="106" t="s">
        <v>293</v>
      </c>
      <c r="V493" s="107">
        <v>46</v>
      </c>
      <c r="W493" s="108"/>
      <c r="X493" s="109"/>
      <c r="Y493" s="20">
        <f t="shared" si="21"/>
        <v>0</v>
      </c>
      <c r="AA493" s="98">
        <f t="shared" si="22"/>
        <v>0</v>
      </c>
      <c r="AB493" s="98">
        <f t="shared" si="23"/>
        <v>0</v>
      </c>
    </row>
    <row r="494" spans="1:28" ht="22.35" customHeight="1" thickBot="1" x14ac:dyDescent="0.3">
      <c r="A494" s="209"/>
      <c r="B494" s="209"/>
      <c r="C494" s="210"/>
      <c r="D494" s="211"/>
      <c r="E494" s="211"/>
      <c r="F494" s="236"/>
      <c r="G494" s="213"/>
      <c r="H494" s="191"/>
      <c r="I494" s="238"/>
      <c r="J494" s="211"/>
      <c r="K494" s="215"/>
      <c r="L494" s="215"/>
      <c r="M494" s="215"/>
      <c r="N494" s="216"/>
      <c r="O494" s="239"/>
      <c r="P494" s="240"/>
      <c r="Q494" s="154"/>
      <c r="R494" s="241"/>
      <c r="S494" s="242" t="s">
        <v>860</v>
      </c>
      <c r="T494" s="243" t="s">
        <v>867</v>
      </c>
      <c r="U494" s="244" t="s">
        <v>293</v>
      </c>
      <c r="V494" s="233">
        <v>46</v>
      </c>
      <c r="W494" s="108"/>
      <c r="X494" s="109"/>
      <c r="Y494" s="20">
        <f t="shared" si="21"/>
        <v>0</v>
      </c>
      <c r="AA494" s="98">
        <f t="shared" si="22"/>
        <v>0</v>
      </c>
      <c r="AB494" s="98">
        <f t="shared" si="23"/>
        <v>0</v>
      </c>
    </row>
    <row r="495" spans="1:28" ht="22.35" customHeight="1" thickBot="1" x14ac:dyDescent="0.3">
      <c r="A495" s="175"/>
      <c r="B495" s="175"/>
      <c r="C495" s="176"/>
      <c r="D495" s="177" t="s">
        <v>868</v>
      </c>
      <c r="E495" s="178"/>
      <c r="F495" s="179"/>
      <c r="G495" s="180"/>
      <c r="H495" s="181"/>
      <c r="I495" s="180"/>
      <c r="J495" s="178"/>
      <c r="K495" s="182"/>
      <c r="L495" s="182"/>
      <c r="M495" s="182"/>
      <c r="N495" s="183"/>
      <c r="O495" s="184"/>
      <c r="P495" s="184"/>
      <c r="Q495" s="184"/>
      <c r="R495" s="185"/>
      <c r="S495" s="186"/>
      <c r="T495" s="187" t="s">
        <v>506</v>
      </c>
      <c r="U495" s="188"/>
      <c r="V495" s="189"/>
      <c r="W495" s="188"/>
      <c r="X495" s="190"/>
      <c r="Y495" s="20">
        <f t="shared" si="21"/>
        <v>0</v>
      </c>
      <c r="AA495" s="98">
        <f t="shared" si="22"/>
        <v>0</v>
      </c>
      <c r="AB495" s="98">
        <f t="shared" si="23"/>
        <v>0</v>
      </c>
    </row>
    <row r="496" spans="1:28" ht="22.35" customHeight="1" thickBot="1" x14ac:dyDescent="0.3">
      <c r="A496" s="127"/>
      <c r="B496" s="127"/>
      <c r="C496" s="128"/>
      <c r="D496" s="129"/>
      <c r="E496" s="129"/>
      <c r="F496" s="130"/>
      <c r="G496" s="132"/>
      <c r="H496" s="191"/>
      <c r="I496" s="158"/>
      <c r="J496" s="129"/>
      <c r="K496" s="159"/>
      <c r="L496" s="133"/>
      <c r="M496" s="133"/>
      <c r="N496" s="134"/>
      <c r="O496" s="135"/>
      <c r="P496" s="136"/>
      <c r="Q496" s="137"/>
      <c r="R496" s="138"/>
      <c r="S496" s="144" t="s">
        <v>869</v>
      </c>
      <c r="T496" s="112" t="s">
        <v>506</v>
      </c>
      <c r="U496" s="106" t="s">
        <v>870</v>
      </c>
      <c r="V496" s="107">
        <v>47</v>
      </c>
      <c r="W496" s="96"/>
      <c r="X496" s="97"/>
      <c r="Y496" s="20">
        <f t="shared" si="21"/>
        <v>0</v>
      </c>
      <c r="AA496" s="98">
        <f t="shared" si="22"/>
        <v>0</v>
      </c>
      <c r="AB496" s="98">
        <f t="shared" si="23"/>
        <v>0</v>
      </c>
    </row>
    <row r="497" spans="1:28" ht="22.35" customHeight="1" thickBot="1" x14ac:dyDescent="0.3">
      <c r="A497" s="80"/>
      <c r="B497" s="80"/>
      <c r="F497" s="141"/>
      <c r="H497" s="191"/>
      <c r="I497" s="84"/>
      <c r="K497" s="86"/>
      <c r="L497" s="86"/>
      <c r="M497" s="86"/>
      <c r="O497" s="100"/>
      <c r="P497" s="143"/>
      <c r="Q497" s="102"/>
      <c r="R497" s="103"/>
      <c r="S497" s="144" t="s">
        <v>869</v>
      </c>
      <c r="T497" s="112" t="s">
        <v>506</v>
      </c>
      <c r="U497" s="106" t="s">
        <v>870</v>
      </c>
      <c r="V497" s="107">
        <v>47</v>
      </c>
      <c r="W497" s="108"/>
      <c r="X497" s="109"/>
      <c r="Y497" s="20">
        <f t="shared" si="21"/>
        <v>0</v>
      </c>
      <c r="AA497" s="98">
        <f t="shared" si="22"/>
        <v>0</v>
      </c>
      <c r="AB497" s="98">
        <f t="shared" si="23"/>
        <v>0</v>
      </c>
    </row>
    <row r="498" spans="1:28" ht="22.35" customHeight="1" thickBot="1" x14ac:dyDescent="0.3">
      <c r="A498" s="80"/>
      <c r="B498" s="80"/>
      <c r="F498" s="141"/>
      <c r="H498" s="191"/>
      <c r="I498" s="84"/>
      <c r="K498" s="86"/>
      <c r="L498" s="86"/>
      <c r="M498" s="86"/>
      <c r="O498" s="100"/>
      <c r="P498" s="143"/>
      <c r="Q498" s="102"/>
      <c r="R498" s="103"/>
      <c r="S498" s="144" t="s">
        <v>869</v>
      </c>
      <c r="T498" s="112" t="s">
        <v>506</v>
      </c>
      <c r="U498" s="106" t="s">
        <v>870</v>
      </c>
      <c r="V498" s="107">
        <v>47</v>
      </c>
      <c r="W498" s="108"/>
      <c r="X498" s="109"/>
      <c r="Y498" s="20">
        <f t="shared" si="21"/>
        <v>0</v>
      </c>
      <c r="AA498" s="98">
        <f t="shared" si="22"/>
        <v>0</v>
      </c>
      <c r="AB498" s="98">
        <f t="shared" si="23"/>
        <v>0</v>
      </c>
    </row>
    <row r="499" spans="1:28" ht="22.35" customHeight="1" thickBot="1" x14ac:dyDescent="0.3">
      <c r="A499" s="80"/>
      <c r="B499" s="80"/>
      <c r="F499" s="141"/>
      <c r="H499" s="191"/>
      <c r="I499" s="84"/>
      <c r="K499" s="86"/>
      <c r="L499" s="86"/>
      <c r="M499" s="86"/>
      <c r="O499" s="100"/>
      <c r="P499" s="143"/>
      <c r="Q499" s="102"/>
      <c r="R499" s="103"/>
      <c r="S499" s="144" t="s">
        <v>869</v>
      </c>
      <c r="T499" s="112" t="s">
        <v>506</v>
      </c>
      <c r="U499" s="106" t="s">
        <v>870</v>
      </c>
      <c r="V499" s="107">
        <v>47</v>
      </c>
      <c r="W499" s="108"/>
      <c r="X499" s="109"/>
      <c r="Y499" s="20">
        <f t="shared" si="21"/>
        <v>0</v>
      </c>
      <c r="AA499" s="98">
        <f t="shared" si="22"/>
        <v>0</v>
      </c>
      <c r="AB499" s="98">
        <f t="shared" si="23"/>
        <v>0</v>
      </c>
    </row>
    <row r="500" spans="1:28" ht="22.35" customHeight="1" thickBot="1" x14ac:dyDescent="0.3">
      <c r="A500" s="80"/>
      <c r="B500" s="80"/>
      <c r="F500" s="141"/>
      <c r="H500" s="191"/>
      <c r="I500" s="84"/>
      <c r="K500" s="86"/>
      <c r="L500" s="86"/>
      <c r="M500" s="86"/>
      <c r="O500" s="100"/>
      <c r="P500" s="143"/>
      <c r="Q500" s="102"/>
      <c r="R500" s="103"/>
      <c r="S500" s="144" t="s">
        <v>869</v>
      </c>
      <c r="T500" s="112" t="s">
        <v>506</v>
      </c>
      <c r="U500" s="106" t="s">
        <v>870</v>
      </c>
      <c r="V500" s="107">
        <v>47</v>
      </c>
      <c r="W500" s="108"/>
      <c r="X500" s="109"/>
      <c r="Y500" s="20">
        <f t="shared" si="21"/>
        <v>0</v>
      </c>
      <c r="AA500" s="98">
        <f t="shared" si="22"/>
        <v>0</v>
      </c>
      <c r="AB500" s="98">
        <f t="shared" si="23"/>
        <v>0</v>
      </c>
    </row>
    <row r="501" spans="1:28" ht="22.35" customHeight="1" thickBot="1" x14ac:dyDescent="0.3">
      <c r="A501" s="80"/>
      <c r="B501" s="80"/>
      <c r="F501" s="141"/>
      <c r="H501" s="191"/>
      <c r="I501" s="84"/>
      <c r="K501" s="86"/>
      <c r="L501" s="86"/>
      <c r="M501" s="86"/>
      <c r="O501" s="100"/>
      <c r="P501" s="143"/>
      <c r="Q501" s="102"/>
      <c r="R501" s="103"/>
      <c r="S501" s="144" t="s">
        <v>869</v>
      </c>
      <c r="T501" s="112" t="s">
        <v>506</v>
      </c>
      <c r="U501" s="106" t="s">
        <v>870</v>
      </c>
      <c r="V501" s="107">
        <v>47</v>
      </c>
      <c r="W501" s="108"/>
      <c r="X501" s="109"/>
      <c r="Y501" s="20">
        <f t="shared" si="21"/>
        <v>0</v>
      </c>
      <c r="AA501" s="98">
        <f t="shared" si="22"/>
        <v>0</v>
      </c>
      <c r="AB501" s="98">
        <f t="shared" si="23"/>
        <v>0</v>
      </c>
    </row>
    <row r="502" spans="1:28" ht="22.35" customHeight="1" thickBot="1" x14ac:dyDescent="0.3">
      <c r="A502" s="80"/>
      <c r="B502" s="80"/>
      <c r="F502" s="141"/>
      <c r="H502" s="191"/>
      <c r="I502" s="84"/>
      <c r="K502" s="86"/>
      <c r="L502" s="86"/>
      <c r="M502" s="86"/>
      <c r="O502" s="100"/>
      <c r="P502" s="143"/>
      <c r="Q502" s="102"/>
      <c r="R502" s="103"/>
      <c r="S502" s="144" t="s">
        <v>869</v>
      </c>
      <c r="T502" s="112" t="s">
        <v>506</v>
      </c>
      <c r="U502" s="106" t="s">
        <v>870</v>
      </c>
      <c r="V502" s="107">
        <v>47</v>
      </c>
      <c r="W502" s="108"/>
      <c r="X502" s="109"/>
      <c r="Y502" s="20">
        <f t="shared" si="21"/>
        <v>0</v>
      </c>
      <c r="AA502" s="98">
        <f t="shared" si="22"/>
        <v>0</v>
      </c>
      <c r="AB502" s="98">
        <f t="shared" si="23"/>
        <v>0</v>
      </c>
    </row>
    <row r="503" spans="1:28" ht="22.35" customHeight="1" thickBot="1" x14ac:dyDescent="0.3">
      <c r="A503" s="209"/>
      <c r="B503" s="209"/>
      <c r="C503" s="210"/>
      <c r="D503" s="211"/>
      <c r="E503" s="211"/>
      <c r="F503" s="236"/>
      <c r="G503" s="213"/>
      <c r="H503" s="191"/>
      <c r="I503" s="238"/>
      <c r="J503" s="211"/>
      <c r="K503" s="215"/>
      <c r="L503" s="215"/>
      <c r="M503" s="215"/>
      <c r="N503" s="216"/>
      <c r="O503" s="239"/>
      <c r="P503" s="240"/>
      <c r="Q503" s="154"/>
      <c r="R503" s="241"/>
      <c r="S503" s="242" t="s">
        <v>869</v>
      </c>
      <c r="T503" s="243" t="s">
        <v>506</v>
      </c>
      <c r="U503" s="244" t="s">
        <v>870</v>
      </c>
      <c r="V503" s="233">
        <v>47</v>
      </c>
      <c r="W503" s="108"/>
      <c r="X503" s="109"/>
      <c r="Y503" s="20">
        <f t="shared" si="21"/>
        <v>0</v>
      </c>
      <c r="AA503" s="98">
        <f t="shared" si="22"/>
        <v>0</v>
      </c>
      <c r="AB503" s="98">
        <f t="shared" si="23"/>
        <v>0</v>
      </c>
    </row>
    <row r="504" spans="1:28" ht="22.35" customHeight="1" thickBot="1" x14ac:dyDescent="0.3">
      <c r="A504" s="80"/>
      <c r="B504" s="80">
        <v>8445290751157</v>
      </c>
      <c r="C504" s="81">
        <v>26</v>
      </c>
      <c r="D504" s="23" t="s">
        <v>871</v>
      </c>
      <c r="E504" s="23" t="s">
        <v>872</v>
      </c>
      <c r="F504" s="82" t="s">
        <v>873</v>
      </c>
      <c r="G504" s="21" t="s">
        <v>89</v>
      </c>
      <c r="H504" s="277">
        <v>10.5</v>
      </c>
      <c r="I504" s="21">
        <v>8.85</v>
      </c>
      <c r="J504" s="23" t="s">
        <v>421</v>
      </c>
      <c r="K504" s="86">
        <v>7082735</v>
      </c>
      <c r="L504" s="86">
        <v>4</v>
      </c>
      <c r="M504" s="86"/>
      <c r="N504" s="87">
        <v>0</v>
      </c>
      <c r="O504" s="223">
        <v>1513</v>
      </c>
      <c r="P504" s="224">
        <v>1</v>
      </c>
      <c r="Q504" s="224">
        <v>1</v>
      </c>
      <c r="R504" s="225">
        <v>11.5</v>
      </c>
      <c r="S504" s="226" t="s">
        <v>874</v>
      </c>
      <c r="T504" s="94" t="str">
        <f>INDEX([1]data!$B$1:$B$100,MATCH('04.02 - 10.02'!S504,[0]!exclusive01,))</f>
        <v>DUCANH</v>
      </c>
      <c r="U504" s="106" t="s">
        <v>875</v>
      </c>
      <c r="V504" s="107">
        <v>47</v>
      </c>
      <c r="W504" s="108">
        <v>1</v>
      </c>
      <c r="X504" s="109" t="s">
        <v>45</v>
      </c>
      <c r="Y504" s="20">
        <f t="shared" si="21"/>
        <v>1</v>
      </c>
      <c r="AA504" s="98">
        <f t="shared" si="22"/>
        <v>1.6500000000000004</v>
      </c>
      <c r="AB504" s="98">
        <f t="shared" si="23"/>
        <v>1</v>
      </c>
    </row>
    <row r="505" spans="1:28" ht="22.35" customHeight="1" thickBot="1" x14ac:dyDescent="0.3">
      <c r="A505" s="209"/>
      <c r="B505" s="209">
        <v>5999566111235</v>
      </c>
      <c r="C505" s="210">
        <v>10</v>
      </c>
      <c r="D505" s="211" t="s">
        <v>876</v>
      </c>
      <c r="E505" s="211" t="s">
        <v>877</v>
      </c>
      <c r="F505" s="212" t="s">
        <v>878</v>
      </c>
      <c r="G505" s="213" t="s">
        <v>89</v>
      </c>
      <c r="H505" s="321">
        <v>21.9</v>
      </c>
      <c r="I505" s="213">
        <v>20.99</v>
      </c>
      <c r="J505" s="211" t="s">
        <v>879</v>
      </c>
      <c r="K505" s="215">
        <v>7081913</v>
      </c>
      <c r="L505" s="215">
        <v>4</v>
      </c>
      <c r="M505" s="215"/>
      <c r="N505" s="216">
        <v>0</v>
      </c>
      <c r="O505" s="247">
        <v>566</v>
      </c>
      <c r="P505" s="248">
        <v>1</v>
      </c>
      <c r="Q505" s="248">
        <v>1</v>
      </c>
      <c r="R505" s="249">
        <v>25.9</v>
      </c>
      <c r="S505" s="250" t="s">
        <v>879</v>
      </c>
      <c r="T505" s="251" t="str">
        <f>INDEX([1]data!$B$1:$B$100,MATCH('04.02 - 10.02'!S505,[0]!exclusive01,))</f>
        <v>DUCANH</v>
      </c>
      <c r="U505" s="244" t="s">
        <v>875</v>
      </c>
      <c r="V505" s="245">
        <v>47</v>
      </c>
      <c r="W505" s="108">
        <v>1</v>
      </c>
      <c r="X505" s="109" t="s">
        <v>55</v>
      </c>
      <c r="Y505" s="20">
        <f t="shared" si="21"/>
        <v>1</v>
      </c>
      <c r="AA505" s="98">
        <f t="shared" si="22"/>
        <v>0.91000000000000014</v>
      </c>
      <c r="AB505" s="98">
        <f t="shared" si="23"/>
        <v>4</v>
      </c>
    </row>
    <row r="506" spans="1:28" ht="22.35" customHeight="1" thickBot="1" x14ac:dyDescent="0.3">
      <c r="A506" s="80"/>
      <c r="B506" s="80"/>
      <c r="F506" s="141"/>
      <c r="H506" s="246"/>
      <c r="I506" s="84"/>
      <c r="K506" s="86"/>
      <c r="L506" s="86"/>
      <c r="M506" s="86"/>
      <c r="O506" s="88"/>
      <c r="P506" s="136"/>
      <c r="Q506" s="90"/>
      <c r="R506" s="91"/>
      <c r="S506" s="139" t="s">
        <v>869</v>
      </c>
      <c r="T506" s="140" t="s">
        <v>506</v>
      </c>
      <c r="U506" s="94" t="s">
        <v>880</v>
      </c>
      <c r="V506" s="95">
        <v>48</v>
      </c>
      <c r="W506" s="108"/>
      <c r="X506" s="109"/>
      <c r="Y506" s="20">
        <f t="shared" si="21"/>
        <v>0</v>
      </c>
      <c r="AA506" s="98">
        <f t="shared" si="22"/>
        <v>0</v>
      </c>
      <c r="AB506" s="98">
        <f t="shared" si="23"/>
        <v>0</v>
      </c>
    </row>
    <row r="507" spans="1:28" ht="22.35" customHeight="1" thickBot="1" x14ac:dyDescent="0.3">
      <c r="A507" s="80"/>
      <c r="B507" s="80"/>
      <c r="F507" s="141"/>
      <c r="H507" s="191"/>
      <c r="I507" s="84"/>
      <c r="K507" s="86"/>
      <c r="L507" s="86"/>
      <c r="M507" s="86"/>
      <c r="O507" s="100"/>
      <c r="P507" s="143"/>
      <c r="Q507" s="102"/>
      <c r="R507" s="103"/>
      <c r="S507" s="144" t="s">
        <v>869</v>
      </c>
      <c r="T507" s="112" t="s">
        <v>506</v>
      </c>
      <c r="U507" s="106" t="s">
        <v>880</v>
      </c>
      <c r="V507" s="107">
        <v>48</v>
      </c>
      <c r="W507" s="108"/>
      <c r="X507" s="109"/>
      <c r="Y507" s="20">
        <f t="shared" si="21"/>
        <v>0</v>
      </c>
      <c r="AA507" s="98">
        <f t="shared" si="22"/>
        <v>0</v>
      </c>
      <c r="AB507" s="98">
        <f t="shared" si="23"/>
        <v>0</v>
      </c>
    </row>
    <row r="508" spans="1:28" ht="22.35" customHeight="1" thickBot="1" x14ac:dyDescent="0.3">
      <c r="A508" s="80"/>
      <c r="B508" s="80"/>
      <c r="F508" s="141"/>
      <c r="H508" s="191"/>
      <c r="I508" s="84"/>
      <c r="K508" s="86"/>
      <c r="L508" s="86"/>
      <c r="M508" s="86"/>
      <c r="O508" s="100"/>
      <c r="P508" s="143"/>
      <c r="Q508" s="102"/>
      <c r="R508" s="103"/>
      <c r="S508" s="144" t="s">
        <v>869</v>
      </c>
      <c r="T508" s="112" t="s">
        <v>506</v>
      </c>
      <c r="U508" s="106" t="s">
        <v>880</v>
      </c>
      <c r="V508" s="107">
        <v>48</v>
      </c>
      <c r="W508" s="108"/>
      <c r="X508" s="109"/>
      <c r="Y508" s="20">
        <f t="shared" si="21"/>
        <v>0</v>
      </c>
      <c r="AA508" s="98">
        <f t="shared" si="22"/>
        <v>0</v>
      </c>
      <c r="AB508" s="98">
        <f t="shared" si="23"/>
        <v>0</v>
      </c>
    </row>
    <row r="509" spans="1:28" ht="22.35" customHeight="1" thickBot="1" x14ac:dyDescent="0.3">
      <c r="A509" s="80"/>
      <c r="B509" s="80"/>
      <c r="F509" s="141"/>
      <c r="H509" s="191"/>
      <c r="I509" s="84"/>
      <c r="K509" s="86"/>
      <c r="L509" s="86"/>
      <c r="M509" s="86"/>
      <c r="O509" s="100"/>
      <c r="P509" s="143"/>
      <c r="Q509" s="102"/>
      <c r="R509" s="103"/>
      <c r="S509" s="144" t="s">
        <v>869</v>
      </c>
      <c r="T509" s="112" t="s">
        <v>506</v>
      </c>
      <c r="U509" s="106" t="s">
        <v>880</v>
      </c>
      <c r="V509" s="107">
        <v>48</v>
      </c>
      <c r="W509" s="108"/>
      <c r="X509" s="109"/>
      <c r="Y509" s="20">
        <f t="shared" si="21"/>
        <v>0</v>
      </c>
      <c r="AA509" s="98">
        <f t="shared" si="22"/>
        <v>0</v>
      </c>
      <c r="AB509" s="98">
        <f t="shared" si="23"/>
        <v>0</v>
      </c>
    </row>
    <row r="510" spans="1:28" ht="22.35" customHeight="1" thickBot="1" x14ac:dyDescent="0.3">
      <c r="A510" s="80"/>
      <c r="B510" s="80"/>
      <c r="F510" s="141"/>
      <c r="H510" s="191"/>
      <c r="I510" s="84"/>
      <c r="K510" s="86"/>
      <c r="L510" s="86"/>
      <c r="M510" s="86"/>
      <c r="O510" s="100"/>
      <c r="P510" s="143"/>
      <c r="Q510" s="102"/>
      <c r="R510" s="103"/>
      <c r="S510" s="144" t="s">
        <v>869</v>
      </c>
      <c r="T510" s="112" t="s">
        <v>506</v>
      </c>
      <c r="U510" s="106" t="s">
        <v>880</v>
      </c>
      <c r="V510" s="107">
        <v>48</v>
      </c>
      <c r="W510" s="108"/>
      <c r="X510" s="109"/>
      <c r="Y510" s="20">
        <f t="shared" si="21"/>
        <v>0</v>
      </c>
      <c r="AA510" s="98">
        <f t="shared" si="22"/>
        <v>0</v>
      </c>
      <c r="AB510" s="98">
        <f t="shared" si="23"/>
        <v>0</v>
      </c>
    </row>
    <row r="511" spans="1:28" ht="22.35" customHeight="1" thickBot="1" x14ac:dyDescent="0.3">
      <c r="A511" s="80"/>
      <c r="B511" s="80"/>
      <c r="F511" s="141"/>
      <c r="H511" s="191"/>
      <c r="I511" s="84"/>
      <c r="K511" s="86"/>
      <c r="L511" s="86"/>
      <c r="M511" s="86"/>
      <c r="O511" s="100"/>
      <c r="P511" s="143"/>
      <c r="Q511" s="102"/>
      <c r="R511" s="103"/>
      <c r="S511" s="144" t="s">
        <v>869</v>
      </c>
      <c r="T511" s="112" t="s">
        <v>506</v>
      </c>
      <c r="U511" s="106" t="s">
        <v>880</v>
      </c>
      <c r="V511" s="107">
        <v>48</v>
      </c>
      <c r="W511" s="108"/>
      <c r="X511" s="109"/>
      <c r="Y511" s="20">
        <f t="shared" si="21"/>
        <v>0</v>
      </c>
      <c r="AA511" s="98">
        <f t="shared" si="22"/>
        <v>0</v>
      </c>
      <c r="AB511" s="98">
        <f t="shared" si="23"/>
        <v>0</v>
      </c>
    </row>
    <row r="512" spans="1:28" ht="22.35" customHeight="1" thickBot="1" x14ac:dyDescent="0.3">
      <c r="A512" s="80"/>
      <c r="B512" s="80"/>
      <c r="F512" s="141"/>
      <c r="H512" s="191"/>
      <c r="I512" s="84"/>
      <c r="K512" s="86"/>
      <c r="L512" s="86"/>
      <c r="M512" s="86"/>
      <c r="O512" s="100"/>
      <c r="P512" s="143"/>
      <c r="Q512" s="102"/>
      <c r="R512" s="103"/>
      <c r="S512" s="144" t="s">
        <v>869</v>
      </c>
      <c r="T512" s="112" t="s">
        <v>506</v>
      </c>
      <c r="U512" s="106" t="s">
        <v>880</v>
      </c>
      <c r="V512" s="107">
        <v>48</v>
      </c>
      <c r="W512" s="108"/>
      <c r="X512" s="109"/>
      <c r="Y512" s="20">
        <f t="shared" si="21"/>
        <v>0</v>
      </c>
      <c r="AA512" s="98">
        <f t="shared" si="22"/>
        <v>0</v>
      </c>
      <c r="AB512" s="98">
        <f t="shared" si="23"/>
        <v>0</v>
      </c>
    </row>
    <row r="513" spans="1:35" ht="22.35" customHeight="1" thickBot="1" x14ac:dyDescent="0.3">
      <c r="A513" s="209"/>
      <c r="B513" s="209"/>
      <c r="C513" s="210"/>
      <c r="D513" s="211"/>
      <c r="E513" s="211"/>
      <c r="F513" s="236"/>
      <c r="G513" s="213"/>
      <c r="H513" s="191"/>
      <c r="I513" s="238"/>
      <c r="J513" s="211"/>
      <c r="K513" s="215"/>
      <c r="L513" s="215"/>
      <c r="M513" s="215"/>
      <c r="N513" s="216"/>
      <c r="O513" s="239"/>
      <c r="P513" s="240"/>
      <c r="Q513" s="154"/>
      <c r="R513" s="241"/>
      <c r="S513" s="242" t="s">
        <v>869</v>
      </c>
      <c r="T513" s="243" t="s">
        <v>506</v>
      </c>
      <c r="U513" s="244" t="s">
        <v>880</v>
      </c>
      <c r="V513" s="233">
        <v>48</v>
      </c>
      <c r="W513" s="108"/>
      <c r="X513" s="109"/>
      <c r="Y513" s="20">
        <f t="shared" si="21"/>
        <v>0</v>
      </c>
      <c r="AA513" s="98">
        <f t="shared" si="22"/>
        <v>0</v>
      </c>
      <c r="AB513" s="98">
        <f t="shared" si="23"/>
        <v>0</v>
      </c>
    </row>
    <row r="514" spans="1:35" ht="22.35" customHeight="1" thickBot="1" x14ac:dyDescent="0.3">
      <c r="A514" s="80"/>
      <c r="B514" s="80">
        <v>9002506011321</v>
      </c>
      <c r="C514" s="81">
        <v>22</v>
      </c>
      <c r="D514" s="23" t="s">
        <v>881</v>
      </c>
      <c r="E514" s="23" t="s">
        <v>882</v>
      </c>
      <c r="F514" s="82" t="s">
        <v>883</v>
      </c>
      <c r="G514" s="21" t="s">
        <v>89</v>
      </c>
      <c r="H514" s="277">
        <v>12.5</v>
      </c>
      <c r="I514" s="21">
        <v>11.6</v>
      </c>
      <c r="J514" s="23" t="s">
        <v>884</v>
      </c>
      <c r="K514" s="86">
        <v>7080149</v>
      </c>
      <c r="L514" s="86">
        <v>4</v>
      </c>
      <c r="M514" s="86"/>
      <c r="N514" s="87">
        <v>0</v>
      </c>
      <c r="O514" s="223">
        <v>1704</v>
      </c>
      <c r="P514" s="224">
        <v>1</v>
      </c>
      <c r="Q514" s="224">
        <v>1</v>
      </c>
      <c r="R514" s="225">
        <v>13.9</v>
      </c>
      <c r="S514" s="226" t="s">
        <v>885</v>
      </c>
      <c r="T514" s="94" t="str">
        <f>INDEX([1]data!$B$1:$B$100,MATCH('04.02 - 10.02'!S514,[0]!exclusive01,))</f>
        <v>DUCANH</v>
      </c>
      <c r="U514" s="106" t="s">
        <v>875</v>
      </c>
      <c r="V514" s="107">
        <v>48</v>
      </c>
      <c r="W514" s="108">
        <v>1</v>
      </c>
      <c r="X514" s="109" t="s">
        <v>45</v>
      </c>
      <c r="Y514" s="20">
        <f t="shared" si="21"/>
        <v>1</v>
      </c>
      <c r="AA514" s="98">
        <f t="shared" si="22"/>
        <v>0.90000000000000036</v>
      </c>
      <c r="AB514" s="98">
        <f t="shared" si="23"/>
        <v>1.4000000000000004</v>
      </c>
    </row>
    <row r="515" spans="1:35" ht="22.35" customHeight="1" thickBot="1" x14ac:dyDescent="0.3">
      <c r="A515" s="209"/>
      <c r="B515" s="209">
        <v>8595184939076</v>
      </c>
      <c r="C515" s="193">
        <v>12</v>
      </c>
      <c r="D515" s="194" t="s">
        <v>886</v>
      </c>
      <c r="E515" s="194" t="s">
        <v>887</v>
      </c>
      <c r="F515" s="227" t="s">
        <v>274</v>
      </c>
      <c r="G515" s="196">
        <v>1</v>
      </c>
      <c r="H515" s="191">
        <v>17.5</v>
      </c>
      <c r="I515" s="196">
        <v>16.11</v>
      </c>
      <c r="J515" s="194" t="s">
        <v>884</v>
      </c>
      <c r="K515" s="198">
        <v>7081015</v>
      </c>
      <c r="L515" s="198">
        <v>4</v>
      </c>
      <c r="M515" s="198"/>
      <c r="N515" s="228">
        <v>0</v>
      </c>
      <c r="O515" s="229">
        <v>6790</v>
      </c>
      <c r="P515" s="230">
        <v>1</v>
      </c>
      <c r="Q515" s="230">
        <v>1</v>
      </c>
      <c r="R515" s="231">
        <v>19.899999999999999</v>
      </c>
      <c r="S515" s="232" t="s">
        <v>888</v>
      </c>
      <c r="T515" s="125" t="str">
        <f>INDEX([1]data!$B$1:$B$100,MATCH('04.02 - 10.02'!S515,[0]!exclusive01,))</f>
        <v>DUCANH</v>
      </c>
      <c r="U515" s="125" t="s">
        <v>875</v>
      </c>
      <c r="V515" s="233">
        <v>48</v>
      </c>
      <c r="W515" s="108"/>
      <c r="X515" s="109" t="s">
        <v>55</v>
      </c>
      <c r="Y515" s="20">
        <f t="shared" si="21"/>
        <v>1</v>
      </c>
      <c r="AA515" s="98">
        <f t="shared" si="22"/>
        <v>1.3900000000000006</v>
      </c>
      <c r="AB515" s="98">
        <f t="shared" si="23"/>
        <v>2.3999999999999986</v>
      </c>
    </row>
    <row r="516" spans="1:35" ht="22.35" customHeight="1" thickBot="1" x14ac:dyDescent="0.3">
      <c r="A516" s="127"/>
      <c r="B516" s="127"/>
      <c r="C516" s="128"/>
      <c r="D516" s="129"/>
      <c r="E516" s="129"/>
      <c r="F516" s="130"/>
      <c r="G516" s="132"/>
      <c r="H516" s="99"/>
      <c r="I516" s="158"/>
      <c r="J516" s="129"/>
      <c r="K516" s="159"/>
      <c r="L516" s="133"/>
      <c r="M516" s="133"/>
      <c r="N516" s="134"/>
      <c r="O516" s="135"/>
      <c r="P516" s="136"/>
      <c r="Q516" s="137"/>
      <c r="R516" s="138"/>
      <c r="S516" s="144" t="s">
        <v>138</v>
      </c>
      <c r="T516" s="112" t="s">
        <v>506</v>
      </c>
      <c r="U516" s="106"/>
      <c r="V516" s="107">
        <v>49</v>
      </c>
      <c r="W516" s="96"/>
      <c r="X516" s="97"/>
      <c r="Y516" s="20">
        <f t="shared" si="21"/>
        <v>0</v>
      </c>
      <c r="AA516" s="98">
        <f t="shared" si="22"/>
        <v>0</v>
      </c>
      <c r="AB516" s="98">
        <f t="shared" si="23"/>
        <v>0</v>
      </c>
      <c r="AC516" s="110"/>
      <c r="AD516" s="77"/>
      <c r="AE516" s="77"/>
      <c r="AF516" s="75"/>
      <c r="AG516" s="75"/>
      <c r="AH516" s="75"/>
      <c r="AI516" s="75"/>
    </row>
    <row r="517" spans="1:35" ht="22.35" customHeight="1" thickBot="1" x14ac:dyDescent="0.3">
      <c r="A517" s="80"/>
      <c r="B517" s="80"/>
      <c r="F517" s="141"/>
      <c r="H517" s="99"/>
      <c r="I517" s="84"/>
      <c r="K517" s="86"/>
      <c r="L517" s="86"/>
      <c r="M517" s="86"/>
      <c r="O517" s="100"/>
      <c r="P517" s="143"/>
      <c r="Q517" s="102"/>
      <c r="R517" s="103"/>
      <c r="S517" s="144" t="s">
        <v>138</v>
      </c>
      <c r="T517" s="112" t="s">
        <v>506</v>
      </c>
      <c r="U517" s="106"/>
      <c r="V517" s="107">
        <v>49</v>
      </c>
      <c r="W517" s="108"/>
      <c r="X517" s="109"/>
      <c r="Y517" s="20">
        <f t="shared" si="21"/>
        <v>0</v>
      </c>
      <c r="AA517" s="98">
        <f t="shared" si="22"/>
        <v>0</v>
      </c>
      <c r="AB517" s="98">
        <f t="shared" si="23"/>
        <v>0</v>
      </c>
      <c r="AC517" s="110"/>
      <c r="AD517" s="77"/>
      <c r="AE517" s="77"/>
      <c r="AF517" s="75"/>
      <c r="AG517" s="75"/>
      <c r="AH517" s="75"/>
      <c r="AI517" s="75"/>
    </row>
    <row r="518" spans="1:35" ht="22.35" customHeight="1" thickBot="1" x14ac:dyDescent="0.3">
      <c r="A518" s="80"/>
      <c r="B518" s="80"/>
      <c r="F518" s="141"/>
      <c r="H518" s="99"/>
      <c r="I518" s="84"/>
      <c r="K518" s="86"/>
      <c r="L518" s="86"/>
      <c r="M518" s="86"/>
      <c r="O518" s="100"/>
      <c r="P518" s="143"/>
      <c r="Q518" s="90"/>
      <c r="R518" s="91"/>
      <c r="S518" s="144" t="s">
        <v>138</v>
      </c>
      <c r="T518" s="112" t="s">
        <v>506</v>
      </c>
      <c r="U518" s="106"/>
      <c r="V518" s="107">
        <v>49</v>
      </c>
      <c r="W518" s="108"/>
      <c r="X518" s="109"/>
      <c r="Y518" s="20">
        <f t="shared" si="21"/>
        <v>0</v>
      </c>
      <c r="AA518" s="98">
        <f t="shared" si="22"/>
        <v>0</v>
      </c>
      <c r="AB518" s="98">
        <f t="shared" si="23"/>
        <v>0</v>
      </c>
      <c r="AC518" s="110"/>
      <c r="AD518" s="77"/>
      <c r="AE518" s="77"/>
      <c r="AF518" s="75"/>
      <c r="AG518" s="75"/>
      <c r="AH518" s="75"/>
      <c r="AI518" s="75"/>
    </row>
    <row r="519" spans="1:35" ht="22.35" customHeight="1" thickBot="1" x14ac:dyDescent="0.3">
      <c r="A519" s="80"/>
      <c r="B519" s="80"/>
      <c r="F519" s="141"/>
      <c r="H519" s="99"/>
      <c r="I519" s="84"/>
      <c r="K519" s="86"/>
      <c r="L519" s="86"/>
      <c r="M519" s="86"/>
      <c r="O519" s="100"/>
      <c r="P519" s="143"/>
      <c r="Q519" s="90"/>
      <c r="R519" s="91"/>
      <c r="S519" s="144" t="s">
        <v>138</v>
      </c>
      <c r="T519" s="112" t="s">
        <v>506</v>
      </c>
      <c r="U519" s="106"/>
      <c r="V519" s="107">
        <v>49</v>
      </c>
      <c r="W519" s="108"/>
      <c r="X519" s="109"/>
      <c r="Y519" s="20">
        <f t="shared" ref="Y519:Y582" si="24">COUNTIF(K:K,K519)</f>
        <v>0</v>
      </c>
      <c r="AA519" s="98">
        <f t="shared" si="22"/>
        <v>0</v>
      </c>
      <c r="AB519" s="98">
        <f t="shared" si="23"/>
        <v>0</v>
      </c>
      <c r="AC519" s="110"/>
      <c r="AD519" s="77"/>
      <c r="AE519" s="77"/>
      <c r="AF519" s="75"/>
      <c r="AG519" s="75"/>
      <c r="AH519" s="75"/>
      <c r="AI519" s="75"/>
    </row>
    <row r="520" spans="1:35" ht="22.35" customHeight="1" thickBot="1" x14ac:dyDescent="0.3">
      <c r="A520" s="80"/>
      <c r="B520" s="80"/>
      <c r="F520" s="141"/>
      <c r="H520" s="99"/>
      <c r="I520" s="84"/>
      <c r="K520" s="86"/>
      <c r="L520" s="86"/>
      <c r="M520" s="86"/>
      <c r="O520" s="100"/>
      <c r="P520" s="143"/>
      <c r="Q520" s="90"/>
      <c r="R520" s="91"/>
      <c r="S520" s="144" t="s">
        <v>138</v>
      </c>
      <c r="T520" s="112" t="s">
        <v>506</v>
      </c>
      <c r="U520" s="106"/>
      <c r="V520" s="107">
        <v>49</v>
      </c>
      <c r="W520" s="108"/>
      <c r="X520" s="109"/>
      <c r="Y520" s="20">
        <f t="shared" si="24"/>
        <v>0</v>
      </c>
      <c r="AA520" s="98">
        <f t="shared" si="22"/>
        <v>0</v>
      </c>
      <c r="AB520" s="98">
        <f t="shared" si="23"/>
        <v>0</v>
      </c>
      <c r="AC520" s="110"/>
      <c r="AD520" s="77"/>
      <c r="AE520" s="77"/>
      <c r="AF520" s="75"/>
      <c r="AG520" s="75"/>
      <c r="AH520" s="75"/>
      <c r="AI520" s="75"/>
    </row>
    <row r="521" spans="1:35" ht="22.35" customHeight="1" thickBot="1" x14ac:dyDescent="0.3">
      <c r="A521" s="80"/>
      <c r="B521" s="80"/>
      <c r="F521" s="141"/>
      <c r="H521" s="99"/>
      <c r="I521" s="84"/>
      <c r="K521" s="86"/>
      <c r="L521" s="86"/>
      <c r="M521" s="86"/>
      <c r="O521" s="100"/>
      <c r="P521" s="143"/>
      <c r="Q521" s="90"/>
      <c r="R521" s="91"/>
      <c r="S521" s="144" t="s">
        <v>138</v>
      </c>
      <c r="T521" s="112" t="s">
        <v>506</v>
      </c>
      <c r="U521" s="106"/>
      <c r="V521" s="107">
        <v>49</v>
      </c>
      <c r="W521" s="108"/>
      <c r="X521" s="109"/>
      <c r="Y521" s="20">
        <f t="shared" si="24"/>
        <v>0</v>
      </c>
      <c r="AA521" s="98">
        <f t="shared" si="22"/>
        <v>0</v>
      </c>
      <c r="AB521" s="98">
        <f t="shared" si="23"/>
        <v>0</v>
      </c>
      <c r="AC521" s="110"/>
      <c r="AD521" s="77"/>
      <c r="AE521" s="77"/>
      <c r="AF521" s="75"/>
      <c r="AG521" s="75"/>
      <c r="AH521" s="75"/>
      <c r="AI521" s="75"/>
    </row>
    <row r="522" spans="1:35" ht="22.35" customHeight="1" thickBot="1" x14ac:dyDescent="0.3">
      <c r="A522" s="80"/>
      <c r="B522" s="80"/>
      <c r="F522" s="141"/>
      <c r="H522" s="99"/>
      <c r="I522" s="84"/>
      <c r="K522" s="86"/>
      <c r="L522" s="86"/>
      <c r="M522" s="86"/>
      <c r="O522" s="100"/>
      <c r="P522" s="143"/>
      <c r="Q522" s="90"/>
      <c r="R522" s="91"/>
      <c r="S522" s="144" t="s">
        <v>138</v>
      </c>
      <c r="T522" s="112" t="s">
        <v>506</v>
      </c>
      <c r="U522" s="106"/>
      <c r="V522" s="107">
        <v>49</v>
      </c>
      <c r="W522" s="108"/>
      <c r="X522" s="109"/>
      <c r="Y522" s="20">
        <f t="shared" si="24"/>
        <v>0</v>
      </c>
      <c r="AA522" s="98">
        <f t="shared" si="22"/>
        <v>0</v>
      </c>
      <c r="AB522" s="98">
        <f t="shared" si="23"/>
        <v>0</v>
      </c>
      <c r="AC522" s="110"/>
      <c r="AD522" s="77"/>
      <c r="AE522" s="77"/>
      <c r="AF522" s="75"/>
      <c r="AG522" s="75"/>
      <c r="AH522" s="75"/>
      <c r="AI522" s="75"/>
    </row>
    <row r="523" spans="1:35" ht="22.35" customHeight="1" thickBot="1" x14ac:dyDescent="0.3">
      <c r="A523" s="80"/>
      <c r="B523" s="80"/>
      <c r="F523" s="141"/>
      <c r="H523" s="99"/>
      <c r="I523" s="84"/>
      <c r="K523" s="86"/>
      <c r="L523" s="86"/>
      <c r="M523" s="86"/>
      <c r="O523" s="100"/>
      <c r="P523" s="143"/>
      <c r="Q523" s="90"/>
      <c r="R523" s="91"/>
      <c r="S523" s="144" t="s">
        <v>138</v>
      </c>
      <c r="T523" s="112" t="s">
        <v>506</v>
      </c>
      <c r="U523" s="106"/>
      <c r="V523" s="107">
        <v>49</v>
      </c>
      <c r="W523" s="108"/>
      <c r="X523" s="109"/>
      <c r="Y523" s="20">
        <f t="shared" si="24"/>
        <v>0</v>
      </c>
      <c r="AA523" s="98">
        <f t="shared" si="22"/>
        <v>0</v>
      </c>
      <c r="AB523" s="98">
        <f t="shared" si="23"/>
        <v>0</v>
      </c>
      <c r="AC523" s="110"/>
      <c r="AD523" s="77"/>
      <c r="AE523" s="77"/>
      <c r="AF523" s="75"/>
      <c r="AG523" s="75"/>
      <c r="AH523" s="75"/>
      <c r="AI523" s="75"/>
    </row>
    <row r="524" spans="1:35" ht="22.35" customHeight="1" thickBot="1" x14ac:dyDescent="0.3">
      <c r="A524" s="80"/>
      <c r="B524" s="80"/>
      <c r="F524" s="141"/>
      <c r="H524" s="99"/>
      <c r="I524" s="84"/>
      <c r="K524" s="86"/>
      <c r="L524" s="86"/>
      <c r="M524" s="86"/>
      <c r="O524" s="100"/>
      <c r="P524" s="143"/>
      <c r="Q524" s="90"/>
      <c r="R524" s="91"/>
      <c r="S524" s="144" t="s">
        <v>138</v>
      </c>
      <c r="T524" s="112" t="s">
        <v>506</v>
      </c>
      <c r="U524" s="106"/>
      <c r="V524" s="107">
        <v>49</v>
      </c>
      <c r="W524" s="108"/>
      <c r="X524" s="109"/>
      <c r="Y524" s="20">
        <f t="shared" si="24"/>
        <v>0</v>
      </c>
      <c r="AA524" s="98">
        <f t="shared" si="22"/>
        <v>0</v>
      </c>
      <c r="AB524" s="98">
        <f t="shared" si="23"/>
        <v>0</v>
      </c>
      <c r="AC524" s="110"/>
      <c r="AD524" s="77"/>
      <c r="AE524" s="77"/>
      <c r="AF524" s="75"/>
      <c r="AG524" s="75"/>
      <c r="AH524" s="75"/>
      <c r="AI524" s="75"/>
    </row>
    <row r="525" spans="1:35" ht="22.35" customHeight="1" thickBot="1" x14ac:dyDescent="0.3">
      <c r="A525" s="80"/>
      <c r="B525" s="80"/>
      <c r="F525" s="141"/>
      <c r="H525" s="99"/>
      <c r="I525" s="84"/>
      <c r="K525" s="86"/>
      <c r="L525" s="86"/>
      <c r="M525" s="86"/>
      <c r="O525" s="100"/>
      <c r="P525" s="143"/>
      <c r="Q525" s="90"/>
      <c r="R525" s="91"/>
      <c r="S525" s="144" t="s">
        <v>138</v>
      </c>
      <c r="T525" s="112" t="s">
        <v>506</v>
      </c>
      <c r="U525" s="106"/>
      <c r="V525" s="107">
        <v>49</v>
      </c>
      <c r="W525" s="108"/>
      <c r="X525" s="109"/>
      <c r="Y525" s="20">
        <f t="shared" si="24"/>
        <v>0</v>
      </c>
      <c r="AA525" s="98">
        <f t="shared" si="22"/>
        <v>0</v>
      </c>
      <c r="AB525" s="98">
        <f t="shared" si="23"/>
        <v>0</v>
      </c>
      <c r="AC525" s="110"/>
      <c r="AD525" s="77"/>
      <c r="AE525" s="77"/>
      <c r="AF525" s="75"/>
      <c r="AG525" s="75"/>
      <c r="AH525" s="75"/>
      <c r="AI525" s="75"/>
    </row>
    <row r="526" spans="1:35" ht="22.35" customHeight="1" thickBot="1" x14ac:dyDescent="0.3">
      <c r="A526" s="80"/>
      <c r="B526" s="80"/>
      <c r="F526" s="141"/>
      <c r="H526" s="99"/>
      <c r="I526" s="84"/>
      <c r="K526" s="86"/>
      <c r="L526" s="86"/>
      <c r="M526" s="86"/>
      <c r="O526" s="100"/>
      <c r="P526" s="143"/>
      <c r="Q526" s="90"/>
      <c r="R526" s="91"/>
      <c r="S526" s="144" t="s">
        <v>138</v>
      </c>
      <c r="T526" s="112" t="s">
        <v>506</v>
      </c>
      <c r="U526" s="106"/>
      <c r="V526" s="107">
        <v>49</v>
      </c>
      <c r="W526" s="108"/>
      <c r="X526" s="109"/>
      <c r="Y526" s="20">
        <f t="shared" si="24"/>
        <v>0</v>
      </c>
      <c r="AA526" s="98">
        <f t="shared" si="22"/>
        <v>0</v>
      </c>
      <c r="AB526" s="98">
        <f t="shared" si="23"/>
        <v>0</v>
      </c>
      <c r="AC526" s="110"/>
      <c r="AD526" s="77"/>
      <c r="AE526" s="77"/>
      <c r="AF526" s="75"/>
      <c r="AG526" s="75"/>
      <c r="AH526" s="75"/>
      <c r="AI526" s="75"/>
    </row>
    <row r="527" spans="1:35" ht="22.35" customHeight="1" thickBot="1" x14ac:dyDescent="0.3">
      <c r="A527" s="80"/>
      <c r="B527" s="80"/>
      <c r="F527" s="141"/>
      <c r="H527" s="99"/>
      <c r="I527" s="84"/>
      <c r="K527" s="86"/>
      <c r="L527" s="86"/>
      <c r="M527" s="86"/>
      <c r="O527" s="100"/>
      <c r="P527" s="143"/>
      <c r="Q527" s="90"/>
      <c r="R527" s="91"/>
      <c r="S527" s="144" t="s">
        <v>138</v>
      </c>
      <c r="T527" s="112" t="s">
        <v>506</v>
      </c>
      <c r="U527" s="106"/>
      <c r="V527" s="107">
        <v>49</v>
      </c>
      <c r="W527" s="108"/>
      <c r="X527" s="109"/>
      <c r="Y527" s="20">
        <f t="shared" si="24"/>
        <v>0</v>
      </c>
      <c r="AA527" s="98">
        <f t="shared" si="22"/>
        <v>0</v>
      </c>
      <c r="AB527" s="98">
        <f t="shared" si="23"/>
        <v>0</v>
      </c>
      <c r="AC527" s="110"/>
      <c r="AD527" s="77"/>
      <c r="AE527" s="77"/>
      <c r="AF527" s="75"/>
      <c r="AG527" s="75"/>
      <c r="AH527" s="75"/>
      <c r="AI527" s="75"/>
    </row>
    <row r="528" spans="1:35" ht="22.35" customHeight="1" thickBot="1" x14ac:dyDescent="0.3">
      <c r="A528" s="80"/>
      <c r="B528" s="80"/>
      <c r="F528" s="141"/>
      <c r="H528" s="99"/>
      <c r="I528" s="84"/>
      <c r="K528" s="86"/>
      <c r="L528" s="86"/>
      <c r="M528" s="86"/>
      <c r="O528" s="100"/>
      <c r="P528" s="143"/>
      <c r="Q528" s="90"/>
      <c r="R528" s="91"/>
      <c r="S528" s="144" t="s">
        <v>138</v>
      </c>
      <c r="T528" s="112" t="s">
        <v>506</v>
      </c>
      <c r="U528" s="106"/>
      <c r="V528" s="107">
        <v>49</v>
      </c>
      <c r="W528" s="108"/>
      <c r="X528" s="109"/>
      <c r="Y528" s="20">
        <f t="shared" si="24"/>
        <v>0</v>
      </c>
      <c r="AA528" s="98">
        <f t="shared" si="22"/>
        <v>0</v>
      </c>
      <c r="AB528" s="98">
        <f t="shared" si="23"/>
        <v>0</v>
      </c>
      <c r="AC528" s="110"/>
      <c r="AD528" s="77"/>
      <c r="AE528" s="77"/>
      <c r="AF528" s="75"/>
      <c r="AG528" s="75"/>
      <c r="AH528" s="75"/>
      <c r="AI528" s="75"/>
    </row>
    <row r="529" spans="1:35" ht="22.35" customHeight="1" thickBot="1" x14ac:dyDescent="0.3">
      <c r="A529" s="80"/>
      <c r="B529" s="80"/>
      <c r="F529" s="141"/>
      <c r="H529" s="99"/>
      <c r="I529" s="84"/>
      <c r="K529" s="86"/>
      <c r="L529" s="86"/>
      <c r="M529" s="86"/>
      <c r="O529" s="100"/>
      <c r="P529" s="143"/>
      <c r="Q529" s="90"/>
      <c r="R529" s="91"/>
      <c r="S529" s="144" t="s">
        <v>138</v>
      </c>
      <c r="T529" s="112" t="s">
        <v>506</v>
      </c>
      <c r="U529" s="106"/>
      <c r="V529" s="107">
        <v>49</v>
      </c>
      <c r="W529" s="160"/>
      <c r="X529" s="161"/>
      <c r="Y529" s="20">
        <f t="shared" si="24"/>
        <v>0</v>
      </c>
      <c r="AA529" s="98">
        <f t="shared" si="22"/>
        <v>0</v>
      </c>
      <c r="AB529" s="98">
        <f t="shared" si="23"/>
        <v>0</v>
      </c>
      <c r="AC529" s="110"/>
      <c r="AD529" s="77"/>
      <c r="AE529" s="77"/>
      <c r="AF529" s="75"/>
      <c r="AG529" s="75"/>
      <c r="AH529" s="75"/>
      <c r="AI529" s="75"/>
    </row>
    <row r="530" spans="1:35" ht="22.35" customHeight="1" thickBot="1" x14ac:dyDescent="0.3">
      <c r="A530" s="80"/>
      <c r="B530" s="80"/>
      <c r="F530" s="141"/>
      <c r="H530" s="99"/>
      <c r="I530" s="84"/>
      <c r="K530" s="86"/>
      <c r="L530" s="86"/>
      <c r="M530" s="86"/>
      <c r="O530" s="100"/>
      <c r="P530" s="143"/>
      <c r="Q530" s="90"/>
      <c r="R530" s="91"/>
      <c r="S530" s="144" t="s">
        <v>138</v>
      </c>
      <c r="T530" s="112" t="s">
        <v>506</v>
      </c>
      <c r="U530" s="106"/>
      <c r="V530" s="107">
        <v>49</v>
      </c>
      <c r="W530" s="160"/>
      <c r="X530" s="161"/>
      <c r="Y530" s="20">
        <f t="shared" si="24"/>
        <v>0</v>
      </c>
      <c r="AA530" s="98">
        <f t="shared" si="22"/>
        <v>0</v>
      </c>
      <c r="AB530" s="98">
        <f t="shared" si="23"/>
        <v>0</v>
      </c>
      <c r="AC530" s="110"/>
      <c r="AD530" s="77"/>
      <c r="AE530" s="77"/>
      <c r="AF530" s="75"/>
      <c r="AG530" s="75"/>
      <c r="AH530" s="75"/>
      <c r="AI530" s="75"/>
    </row>
    <row r="531" spans="1:35" ht="22.35" customHeight="1" thickBot="1" x14ac:dyDescent="0.3">
      <c r="A531" s="252"/>
      <c r="B531" s="252"/>
      <c r="C531" s="253"/>
      <c r="D531" s="254"/>
      <c r="E531" s="254"/>
      <c r="F531" s="195"/>
      <c r="G531" s="196"/>
      <c r="H531" s="255"/>
      <c r="I531" s="256"/>
      <c r="J531" s="257"/>
      <c r="K531" s="258"/>
      <c r="L531" s="258"/>
      <c r="M531" s="258"/>
      <c r="N531" s="228"/>
      <c r="O531" s="200"/>
      <c r="P531" s="202"/>
      <c r="Q531" s="259"/>
      <c r="R531" s="260"/>
      <c r="S531" s="155" t="s">
        <v>138</v>
      </c>
      <c r="T531" s="124" t="s">
        <v>506</v>
      </c>
      <c r="U531" s="125"/>
      <c r="V531" s="126">
        <v>49</v>
      </c>
      <c r="W531" s="261"/>
      <c r="X531" s="262"/>
      <c r="Y531" s="20">
        <f t="shared" si="24"/>
        <v>0</v>
      </c>
      <c r="AA531" s="98">
        <f t="shared" si="22"/>
        <v>0</v>
      </c>
      <c r="AB531" s="98">
        <f t="shared" si="23"/>
        <v>0</v>
      </c>
      <c r="AC531" s="110"/>
      <c r="AD531" s="77"/>
      <c r="AE531" s="77"/>
      <c r="AF531" s="75"/>
      <c r="AG531" s="75"/>
      <c r="AH531" s="75"/>
      <c r="AI531" s="75"/>
    </row>
    <row r="532" spans="1:35" ht="22.35" customHeight="1" thickBot="1" x14ac:dyDescent="0.3">
      <c r="A532" s="175"/>
      <c r="B532" s="175"/>
      <c r="C532" s="176"/>
      <c r="D532" s="177" t="s">
        <v>889</v>
      </c>
      <c r="E532" s="178"/>
      <c r="F532" s="179"/>
      <c r="G532" s="180"/>
      <c r="H532" s="181"/>
      <c r="I532" s="180"/>
      <c r="J532" s="178"/>
      <c r="K532" s="182"/>
      <c r="L532" s="182"/>
      <c r="M532" s="182"/>
      <c r="N532" s="183"/>
      <c r="O532" s="184"/>
      <c r="P532" s="184"/>
      <c r="Q532" s="184"/>
      <c r="R532" s="185"/>
      <c r="S532" s="186"/>
      <c r="T532" s="187" t="s">
        <v>890</v>
      </c>
      <c r="U532" s="188"/>
      <c r="V532" s="189"/>
      <c r="W532" s="188"/>
      <c r="X532" s="190"/>
      <c r="Y532" s="20">
        <f t="shared" si="24"/>
        <v>0</v>
      </c>
      <c r="AA532" s="98">
        <f t="shared" si="22"/>
        <v>0</v>
      </c>
      <c r="AB532" s="98">
        <f t="shared" si="23"/>
        <v>0</v>
      </c>
    </row>
    <row r="533" spans="1:35" ht="22.35" customHeight="1" thickBot="1" x14ac:dyDescent="0.3">
      <c r="A533" s="127"/>
      <c r="B533" s="127"/>
      <c r="C533" s="128"/>
      <c r="D533" s="129"/>
      <c r="E533" s="129"/>
      <c r="F533" s="130"/>
      <c r="G533" s="132"/>
      <c r="H533" s="191"/>
      <c r="I533" s="158"/>
      <c r="J533" s="129"/>
      <c r="K533" s="159"/>
      <c r="L533" s="133"/>
      <c r="M533" s="133"/>
      <c r="N533" s="134"/>
      <c r="O533" s="135"/>
      <c r="P533" s="136"/>
      <c r="Q533" s="137"/>
      <c r="R533" s="138"/>
      <c r="S533" s="144" t="s">
        <v>891</v>
      </c>
      <c r="T533" s="112" t="s">
        <v>892</v>
      </c>
      <c r="U533" s="106" t="s">
        <v>893</v>
      </c>
      <c r="V533" s="107">
        <v>50</v>
      </c>
      <c r="W533" s="96"/>
      <c r="X533" s="97"/>
      <c r="Y533" s="20">
        <f t="shared" si="24"/>
        <v>0</v>
      </c>
      <c r="AA533" s="98">
        <f t="shared" si="22"/>
        <v>0</v>
      </c>
      <c r="AB533" s="98">
        <f t="shared" si="23"/>
        <v>0</v>
      </c>
    </row>
    <row r="534" spans="1:35" ht="22.35" customHeight="1" thickBot="1" x14ac:dyDescent="0.3">
      <c r="A534" s="80"/>
      <c r="B534" s="80"/>
      <c r="F534" s="141"/>
      <c r="H534" s="191"/>
      <c r="I534" s="84"/>
      <c r="K534" s="86"/>
      <c r="L534" s="86"/>
      <c r="M534" s="86"/>
      <c r="O534" s="100"/>
      <c r="P534" s="143"/>
      <c r="Q534" s="102"/>
      <c r="R534" s="103"/>
      <c r="S534" s="144" t="s">
        <v>891</v>
      </c>
      <c r="T534" s="112" t="s">
        <v>892</v>
      </c>
      <c r="U534" s="106" t="s">
        <v>893</v>
      </c>
      <c r="V534" s="107">
        <v>50</v>
      </c>
      <c r="W534" s="108"/>
      <c r="X534" s="109"/>
      <c r="Y534" s="20">
        <f t="shared" si="24"/>
        <v>0</v>
      </c>
      <c r="AA534" s="98">
        <f t="shared" si="22"/>
        <v>0</v>
      </c>
      <c r="AB534" s="98">
        <f t="shared" si="23"/>
        <v>0</v>
      </c>
    </row>
    <row r="535" spans="1:35" ht="22.35" customHeight="1" thickBot="1" x14ac:dyDescent="0.3">
      <c r="A535" s="80"/>
      <c r="B535" s="80"/>
      <c r="F535" s="141"/>
      <c r="H535" s="191"/>
      <c r="I535" s="84"/>
      <c r="K535" s="86"/>
      <c r="L535" s="86"/>
      <c r="M535" s="86"/>
      <c r="O535" s="100"/>
      <c r="P535" s="143"/>
      <c r="Q535" s="102"/>
      <c r="R535" s="103"/>
      <c r="S535" s="144" t="s">
        <v>891</v>
      </c>
      <c r="T535" s="112" t="s">
        <v>892</v>
      </c>
      <c r="U535" s="106" t="s">
        <v>893</v>
      </c>
      <c r="V535" s="107">
        <v>50</v>
      </c>
      <c r="W535" s="108"/>
      <c r="X535" s="109"/>
      <c r="Y535" s="20">
        <f t="shared" si="24"/>
        <v>0</v>
      </c>
      <c r="AA535" s="98">
        <f t="shared" si="22"/>
        <v>0</v>
      </c>
      <c r="AB535" s="98">
        <f t="shared" si="23"/>
        <v>0</v>
      </c>
    </row>
    <row r="536" spans="1:35" ht="22.35" customHeight="1" thickBot="1" x14ac:dyDescent="0.3">
      <c r="A536" s="80"/>
      <c r="B536" s="80"/>
      <c r="F536" s="141"/>
      <c r="H536" s="191"/>
      <c r="I536" s="84"/>
      <c r="K536" s="86"/>
      <c r="L536" s="86"/>
      <c r="M536" s="86"/>
      <c r="O536" s="100"/>
      <c r="P536" s="143"/>
      <c r="Q536" s="102"/>
      <c r="R536" s="103"/>
      <c r="S536" s="144" t="s">
        <v>891</v>
      </c>
      <c r="T536" s="112" t="s">
        <v>892</v>
      </c>
      <c r="U536" s="106" t="s">
        <v>893</v>
      </c>
      <c r="V536" s="107">
        <v>50</v>
      </c>
      <c r="W536" s="108"/>
      <c r="X536" s="109"/>
      <c r="Y536" s="20">
        <f t="shared" si="24"/>
        <v>0</v>
      </c>
      <c r="AA536" s="98">
        <f t="shared" si="22"/>
        <v>0</v>
      </c>
      <c r="AB536" s="98">
        <f t="shared" si="23"/>
        <v>0</v>
      </c>
    </row>
    <row r="537" spans="1:35" ht="22.35" customHeight="1" thickBot="1" x14ac:dyDescent="0.3">
      <c r="A537" s="80"/>
      <c r="B537" s="80"/>
      <c r="F537" s="141"/>
      <c r="H537" s="191"/>
      <c r="I537" s="84"/>
      <c r="K537" s="86"/>
      <c r="L537" s="86"/>
      <c r="M537" s="86"/>
      <c r="O537" s="100"/>
      <c r="P537" s="143"/>
      <c r="Q537" s="102"/>
      <c r="R537" s="103"/>
      <c r="S537" s="144" t="s">
        <v>891</v>
      </c>
      <c r="T537" s="112" t="s">
        <v>892</v>
      </c>
      <c r="U537" s="106" t="s">
        <v>893</v>
      </c>
      <c r="V537" s="107">
        <v>50</v>
      </c>
      <c r="W537" s="108"/>
      <c r="X537" s="109"/>
      <c r="Y537" s="20">
        <f t="shared" si="24"/>
        <v>0</v>
      </c>
      <c r="AA537" s="98">
        <f t="shared" si="22"/>
        <v>0</v>
      </c>
      <c r="AB537" s="98">
        <f t="shared" si="23"/>
        <v>0</v>
      </c>
    </row>
    <row r="538" spans="1:35" ht="22.35" customHeight="1" thickBot="1" x14ac:dyDescent="0.3">
      <c r="A538" s="80"/>
      <c r="B538" s="80"/>
      <c r="F538" s="141"/>
      <c r="H538" s="191"/>
      <c r="I538" s="84"/>
      <c r="K538" s="86"/>
      <c r="L538" s="86"/>
      <c r="M538" s="86"/>
      <c r="O538" s="100"/>
      <c r="P538" s="143"/>
      <c r="Q538" s="102"/>
      <c r="R538" s="103"/>
      <c r="S538" s="144" t="s">
        <v>891</v>
      </c>
      <c r="T538" s="112" t="s">
        <v>892</v>
      </c>
      <c r="U538" s="106" t="s">
        <v>893</v>
      </c>
      <c r="V538" s="107">
        <v>50</v>
      </c>
      <c r="W538" s="108"/>
      <c r="X538" s="109"/>
      <c r="Y538" s="20">
        <f t="shared" si="24"/>
        <v>0</v>
      </c>
      <c r="AA538" s="98">
        <f t="shared" si="22"/>
        <v>0</v>
      </c>
      <c r="AB538" s="98">
        <f t="shared" si="23"/>
        <v>0</v>
      </c>
    </row>
    <row r="539" spans="1:35" ht="22.35" customHeight="1" thickBot="1" x14ac:dyDescent="0.3">
      <c r="A539" s="80"/>
      <c r="B539" s="80"/>
      <c r="F539" s="141"/>
      <c r="H539" s="191"/>
      <c r="I539" s="84"/>
      <c r="K539" s="86"/>
      <c r="L539" s="86"/>
      <c r="M539" s="86"/>
      <c r="O539" s="100"/>
      <c r="P539" s="143"/>
      <c r="Q539" s="102"/>
      <c r="R539" s="103"/>
      <c r="S539" s="144" t="s">
        <v>891</v>
      </c>
      <c r="T539" s="112" t="s">
        <v>892</v>
      </c>
      <c r="U539" s="106" t="s">
        <v>893</v>
      </c>
      <c r="V539" s="107">
        <v>50</v>
      </c>
      <c r="W539" s="108"/>
      <c r="X539" s="109"/>
      <c r="Y539" s="20">
        <f t="shared" si="24"/>
        <v>0</v>
      </c>
      <c r="AA539" s="98">
        <f t="shared" si="22"/>
        <v>0</v>
      </c>
      <c r="AB539" s="98">
        <f t="shared" si="23"/>
        <v>0</v>
      </c>
    </row>
    <row r="540" spans="1:35" ht="22.35" customHeight="1" thickBot="1" x14ac:dyDescent="0.3">
      <c r="A540" s="80"/>
      <c r="B540" s="80"/>
      <c r="F540" s="141"/>
      <c r="H540" s="191"/>
      <c r="I540" s="84"/>
      <c r="K540" s="86"/>
      <c r="L540" s="86"/>
      <c r="M540" s="86"/>
      <c r="O540" s="100"/>
      <c r="P540" s="143"/>
      <c r="Q540" s="102"/>
      <c r="R540" s="103"/>
      <c r="S540" s="144" t="s">
        <v>891</v>
      </c>
      <c r="T540" s="112" t="s">
        <v>892</v>
      </c>
      <c r="U540" s="106" t="s">
        <v>893</v>
      </c>
      <c r="V540" s="107">
        <v>50</v>
      </c>
      <c r="W540" s="108"/>
      <c r="X540" s="109"/>
      <c r="Y540" s="20">
        <f t="shared" si="24"/>
        <v>0</v>
      </c>
      <c r="AA540" s="98">
        <f t="shared" si="22"/>
        <v>0</v>
      </c>
      <c r="AB540" s="98">
        <f t="shared" si="23"/>
        <v>0</v>
      </c>
    </row>
    <row r="541" spans="1:35" ht="22.35" customHeight="1" thickBot="1" x14ac:dyDescent="0.3">
      <c r="A541" s="80"/>
      <c r="B541" s="80"/>
      <c r="F541" s="141"/>
      <c r="H541" s="191"/>
      <c r="I541" s="84"/>
      <c r="K541" s="86"/>
      <c r="L541" s="86"/>
      <c r="M541" s="86"/>
      <c r="O541" s="100"/>
      <c r="P541" s="143"/>
      <c r="Q541" s="102"/>
      <c r="R541" s="103"/>
      <c r="S541" s="144" t="s">
        <v>891</v>
      </c>
      <c r="T541" s="112" t="s">
        <v>892</v>
      </c>
      <c r="U541" s="106" t="s">
        <v>893</v>
      </c>
      <c r="V541" s="107">
        <v>50</v>
      </c>
      <c r="W541" s="108"/>
      <c r="X541" s="109"/>
      <c r="Y541" s="20">
        <f t="shared" si="24"/>
        <v>0</v>
      </c>
      <c r="AA541" s="98">
        <f t="shared" si="22"/>
        <v>0</v>
      </c>
      <c r="AB541" s="98">
        <f t="shared" si="23"/>
        <v>0</v>
      </c>
    </row>
    <row r="542" spans="1:35" ht="22.35" customHeight="1" thickBot="1" x14ac:dyDescent="0.3">
      <c r="A542" s="80"/>
      <c r="B542" s="80"/>
      <c r="F542" s="141"/>
      <c r="H542" s="191"/>
      <c r="I542" s="84"/>
      <c r="K542" s="86"/>
      <c r="L542" s="86"/>
      <c r="M542" s="86"/>
      <c r="O542" s="100"/>
      <c r="P542" s="143"/>
      <c r="Q542" s="102"/>
      <c r="R542" s="103"/>
      <c r="S542" s="144" t="s">
        <v>891</v>
      </c>
      <c r="T542" s="112" t="s">
        <v>892</v>
      </c>
      <c r="U542" s="106" t="s">
        <v>893</v>
      </c>
      <c r="V542" s="107">
        <v>50</v>
      </c>
      <c r="W542" s="108"/>
      <c r="X542" s="109"/>
      <c r="Y542" s="20">
        <f t="shared" si="24"/>
        <v>0</v>
      </c>
      <c r="AA542" s="98">
        <f t="shared" si="22"/>
        <v>0</v>
      </c>
      <c r="AB542" s="98">
        <f t="shared" si="23"/>
        <v>0</v>
      </c>
    </row>
    <row r="543" spans="1:35" ht="22.35" customHeight="1" thickBot="1" x14ac:dyDescent="0.3">
      <c r="A543" s="80"/>
      <c r="B543" s="80"/>
      <c r="F543" s="141"/>
      <c r="H543" s="191"/>
      <c r="I543" s="84"/>
      <c r="K543" s="86"/>
      <c r="L543" s="86"/>
      <c r="M543" s="86"/>
      <c r="O543" s="100"/>
      <c r="P543" s="143"/>
      <c r="Q543" s="102"/>
      <c r="R543" s="103"/>
      <c r="S543" s="144" t="s">
        <v>891</v>
      </c>
      <c r="T543" s="112" t="s">
        <v>892</v>
      </c>
      <c r="U543" s="106" t="s">
        <v>894</v>
      </c>
      <c r="V543" s="107">
        <v>50</v>
      </c>
      <c r="W543" s="108"/>
      <c r="X543" s="109"/>
      <c r="Y543" s="20">
        <f t="shared" si="24"/>
        <v>0</v>
      </c>
      <c r="AA543" s="98">
        <f t="shared" si="22"/>
        <v>0</v>
      </c>
      <c r="AB543" s="98">
        <f t="shared" si="23"/>
        <v>0</v>
      </c>
    </row>
    <row r="544" spans="1:35" ht="22.35" customHeight="1" thickBot="1" x14ac:dyDescent="0.3">
      <c r="A544" s="209"/>
      <c r="B544" s="209"/>
      <c r="C544" s="210"/>
      <c r="D544" s="211"/>
      <c r="E544" s="211"/>
      <c r="F544" s="236"/>
      <c r="G544" s="213"/>
      <c r="H544" s="191"/>
      <c r="I544" s="238"/>
      <c r="J544" s="211"/>
      <c r="K544" s="215"/>
      <c r="L544" s="215"/>
      <c r="M544" s="215"/>
      <c r="N544" s="216"/>
      <c r="O544" s="239"/>
      <c r="P544" s="240"/>
      <c r="Q544" s="154"/>
      <c r="R544" s="241"/>
      <c r="S544" s="242" t="s">
        <v>891</v>
      </c>
      <c r="T544" s="243" t="s">
        <v>892</v>
      </c>
      <c r="U544" s="244" t="s">
        <v>894</v>
      </c>
      <c r="V544" s="233">
        <v>50</v>
      </c>
      <c r="W544" s="108"/>
      <c r="X544" s="109"/>
      <c r="Y544" s="20">
        <f t="shared" si="24"/>
        <v>0</v>
      </c>
      <c r="AA544" s="98">
        <f t="shared" si="22"/>
        <v>0</v>
      </c>
      <c r="AB544" s="98">
        <f t="shared" si="23"/>
        <v>0</v>
      </c>
    </row>
    <row r="545" spans="1:28" ht="22.35" customHeight="1" thickBot="1" x14ac:dyDescent="0.3">
      <c r="A545" s="209" t="s">
        <v>103</v>
      </c>
      <c r="B545" s="209" t="s">
        <v>895</v>
      </c>
      <c r="C545" s="193">
        <v>6</v>
      </c>
      <c r="D545" s="194" t="s">
        <v>896</v>
      </c>
      <c r="E545" s="194" t="s">
        <v>897</v>
      </c>
      <c r="F545" s="227" t="s">
        <v>898</v>
      </c>
      <c r="G545" s="196">
        <v>3</v>
      </c>
      <c r="H545" s="191">
        <v>136.9</v>
      </c>
      <c r="I545" s="196">
        <v>127.05</v>
      </c>
      <c r="J545" s="194" t="s">
        <v>899</v>
      </c>
      <c r="K545" s="198" t="s">
        <v>900</v>
      </c>
      <c r="L545" s="198">
        <v>4</v>
      </c>
      <c r="M545" s="198"/>
      <c r="N545" s="228"/>
      <c r="O545" s="229"/>
      <c r="P545" s="230"/>
      <c r="Q545" s="230"/>
      <c r="R545" s="231">
        <v>144.9</v>
      </c>
      <c r="S545" s="250" t="s">
        <v>901</v>
      </c>
      <c r="T545" s="125" t="str">
        <f>INDEX([1]data!$B$1:$B$100,MATCH('04.02 - 10.02'!S545,[0]!exclusive01,))</f>
        <v>HUONG</v>
      </c>
      <c r="U545" s="244" t="s">
        <v>902</v>
      </c>
      <c r="V545" s="245">
        <v>50</v>
      </c>
      <c r="W545" s="108"/>
      <c r="X545" s="109" t="s">
        <v>45</v>
      </c>
      <c r="Y545" s="20">
        <f t="shared" si="24"/>
        <v>1</v>
      </c>
      <c r="AA545" s="98">
        <f t="shared" si="22"/>
        <v>9.8500000000000085</v>
      </c>
      <c r="AB545" s="98">
        <f t="shared" si="23"/>
        <v>8</v>
      </c>
    </row>
    <row r="546" spans="1:28" ht="22.35" customHeight="1" thickBot="1" x14ac:dyDescent="0.3">
      <c r="A546" s="80" t="s">
        <v>103</v>
      </c>
      <c r="B546" s="80" t="s">
        <v>903</v>
      </c>
      <c r="C546" s="81">
        <v>12</v>
      </c>
      <c r="D546" s="23" t="s">
        <v>904</v>
      </c>
      <c r="E546" s="23" t="s">
        <v>905</v>
      </c>
      <c r="F546" s="141" t="s">
        <v>906</v>
      </c>
      <c r="G546" s="21" t="s">
        <v>108</v>
      </c>
      <c r="H546" s="191">
        <v>53.5</v>
      </c>
      <c r="I546" s="84">
        <v>50.700209999999998</v>
      </c>
      <c r="J546" s="23" t="s">
        <v>907</v>
      </c>
      <c r="K546" s="86" t="s">
        <v>908</v>
      </c>
      <c r="L546" s="86">
        <v>1</v>
      </c>
      <c r="M546" s="86"/>
      <c r="O546" s="88"/>
      <c r="P546" s="136"/>
      <c r="Q546" s="90"/>
      <c r="R546" s="91" t="s">
        <v>909</v>
      </c>
      <c r="S546" s="139" t="s">
        <v>910</v>
      </c>
      <c r="T546" s="140" t="s">
        <v>890</v>
      </c>
      <c r="U546" s="94" t="s">
        <v>911</v>
      </c>
      <c r="V546" s="95">
        <v>51</v>
      </c>
      <c r="W546" s="108"/>
      <c r="X546" s="109" t="s">
        <v>45</v>
      </c>
      <c r="Y546" s="20">
        <f t="shared" si="24"/>
        <v>1</v>
      </c>
      <c r="AA546" s="98">
        <f t="shared" si="22"/>
        <v>2.7997900000000016</v>
      </c>
      <c r="AB546" s="98" t="e">
        <f t="shared" si="23"/>
        <v>#VALUE!</v>
      </c>
    </row>
    <row r="547" spans="1:28" ht="22.35" customHeight="1" thickBot="1" x14ac:dyDescent="0.3">
      <c r="A547" s="80" t="s">
        <v>103</v>
      </c>
      <c r="B547" s="80" t="s">
        <v>912</v>
      </c>
      <c r="C547" s="81">
        <v>12</v>
      </c>
      <c r="D547" s="23" t="s">
        <v>913</v>
      </c>
      <c r="E547" s="23" t="s">
        <v>914</v>
      </c>
      <c r="F547" s="141" t="s">
        <v>915</v>
      </c>
      <c r="G547" s="21">
        <v>1</v>
      </c>
      <c r="H547" s="191">
        <v>56.9</v>
      </c>
      <c r="I547" s="84">
        <v>45.39</v>
      </c>
      <c r="J547" s="23" t="s">
        <v>916</v>
      </c>
      <c r="K547" s="86" t="s">
        <v>917</v>
      </c>
      <c r="L547" s="86">
        <v>1</v>
      </c>
      <c r="M547" s="86"/>
      <c r="O547" s="100"/>
      <c r="P547" s="143"/>
      <c r="Q547" s="102"/>
      <c r="R547" s="103" t="s">
        <v>918</v>
      </c>
      <c r="S547" s="144" t="s">
        <v>910</v>
      </c>
      <c r="T547" s="112" t="s">
        <v>890</v>
      </c>
      <c r="U547" s="94" t="s">
        <v>911</v>
      </c>
      <c r="V547" s="107">
        <v>51</v>
      </c>
      <c r="W547" s="108"/>
      <c r="X547" s="109" t="s">
        <v>50</v>
      </c>
      <c r="Y547" s="20">
        <f t="shared" si="24"/>
        <v>1</v>
      </c>
      <c r="AA547" s="98">
        <f t="shared" si="22"/>
        <v>11.509999999999998</v>
      </c>
      <c r="AB547" s="98" t="e">
        <f t="shared" si="23"/>
        <v>#VALUE!</v>
      </c>
    </row>
    <row r="548" spans="1:28" ht="22.35" customHeight="1" thickBot="1" x14ac:dyDescent="0.3">
      <c r="A548" s="80" t="s">
        <v>103</v>
      </c>
      <c r="B548" s="80" t="s">
        <v>919</v>
      </c>
      <c r="C548" s="81">
        <v>12</v>
      </c>
      <c r="D548" s="23" t="s">
        <v>920</v>
      </c>
      <c r="E548" s="23" t="s">
        <v>921</v>
      </c>
      <c r="F548" s="141" t="s">
        <v>722</v>
      </c>
      <c r="G548" s="21">
        <v>1</v>
      </c>
      <c r="H548" s="191">
        <v>44.9</v>
      </c>
      <c r="I548" s="84">
        <v>39.81</v>
      </c>
      <c r="J548" s="23" t="s">
        <v>743</v>
      </c>
      <c r="K548" s="86" t="s">
        <v>922</v>
      </c>
      <c r="L548" s="86">
        <v>2</v>
      </c>
      <c r="M548" s="86"/>
      <c r="O548" s="100"/>
      <c r="P548" s="143"/>
      <c r="Q548" s="102"/>
      <c r="R548" s="103" t="s">
        <v>923</v>
      </c>
      <c r="S548" s="144" t="s">
        <v>910</v>
      </c>
      <c r="T548" s="112" t="s">
        <v>890</v>
      </c>
      <c r="U548" s="106" t="s">
        <v>924</v>
      </c>
      <c r="V548" s="107">
        <v>51</v>
      </c>
      <c r="W548" s="108"/>
      <c r="X548" s="109" t="s">
        <v>55</v>
      </c>
      <c r="Y548" s="20">
        <f t="shared" si="24"/>
        <v>1</v>
      </c>
      <c r="AA548" s="98">
        <f t="shared" si="22"/>
        <v>5.0899999999999963</v>
      </c>
      <c r="AB548" s="98" t="e">
        <f t="shared" si="23"/>
        <v>#VALUE!</v>
      </c>
    </row>
    <row r="549" spans="1:28" ht="22.35" customHeight="1" thickBot="1" x14ac:dyDescent="0.3">
      <c r="A549" s="80"/>
      <c r="B549" s="80"/>
      <c r="F549" s="141"/>
      <c r="H549" s="191"/>
      <c r="I549" s="84"/>
      <c r="K549" s="86"/>
      <c r="L549" s="86"/>
      <c r="M549" s="86"/>
      <c r="O549" s="100"/>
      <c r="P549" s="143"/>
      <c r="Q549" s="102"/>
      <c r="R549" s="103"/>
      <c r="S549" s="144" t="s">
        <v>910</v>
      </c>
      <c r="T549" s="112" t="s">
        <v>890</v>
      </c>
      <c r="U549" s="106" t="s">
        <v>925</v>
      </c>
      <c r="V549" s="107">
        <v>51</v>
      </c>
      <c r="W549" s="108"/>
      <c r="X549" s="109"/>
      <c r="Y549" s="20">
        <f t="shared" si="24"/>
        <v>0</v>
      </c>
      <c r="AA549" s="98">
        <f t="shared" si="22"/>
        <v>0</v>
      </c>
      <c r="AB549" s="98">
        <f t="shared" si="23"/>
        <v>0</v>
      </c>
    </row>
    <row r="550" spans="1:28" ht="22.35" customHeight="1" thickBot="1" x14ac:dyDescent="0.3">
      <c r="A550" s="80" t="s">
        <v>103</v>
      </c>
      <c r="B550" s="80" t="s">
        <v>926</v>
      </c>
      <c r="C550" s="81">
        <v>1</v>
      </c>
      <c r="D550" s="23" t="s">
        <v>927</v>
      </c>
      <c r="E550" s="23" t="s">
        <v>928</v>
      </c>
      <c r="F550" s="141" t="s">
        <v>929</v>
      </c>
      <c r="G550" s="21">
        <v>1</v>
      </c>
      <c r="H550" s="191">
        <v>68.900000000000006</v>
      </c>
      <c r="I550" s="84">
        <v>65.34</v>
      </c>
      <c r="J550" s="23" t="s">
        <v>930</v>
      </c>
      <c r="K550" s="86" t="s">
        <v>931</v>
      </c>
      <c r="L550" s="86">
        <v>1</v>
      </c>
      <c r="M550" s="86"/>
      <c r="O550" s="100"/>
      <c r="P550" s="143"/>
      <c r="Q550" s="102"/>
      <c r="R550" s="103" t="s">
        <v>932</v>
      </c>
      <c r="S550" s="144" t="s">
        <v>910</v>
      </c>
      <c r="T550" s="112" t="s">
        <v>890</v>
      </c>
      <c r="U550" s="106"/>
      <c r="V550" s="107">
        <v>51</v>
      </c>
      <c r="W550" s="108"/>
      <c r="X550" s="109" t="s">
        <v>59</v>
      </c>
      <c r="Y550" s="20">
        <f t="shared" si="24"/>
        <v>1</v>
      </c>
      <c r="AA550" s="98">
        <f t="shared" si="22"/>
        <v>3.5600000000000023</v>
      </c>
      <c r="AB550" s="98" t="e">
        <f t="shared" si="23"/>
        <v>#VALUE!</v>
      </c>
    </row>
    <row r="551" spans="1:28" ht="22.35" customHeight="1" thickBot="1" x14ac:dyDescent="0.3">
      <c r="A551" s="80" t="s">
        <v>103</v>
      </c>
      <c r="B551" s="80" t="s">
        <v>933</v>
      </c>
      <c r="C551" s="81">
        <v>10</v>
      </c>
      <c r="D551" s="23" t="s">
        <v>934</v>
      </c>
      <c r="E551" s="23" t="s">
        <v>935</v>
      </c>
      <c r="F551" s="141" t="s">
        <v>709</v>
      </c>
      <c r="G551" s="21">
        <v>5</v>
      </c>
      <c r="H551" s="191">
        <v>24.9</v>
      </c>
      <c r="I551" s="84">
        <v>23.59984</v>
      </c>
      <c r="J551" s="23" t="s">
        <v>936</v>
      </c>
      <c r="K551" s="86" t="s">
        <v>937</v>
      </c>
      <c r="L551" s="86">
        <v>1</v>
      </c>
      <c r="M551" s="86"/>
      <c r="O551" s="100"/>
      <c r="P551" s="143"/>
      <c r="Q551" s="102"/>
      <c r="R551" s="103" t="s">
        <v>938</v>
      </c>
      <c r="S551" s="144" t="s">
        <v>910</v>
      </c>
      <c r="T551" s="112" t="s">
        <v>890</v>
      </c>
      <c r="U551" s="106"/>
      <c r="V551" s="107">
        <v>51</v>
      </c>
      <c r="W551" s="108"/>
      <c r="X551" s="109" t="s">
        <v>63</v>
      </c>
      <c r="Y551" s="20">
        <f t="shared" si="24"/>
        <v>1</v>
      </c>
      <c r="AA551" s="98">
        <f t="shared" si="22"/>
        <v>1.3001599999999982</v>
      </c>
      <c r="AB551" s="98" t="e">
        <f t="shared" si="23"/>
        <v>#VALUE!</v>
      </c>
    </row>
    <row r="552" spans="1:28" ht="22.35" customHeight="1" thickBot="1" x14ac:dyDescent="0.3">
      <c r="A552" s="80" t="s">
        <v>103</v>
      </c>
      <c r="B552" s="80" t="s">
        <v>939</v>
      </c>
      <c r="C552" s="81">
        <v>10</v>
      </c>
      <c r="D552" s="23" t="s">
        <v>940</v>
      </c>
      <c r="E552" s="23" t="s">
        <v>941</v>
      </c>
      <c r="F552" s="141" t="s">
        <v>175</v>
      </c>
      <c r="G552" s="21">
        <v>1</v>
      </c>
      <c r="H552" s="191">
        <v>31.5</v>
      </c>
      <c r="I552" s="84">
        <v>29.65</v>
      </c>
      <c r="J552" s="23" t="s">
        <v>942</v>
      </c>
      <c r="K552" s="86" t="s">
        <v>943</v>
      </c>
      <c r="L552" s="86">
        <v>1</v>
      </c>
      <c r="M552" s="86"/>
      <c r="O552" s="100"/>
      <c r="P552" s="143"/>
      <c r="Q552" s="102"/>
      <c r="R552" s="103" t="s">
        <v>477</v>
      </c>
      <c r="S552" s="144" t="s">
        <v>910</v>
      </c>
      <c r="T552" s="112" t="s">
        <v>890</v>
      </c>
      <c r="U552" s="106" t="s">
        <v>944</v>
      </c>
      <c r="V552" s="107">
        <v>51</v>
      </c>
      <c r="W552" s="108"/>
      <c r="X552" s="109" t="s">
        <v>66</v>
      </c>
      <c r="Y552" s="20">
        <f t="shared" si="24"/>
        <v>1</v>
      </c>
      <c r="AA552" s="98">
        <f t="shared" si="22"/>
        <v>1.8500000000000014</v>
      </c>
      <c r="AB552" s="98" t="e">
        <f t="shared" si="23"/>
        <v>#VALUE!</v>
      </c>
    </row>
    <row r="553" spans="1:28" ht="22.35" customHeight="1" thickBot="1" x14ac:dyDescent="0.3">
      <c r="A553" s="209" t="s">
        <v>103</v>
      </c>
      <c r="B553" s="209" t="s">
        <v>945</v>
      </c>
      <c r="C553" s="210">
        <v>16</v>
      </c>
      <c r="D553" s="211" t="s">
        <v>946</v>
      </c>
      <c r="E553" s="211" t="s">
        <v>947</v>
      </c>
      <c r="F553" s="236" t="s">
        <v>948</v>
      </c>
      <c r="G553" s="213">
        <v>2</v>
      </c>
      <c r="H553" s="191">
        <v>29.9</v>
      </c>
      <c r="I553" s="238">
        <v>27.71</v>
      </c>
      <c r="J553" s="211" t="s">
        <v>743</v>
      </c>
      <c r="K553" s="215" t="s">
        <v>949</v>
      </c>
      <c r="L553" s="215">
        <v>1</v>
      </c>
      <c r="M553" s="215"/>
      <c r="N553" s="216"/>
      <c r="O553" s="239"/>
      <c r="P553" s="240"/>
      <c r="Q553" s="154"/>
      <c r="R553" s="241" t="s">
        <v>791</v>
      </c>
      <c r="S553" s="242" t="s">
        <v>910</v>
      </c>
      <c r="T553" s="243" t="s">
        <v>890</v>
      </c>
      <c r="U553" s="125" t="s">
        <v>944</v>
      </c>
      <c r="V553" s="233">
        <v>51</v>
      </c>
      <c r="W553" s="108"/>
      <c r="X553" s="109" t="s">
        <v>70</v>
      </c>
      <c r="Y553" s="20">
        <f t="shared" si="24"/>
        <v>1</v>
      </c>
      <c r="AA553" s="98">
        <f t="shared" si="22"/>
        <v>2.1899999999999977</v>
      </c>
      <c r="AB553" s="98" t="e">
        <f t="shared" si="23"/>
        <v>#VALUE!</v>
      </c>
    </row>
    <row r="554" spans="1:28" ht="22.35" customHeight="1" thickBot="1" x14ac:dyDescent="0.3">
      <c r="A554" s="285" t="s">
        <v>103</v>
      </c>
      <c r="B554" s="285" t="s">
        <v>950</v>
      </c>
      <c r="C554" s="286">
        <v>4</v>
      </c>
      <c r="D554" s="287" t="s">
        <v>951</v>
      </c>
      <c r="E554" s="287" t="s">
        <v>952</v>
      </c>
      <c r="F554" s="288" t="s">
        <v>929</v>
      </c>
      <c r="G554" s="289">
        <v>1</v>
      </c>
      <c r="H554" s="191">
        <v>279.89999999999998</v>
      </c>
      <c r="I554" s="289">
        <v>266.77999999999997</v>
      </c>
      <c r="J554" s="287" t="s">
        <v>953</v>
      </c>
      <c r="K554" s="291" t="s">
        <v>954</v>
      </c>
      <c r="L554" s="291">
        <v>4</v>
      </c>
      <c r="M554" s="291"/>
      <c r="N554" s="292"/>
      <c r="O554" s="293"/>
      <c r="P554" s="294"/>
      <c r="Q554" s="294"/>
      <c r="R554" s="295" t="s">
        <v>955</v>
      </c>
      <c r="S554" s="226" t="s">
        <v>956</v>
      </c>
      <c r="T554" s="94" t="s">
        <v>890</v>
      </c>
      <c r="U554" s="106" t="s">
        <v>957</v>
      </c>
      <c r="V554" s="107">
        <v>51</v>
      </c>
      <c r="W554" s="108"/>
      <c r="X554" s="109" t="s">
        <v>117</v>
      </c>
      <c r="Y554" s="20">
        <f t="shared" si="24"/>
        <v>1</v>
      </c>
      <c r="AA554" s="98">
        <f t="shared" si="22"/>
        <v>13.120000000000005</v>
      </c>
      <c r="AB554" s="98" t="e">
        <f t="shared" si="23"/>
        <v>#VALUE!</v>
      </c>
    </row>
    <row r="555" spans="1:28" ht="22.35" customHeight="1" thickBot="1" x14ac:dyDescent="0.3">
      <c r="A555" s="209" t="s">
        <v>103</v>
      </c>
      <c r="B555" s="209" t="s">
        <v>958</v>
      </c>
      <c r="C555" s="210">
        <v>10</v>
      </c>
      <c r="D555" s="211" t="s">
        <v>959</v>
      </c>
      <c r="E555" s="211" t="s">
        <v>960</v>
      </c>
      <c r="F555" s="212" t="s">
        <v>961</v>
      </c>
      <c r="G555" s="213">
        <v>4</v>
      </c>
      <c r="H555" s="191">
        <v>39.9</v>
      </c>
      <c r="I555" s="213">
        <v>37.389000000000003</v>
      </c>
      <c r="J555" s="211" t="s">
        <v>962</v>
      </c>
      <c r="K555" s="215" t="s">
        <v>963</v>
      </c>
      <c r="L555" s="215">
        <v>4</v>
      </c>
      <c r="M555" s="215"/>
      <c r="N555" s="216"/>
      <c r="O555" s="247"/>
      <c r="P555" s="248"/>
      <c r="Q555" s="248"/>
      <c r="R555" s="249">
        <v>41.9</v>
      </c>
      <c r="S555" s="232" t="s">
        <v>962</v>
      </c>
      <c r="T555" s="125" t="s">
        <v>890</v>
      </c>
      <c r="U555" s="125" t="s">
        <v>964</v>
      </c>
      <c r="V555" s="233">
        <v>51</v>
      </c>
      <c r="W555" s="108"/>
      <c r="X555" s="109" t="s">
        <v>119</v>
      </c>
      <c r="Y555" s="20">
        <f t="shared" si="24"/>
        <v>1</v>
      </c>
      <c r="AA555" s="98">
        <f t="shared" si="22"/>
        <v>2.5109999999999957</v>
      </c>
      <c r="AB555" s="98">
        <f t="shared" si="23"/>
        <v>2</v>
      </c>
    </row>
    <row r="556" spans="1:28" ht="22.35" customHeight="1" thickBot="1" x14ac:dyDescent="0.3">
      <c r="A556" s="80" t="s">
        <v>965</v>
      </c>
      <c r="B556" s="80" t="s">
        <v>966</v>
      </c>
      <c r="C556" s="81">
        <v>10</v>
      </c>
      <c r="D556" s="23" t="s">
        <v>934</v>
      </c>
      <c r="E556" s="23" t="s">
        <v>967</v>
      </c>
      <c r="F556" s="141" t="s">
        <v>968</v>
      </c>
      <c r="G556" s="21">
        <v>4</v>
      </c>
      <c r="H556" s="191">
        <v>21.9</v>
      </c>
      <c r="I556" s="84">
        <v>21.02</v>
      </c>
      <c r="J556" s="23" t="s">
        <v>936</v>
      </c>
      <c r="K556" s="86" t="s">
        <v>969</v>
      </c>
      <c r="L556" s="86">
        <v>1</v>
      </c>
      <c r="M556" s="86"/>
      <c r="O556" s="88"/>
      <c r="P556" s="136"/>
      <c r="Q556" s="90"/>
      <c r="R556" s="91" t="s">
        <v>970</v>
      </c>
      <c r="S556" s="139" t="s">
        <v>910</v>
      </c>
      <c r="T556" s="140" t="s">
        <v>890</v>
      </c>
      <c r="U556" s="94" t="s">
        <v>964</v>
      </c>
      <c r="V556" s="95">
        <v>52</v>
      </c>
      <c r="W556" s="108"/>
      <c r="X556" s="109" t="s">
        <v>45</v>
      </c>
      <c r="Y556" s="20">
        <f t="shared" si="24"/>
        <v>1</v>
      </c>
      <c r="AA556" s="98">
        <f t="shared" si="22"/>
        <v>0.87999999999999901</v>
      </c>
      <c r="AB556" s="98" t="e">
        <f t="shared" si="23"/>
        <v>#VALUE!</v>
      </c>
    </row>
    <row r="557" spans="1:28" ht="22.35" customHeight="1" thickBot="1" x14ac:dyDescent="0.3">
      <c r="A557" s="80" t="s">
        <v>103</v>
      </c>
      <c r="B557" s="80" t="s">
        <v>971</v>
      </c>
      <c r="C557" s="81">
        <v>12</v>
      </c>
      <c r="D557" s="23" t="s">
        <v>972</v>
      </c>
      <c r="E557" s="23" t="s">
        <v>973</v>
      </c>
      <c r="F557" s="141"/>
      <c r="G557" s="21">
        <v>2</v>
      </c>
      <c r="H557" s="191">
        <v>69.900000000000006</v>
      </c>
      <c r="I557" s="84">
        <v>65.91</v>
      </c>
      <c r="J557" s="23" t="s">
        <v>830</v>
      </c>
      <c r="K557" s="86" t="s">
        <v>974</v>
      </c>
      <c r="L557" s="86">
        <v>2</v>
      </c>
      <c r="M557" s="86"/>
      <c r="O557" s="100"/>
      <c r="P557" s="143"/>
      <c r="Q557" s="102"/>
      <c r="R557" s="103" t="s">
        <v>932</v>
      </c>
      <c r="S557" s="144" t="s">
        <v>910</v>
      </c>
      <c r="T557" s="112" t="s">
        <v>890</v>
      </c>
      <c r="U557" s="106" t="s">
        <v>975</v>
      </c>
      <c r="V557" s="107">
        <v>52</v>
      </c>
      <c r="W557" s="108"/>
      <c r="X557" s="109" t="s">
        <v>50</v>
      </c>
      <c r="Y557" s="20">
        <f t="shared" si="24"/>
        <v>1</v>
      </c>
      <c r="AA557" s="98">
        <f t="shared" si="22"/>
        <v>3.9900000000000091</v>
      </c>
      <c r="AB557" s="98" t="e">
        <f t="shared" si="23"/>
        <v>#VALUE!</v>
      </c>
    </row>
    <row r="558" spans="1:28" ht="22.35" customHeight="1" thickBot="1" x14ac:dyDescent="0.3">
      <c r="A558" s="80"/>
      <c r="B558" s="80"/>
      <c r="F558" s="141"/>
      <c r="H558" s="191"/>
      <c r="I558" s="84"/>
      <c r="K558" s="86"/>
      <c r="L558" s="86"/>
      <c r="M558" s="86"/>
      <c r="O558" s="100"/>
      <c r="P558" s="143"/>
      <c r="Q558" s="102"/>
      <c r="R558" s="103"/>
      <c r="S558" s="144" t="s">
        <v>910</v>
      </c>
      <c r="T558" s="112" t="s">
        <v>890</v>
      </c>
      <c r="U558" s="106" t="s">
        <v>976</v>
      </c>
      <c r="V558" s="107">
        <v>52</v>
      </c>
      <c r="W558" s="108"/>
      <c r="X558" s="109"/>
      <c r="Y558" s="20">
        <f t="shared" si="24"/>
        <v>0</v>
      </c>
      <c r="AA558" s="98">
        <f t="shared" ref="AA558:AA621" si="25">H558-I558</f>
        <v>0</v>
      </c>
      <c r="AB558" s="98">
        <f t="shared" ref="AB558:AB621" si="26">R558-H558</f>
        <v>0</v>
      </c>
    </row>
    <row r="559" spans="1:28" ht="22.35" customHeight="1" thickBot="1" x14ac:dyDescent="0.3">
      <c r="A559" s="80" t="s">
        <v>103</v>
      </c>
      <c r="B559" s="80" t="s">
        <v>977</v>
      </c>
      <c r="C559" s="81">
        <v>4</v>
      </c>
      <c r="D559" s="23" t="s">
        <v>978</v>
      </c>
      <c r="E559" s="23" t="s">
        <v>979</v>
      </c>
      <c r="F559" s="141" t="s">
        <v>980</v>
      </c>
      <c r="G559" s="21">
        <v>3</v>
      </c>
      <c r="H559" s="191">
        <v>169.9</v>
      </c>
      <c r="I559" s="84">
        <v>160.93</v>
      </c>
      <c r="J559" s="23" t="s">
        <v>981</v>
      </c>
      <c r="K559" s="86" t="s">
        <v>982</v>
      </c>
      <c r="L559" s="86">
        <v>1</v>
      </c>
      <c r="M559" s="86"/>
      <c r="O559" s="100"/>
      <c r="P559" s="143"/>
      <c r="Q559" s="102"/>
      <c r="R559" s="103" t="s">
        <v>983</v>
      </c>
      <c r="S559" s="144" t="s">
        <v>910</v>
      </c>
      <c r="T559" s="112" t="s">
        <v>890</v>
      </c>
      <c r="U559" s="106" t="s">
        <v>984</v>
      </c>
      <c r="V559" s="107">
        <v>52</v>
      </c>
      <c r="W559" s="108"/>
      <c r="X559" s="109" t="s">
        <v>55</v>
      </c>
      <c r="Y559" s="20">
        <f t="shared" si="24"/>
        <v>1</v>
      </c>
      <c r="AA559" s="98">
        <f t="shared" si="25"/>
        <v>8.9699999999999989</v>
      </c>
      <c r="AB559" s="98" t="e">
        <f t="shared" si="26"/>
        <v>#VALUE!</v>
      </c>
    </row>
    <row r="560" spans="1:28" ht="22.35" customHeight="1" thickBot="1" x14ac:dyDescent="0.3">
      <c r="A560" s="80" t="s">
        <v>103</v>
      </c>
      <c r="B560" s="80" t="s">
        <v>985</v>
      </c>
      <c r="C560" s="81">
        <v>8</v>
      </c>
      <c r="D560" s="23" t="s">
        <v>986</v>
      </c>
      <c r="E560" s="23" t="s">
        <v>987</v>
      </c>
      <c r="F560" s="141" t="s">
        <v>709</v>
      </c>
      <c r="G560" s="21">
        <v>3</v>
      </c>
      <c r="H560" s="191">
        <v>55.9</v>
      </c>
      <c r="I560" s="84">
        <v>53.12</v>
      </c>
      <c r="J560" s="23" t="s">
        <v>988</v>
      </c>
      <c r="K560" s="86" t="s">
        <v>989</v>
      </c>
      <c r="L560" s="86">
        <v>1</v>
      </c>
      <c r="M560" s="86"/>
      <c r="O560" s="100"/>
      <c r="P560" s="143"/>
      <c r="Q560" s="102"/>
      <c r="R560" s="103" t="s">
        <v>909</v>
      </c>
      <c r="S560" s="144" t="s">
        <v>910</v>
      </c>
      <c r="T560" s="112" t="s">
        <v>890</v>
      </c>
      <c r="U560" s="106"/>
      <c r="V560" s="107">
        <v>52</v>
      </c>
      <c r="W560" s="108"/>
      <c r="X560" s="109" t="s">
        <v>59</v>
      </c>
      <c r="Y560" s="20">
        <f t="shared" si="24"/>
        <v>1</v>
      </c>
      <c r="AA560" s="98">
        <f t="shared" si="25"/>
        <v>2.7800000000000011</v>
      </c>
      <c r="AB560" s="98" t="e">
        <f t="shared" si="26"/>
        <v>#VALUE!</v>
      </c>
    </row>
    <row r="561" spans="1:28" ht="22.35" customHeight="1" thickBot="1" x14ac:dyDescent="0.3">
      <c r="A561" s="80" t="s">
        <v>103</v>
      </c>
      <c r="B561" s="80" t="s">
        <v>990</v>
      </c>
      <c r="C561" s="81">
        <v>6</v>
      </c>
      <c r="D561" s="23" t="s">
        <v>991</v>
      </c>
      <c r="E561" s="23" t="s">
        <v>992</v>
      </c>
      <c r="F561" s="141" t="s">
        <v>709</v>
      </c>
      <c r="G561" s="21" t="s">
        <v>89</v>
      </c>
      <c r="H561" s="191">
        <v>16.5</v>
      </c>
      <c r="I561" s="84">
        <v>15.79</v>
      </c>
      <c r="J561" s="23" t="s">
        <v>993</v>
      </c>
      <c r="K561" s="86" t="s">
        <v>994</v>
      </c>
      <c r="L561" s="86">
        <v>1</v>
      </c>
      <c r="M561" s="86"/>
      <c r="O561" s="100"/>
      <c r="P561" s="143"/>
      <c r="Q561" s="102"/>
      <c r="R561" s="103" t="s">
        <v>995</v>
      </c>
      <c r="S561" s="144" t="s">
        <v>910</v>
      </c>
      <c r="T561" s="112" t="s">
        <v>890</v>
      </c>
      <c r="U561" s="106"/>
      <c r="V561" s="107">
        <v>52</v>
      </c>
      <c r="W561" s="108"/>
      <c r="X561" s="109" t="s">
        <v>63</v>
      </c>
      <c r="Y561" s="20">
        <f t="shared" si="24"/>
        <v>1</v>
      </c>
      <c r="AA561" s="98">
        <f t="shared" si="25"/>
        <v>0.71000000000000085</v>
      </c>
      <c r="AB561" s="98" t="e">
        <f t="shared" si="26"/>
        <v>#VALUE!</v>
      </c>
    </row>
    <row r="562" spans="1:28" ht="22.35" customHeight="1" thickBot="1" x14ac:dyDescent="0.3">
      <c r="A562" s="80" t="s">
        <v>103</v>
      </c>
      <c r="B562" s="80" t="s">
        <v>996</v>
      </c>
      <c r="C562" s="81">
        <v>12</v>
      </c>
      <c r="D562" s="23" t="s">
        <v>997</v>
      </c>
      <c r="E562" s="23" t="s">
        <v>998</v>
      </c>
      <c r="F562" s="141" t="s">
        <v>915</v>
      </c>
      <c r="G562" s="21">
        <v>2</v>
      </c>
      <c r="H562" s="191">
        <v>71.900000000000006</v>
      </c>
      <c r="I562" s="84">
        <v>67.91</v>
      </c>
      <c r="J562" s="23" t="s">
        <v>899</v>
      </c>
      <c r="K562" s="86" t="s">
        <v>999</v>
      </c>
      <c r="L562" s="86">
        <v>1</v>
      </c>
      <c r="M562" s="86"/>
      <c r="O562" s="100"/>
      <c r="P562" s="143"/>
      <c r="Q562" s="102"/>
      <c r="R562" s="103" t="s">
        <v>1000</v>
      </c>
      <c r="S562" s="144" t="s">
        <v>910</v>
      </c>
      <c r="T562" s="112" t="s">
        <v>890</v>
      </c>
      <c r="U562" s="106" t="s">
        <v>1001</v>
      </c>
      <c r="V562" s="107">
        <v>52</v>
      </c>
      <c r="W562" s="108"/>
      <c r="X562" s="109" t="s">
        <v>179</v>
      </c>
      <c r="Y562" s="20">
        <f t="shared" si="24"/>
        <v>1</v>
      </c>
      <c r="AA562" s="98">
        <f t="shared" si="25"/>
        <v>3.9900000000000091</v>
      </c>
      <c r="AB562" s="98" t="e">
        <f t="shared" si="26"/>
        <v>#VALUE!</v>
      </c>
    </row>
    <row r="563" spans="1:28" ht="22.35" customHeight="1" thickBot="1" x14ac:dyDescent="0.3">
      <c r="A563" s="209" t="s">
        <v>297</v>
      </c>
      <c r="B563" s="209" t="s">
        <v>1002</v>
      </c>
      <c r="C563" s="210">
        <v>8</v>
      </c>
      <c r="D563" s="211" t="s">
        <v>1003</v>
      </c>
      <c r="E563" s="211" t="s">
        <v>1004</v>
      </c>
      <c r="F563" s="236" t="s">
        <v>1005</v>
      </c>
      <c r="G563" s="213">
        <v>2</v>
      </c>
      <c r="H563" s="191">
        <v>119.9</v>
      </c>
      <c r="I563" s="238">
        <v>92.17</v>
      </c>
      <c r="J563" s="211" t="s">
        <v>916</v>
      </c>
      <c r="K563" s="215" t="s">
        <v>1006</v>
      </c>
      <c r="L563" s="215">
        <v>1</v>
      </c>
      <c r="M563" s="215"/>
      <c r="N563" s="216"/>
      <c r="O563" s="239"/>
      <c r="P563" s="240"/>
      <c r="Q563" s="154"/>
      <c r="R563" s="241" t="s">
        <v>1007</v>
      </c>
      <c r="S563" s="242" t="s">
        <v>910</v>
      </c>
      <c r="T563" s="243" t="s">
        <v>890</v>
      </c>
      <c r="U563" s="106" t="s">
        <v>1008</v>
      </c>
      <c r="V563" s="233">
        <v>52</v>
      </c>
      <c r="W563" s="108"/>
      <c r="X563" s="109" t="s">
        <v>70</v>
      </c>
      <c r="Y563" s="20">
        <f t="shared" si="24"/>
        <v>1</v>
      </c>
      <c r="AA563" s="98">
        <f t="shared" si="25"/>
        <v>27.730000000000004</v>
      </c>
      <c r="AB563" s="98" t="e">
        <f t="shared" si="26"/>
        <v>#VALUE!</v>
      </c>
    </row>
    <row r="564" spans="1:28" ht="22.35" customHeight="1" thickBot="1" x14ac:dyDescent="0.3">
      <c r="A564" s="285" t="s">
        <v>1009</v>
      </c>
      <c r="B564" s="285" t="s">
        <v>1010</v>
      </c>
      <c r="C564" s="286">
        <v>10</v>
      </c>
      <c r="D564" s="287" t="s">
        <v>1011</v>
      </c>
      <c r="E564" s="287" t="s">
        <v>1012</v>
      </c>
      <c r="F564" s="288" t="s">
        <v>948</v>
      </c>
      <c r="G564" s="289" t="s">
        <v>108</v>
      </c>
      <c r="H564" s="191">
        <v>64.900000000000006</v>
      </c>
      <c r="I564" s="289">
        <v>48.293999999999997</v>
      </c>
      <c r="J564" s="287" t="s">
        <v>1013</v>
      </c>
      <c r="K564" s="291" t="s">
        <v>1014</v>
      </c>
      <c r="L564" s="291">
        <v>4</v>
      </c>
      <c r="M564" s="291"/>
      <c r="N564" s="292"/>
      <c r="O564" s="293"/>
      <c r="P564" s="294"/>
      <c r="Q564" s="294"/>
      <c r="R564" s="295" t="s">
        <v>1015</v>
      </c>
      <c r="S564" s="296" t="s">
        <v>1016</v>
      </c>
      <c r="T564" s="94" t="s">
        <v>890</v>
      </c>
      <c r="U564" s="297" t="s">
        <v>1008</v>
      </c>
      <c r="V564" s="298">
        <v>52</v>
      </c>
      <c r="W564" s="108"/>
      <c r="X564" s="109" t="s">
        <v>117</v>
      </c>
      <c r="Y564" s="20">
        <f t="shared" si="24"/>
        <v>1</v>
      </c>
      <c r="AA564" s="98">
        <f t="shared" si="25"/>
        <v>16.606000000000009</v>
      </c>
      <c r="AB564" s="98" t="e">
        <f t="shared" si="26"/>
        <v>#VALUE!</v>
      </c>
    </row>
    <row r="565" spans="1:28" ht="22.35" customHeight="1" thickBot="1" x14ac:dyDescent="0.3">
      <c r="A565" s="209" t="s">
        <v>297</v>
      </c>
      <c r="B565" s="209" t="s">
        <v>1017</v>
      </c>
      <c r="C565" s="210">
        <v>16</v>
      </c>
      <c r="D565" s="211" t="s">
        <v>1018</v>
      </c>
      <c r="E565" s="211" t="s">
        <v>1019</v>
      </c>
      <c r="F565" s="212" t="s">
        <v>948</v>
      </c>
      <c r="G565" s="213">
        <v>1</v>
      </c>
      <c r="H565" s="191">
        <v>64.900000000000006</v>
      </c>
      <c r="I565" s="213">
        <v>61.63</v>
      </c>
      <c r="J565" s="211" t="s">
        <v>743</v>
      </c>
      <c r="K565" s="215" t="s">
        <v>1020</v>
      </c>
      <c r="L565" s="215">
        <v>4</v>
      </c>
      <c r="M565" s="215"/>
      <c r="N565" s="216"/>
      <c r="O565" s="247"/>
      <c r="P565" s="248"/>
      <c r="Q565" s="248"/>
      <c r="R565" s="249" t="s">
        <v>1021</v>
      </c>
      <c r="S565" s="250" t="s">
        <v>1022</v>
      </c>
      <c r="T565" s="125" t="s">
        <v>890</v>
      </c>
      <c r="U565" s="244" t="s">
        <v>1023</v>
      </c>
      <c r="V565" s="245">
        <v>52</v>
      </c>
      <c r="W565" s="108"/>
      <c r="X565" s="109" t="s">
        <v>119</v>
      </c>
      <c r="Y565" s="20">
        <f t="shared" si="24"/>
        <v>1</v>
      </c>
      <c r="AA565" s="98">
        <f t="shared" si="25"/>
        <v>3.2700000000000031</v>
      </c>
      <c r="AB565" s="98" t="e">
        <f t="shared" si="26"/>
        <v>#VALUE!</v>
      </c>
    </row>
    <row r="566" spans="1:28" ht="22.35" customHeight="1" thickBot="1" x14ac:dyDescent="0.3">
      <c r="A566" s="80" t="s">
        <v>103</v>
      </c>
      <c r="B566" s="80" t="s">
        <v>1024</v>
      </c>
      <c r="C566" s="81">
        <v>6</v>
      </c>
      <c r="D566" s="23" t="s">
        <v>1025</v>
      </c>
      <c r="F566" s="141" t="s">
        <v>722</v>
      </c>
      <c r="G566" s="21">
        <v>1</v>
      </c>
      <c r="H566" s="191">
        <v>29.9</v>
      </c>
      <c r="I566" s="84">
        <v>28.36</v>
      </c>
      <c r="J566" s="23" t="s">
        <v>1026</v>
      </c>
      <c r="K566" s="86" t="s">
        <v>1027</v>
      </c>
      <c r="L566" s="86">
        <v>1</v>
      </c>
      <c r="M566" s="86"/>
      <c r="O566" s="88"/>
      <c r="P566" s="136"/>
      <c r="Q566" s="90"/>
      <c r="R566" s="91" t="s">
        <v>1028</v>
      </c>
      <c r="S566" s="139" t="s">
        <v>910</v>
      </c>
      <c r="T566" s="140" t="s">
        <v>890</v>
      </c>
      <c r="U566" s="94" t="s">
        <v>1029</v>
      </c>
      <c r="V566" s="95">
        <v>53</v>
      </c>
      <c r="W566" s="108"/>
      <c r="X566" s="109" t="s">
        <v>45</v>
      </c>
      <c r="Y566" s="20">
        <f t="shared" si="24"/>
        <v>1</v>
      </c>
      <c r="AA566" s="98">
        <f t="shared" si="25"/>
        <v>1.5399999999999991</v>
      </c>
      <c r="AB566" s="98" t="e">
        <f t="shared" si="26"/>
        <v>#VALUE!</v>
      </c>
    </row>
    <row r="567" spans="1:28" ht="22.35" customHeight="1" thickBot="1" x14ac:dyDescent="0.3">
      <c r="A567" s="80" t="s">
        <v>103</v>
      </c>
      <c r="B567" s="80" t="s">
        <v>1030</v>
      </c>
      <c r="C567" s="81">
        <v>6</v>
      </c>
      <c r="D567" s="23" t="s">
        <v>1031</v>
      </c>
      <c r="E567" s="23" t="s">
        <v>1032</v>
      </c>
      <c r="F567" s="141" t="s">
        <v>1033</v>
      </c>
      <c r="G567" s="21">
        <v>1</v>
      </c>
      <c r="H567" s="191">
        <v>76.900000000000006</v>
      </c>
      <c r="I567" s="84">
        <v>72.040000000000006</v>
      </c>
      <c r="J567" s="23" t="s">
        <v>953</v>
      </c>
      <c r="K567" s="86" t="s">
        <v>1034</v>
      </c>
      <c r="L567" s="86">
        <v>1</v>
      </c>
      <c r="M567" s="86"/>
      <c r="O567" s="100"/>
      <c r="P567" s="143"/>
      <c r="Q567" s="102"/>
      <c r="R567" s="103" t="s">
        <v>1035</v>
      </c>
      <c r="S567" s="144" t="s">
        <v>910</v>
      </c>
      <c r="T567" s="112" t="s">
        <v>890</v>
      </c>
      <c r="U567" s="106" t="s">
        <v>1029</v>
      </c>
      <c r="V567" s="107">
        <v>53</v>
      </c>
      <c r="W567" s="108"/>
      <c r="X567" s="109" t="s">
        <v>50</v>
      </c>
      <c r="Y567" s="20">
        <f t="shared" si="24"/>
        <v>1</v>
      </c>
      <c r="AA567" s="98">
        <f t="shared" si="25"/>
        <v>4.8599999999999994</v>
      </c>
      <c r="AB567" s="98" t="e">
        <f t="shared" si="26"/>
        <v>#VALUE!</v>
      </c>
    </row>
    <row r="568" spans="1:28" ht="22.35" customHeight="1" thickBot="1" x14ac:dyDescent="0.3">
      <c r="A568" s="80">
        <v>12</v>
      </c>
      <c r="B568" s="80" t="s">
        <v>1036</v>
      </c>
      <c r="C568" s="81">
        <v>12</v>
      </c>
      <c r="D568" s="23" t="s">
        <v>1037</v>
      </c>
      <c r="E568" s="23" t="s">
        <v>1038</v>
      </c>
      <c r="F568" s="141" t="s">
        <v>86</v>
      </c>
      <c r="G568" s="21">
        <v>1</v>
      </c>
      <c r="H568" s="191">
        <v>27.9</v>
      </c>
      <c r="I568" s="84">
        <v>26.5</v>
      </c>
      <c r="J568" s="23" t="s">
        <v>1039</v>
      </c>
      <c r="K568" s="86" t="s">
        <v>1040</v>
      </c>
      <c r="L568" s="86">
        <v>1</v>
      </c>
      <c r="M568" s="86"/>
      <c r="O568" s="100"/>
      <c r="P568" s="143"/>
      <c r="Q568" s="102"/>
      <c r="R568" s="103" t="s">
        <v>464</v>
      </c>
      <c r="S568" s="144" t="s">
        <v>910</v>
      </c>
      <c r="T568" s="112" t="s">
        <v>890</v>
      </c>
      <c r="U568" s="106" t="s">
        <v>1029</v>
      </c>
      <c r="V568" s="107">
        <v>53</v>
      </c>
      <c r="W568" s="108"/>
      <c r="X568" s="109" t="s">
        <v>55</v>
      </c>
      <c r="Y568" s="20">
        <f t="shared" si="24"/>
        <v>1</v>
      </c>
      <c r="AA568" s="98">
        <f t="shared" si="25"/>
        <v>1.3999999999999986</v>
      </c>
      <c r="AB568" s="98" t="e">
        <f t="shared" si="26"/>
        <v>#VALUE!</v>
      </c>
    </row>
    <row r="569" spans="1:28" ht="22.35" customHeight="1" thickBot="1" x14ac:dyDescent="0.3">
      <c r="A569" s="80"/>
      <c r="B569" s="80"/>
      <c r="D569" s="322"/>
      <c r="F569" s="141"/>
      <c r="H569" s="191"/>
      <c r="I569" s="84"/>
      <c r="K569" s="86"/>
      <c r="L569" s="86"/>
      <c r="M569" s="86"/>
      <c r="O569" s="100"/>
      <c r="P569" s="143"/>
      <c r="Q569" s="102"/>
      <c r="R569" s="103"/>
      <c r="S569" s="144" t="s">
        <v>910</v>
      </c>
      <c r="T569" s="112" t="s">
        <v>890</v>
      </c>
      <c r="U569" s="106"/>
      <c r="V569" s="107">
        <v>53</v>
      </c>
      <c r="W569" s="108"/>
      <c r="X569" s="109"/>
      <c r="Y569" s="20">
        <f t="shared" si="24"/>
        <v>0</v>
      </c>
      <c r="AA569" s="98">
        <f t="shared" si="25"/>
        <v>0</v>
      </c>
      <c r="AB569" s="98">
        <f t="shared" si="26"/>
        <v>0</v>
      </c>
    </row>
    <row r="570" spans="1:28" ht="22.35" customHeight="1" thickBot="1" x14ac:dyDescent="0.3">
      <c r="A570" s="80"/>
      <c r="B570" s="80"/>
      <c r="D570" s="322"/>
      <c r="F570" s="141"/>
      <c r="H570" s="191"/>
      <c r="I570" s="84"/>
      <c r="K570" s="86"/>
      <c r="L570" s="86"/>
      <c r="M570" s="86"/>
      <c r="O570" s="100"/>
      <c r="P570" s="143"/>
      <c r="Q570" s="102"/>
      <c r="R570" s="103"/>
      <c r="S570" s="144" t="s">
        <v>910</v>
      </c>
      <c r="T570" s="112" t="s">
        <v>890</v>
      </c>
      <c r="U570" s="106"/>
      <c r="V570" s="107">
        <v>53</v>
      </c>
      <c r="W570" s="108"/>
      <c r="X570" s="109"/>
      <c r="Y570" s="20">
        <f t="shared" si="24"/>
        <v>0</v>
      </c>
      <c r="AA570" s="98">
        <f t="shared" si="25"/>
        <v>0</v>
      </c>
      <c r="AB570" s="98">
        <f t="shared" si="26"/>
        <v>0</v>
      </c>
    </row>
    <row r="571" spans="1:28" ht="22.35" customHeight="1" thickBot="1" x14ac:dyDescent="0.3">
      <c r="A571" s="80"/>
      <c r="B571" s="80"/>
      <c r="D571" s="322"/>
      <c r="F571" s="141"/>
      <c r="H571" s="191"/>
      <c r="I571" s="84"/>
      <c r="K571" s="86"/>
      <c r="L571" s="86"/>
      <c r="M571" s="86"/>
      <c r="O571" s="100"/>
      <c r="P571" s="143"/>
      <c r="Q571" s="102"/>
      <c r="R571" s="103"/>
      <c r="S571" s="144" t="s">
        <v>910</v>
      </c>
      <c r="T571" s="112" t="s">
        <v>890</v>
      </c>
      <c r="U571" s="106" t="s">
        <v>1041</v>
      </c>
      <c r="V571" s="107">
        <v>53</v>
      </c>
      <c r="W571" s="108"/>
      <c r="X571" s="109"/>
      <c r="Y571" s="20">
        <f t="shared" si="24"/>
        <v>0</v>
      </c>
      <c r="AA571" s="98">
        <f t="shared" si="25"/>
        <v>0</v>
      </c>
      <c r="AB571" s="98">
        <f t="shared" si="26"/>
        <v>0</v>
      </c>
    </row>
    <row r="572" spans="1:28" ht="22.35" customHeight="1" thickBot="1" x14ac:dyDescent="0.3">
      <c r="A572" s="80"/>
      <c r="B572" s="80"/>
      <c r="D572" s="322"/>
      <c r="F572" s="141"/>
      <c r="H572" s="191"/>
      <c r="I572" s="84"/>
      <c r="K572" s="86"/>
      <c r="L572" s="86"/>
      <c r="M572" s="86"/>
      <c r="O572" s="100"/>
      <c r="P572" s="143"/>
      <c r="Q572" s="102"/>
      <c r="R572" s="103"/>
      <c r="S572" s="144" t="s">
        <v>910</v>
      </c>
      <c r="T572" s="112" t="s">
        <v>890</v>
      </c>
      <c r="U572" s="106" t="s">
        <v>1041</v>
      </c>
      <c r="V572" s="107">
        <v>53</v>
      </c>
      <c r="W572" s="108"/>
      <c r="X572" s="109"/>
      <c r="Y572" s="20">
        <f t="shared" si="24"/>
        <v>0</v>
      </c>
      <c r="AA572" s="98">
        <f t="shared" si="25"/>
        <v>0</v>
      </c>
      <c r="AB572" s="98">
        <f t="shared" si="26"/>
        <v>0</v>
      </c>
    </row>
    <row r="573" spans="1:28" ht="22.35" customHeight="1" thickBot="1" x14ac:dyDescent="0.3">
      <c r="A573" s="209"/>
      <c r="B573" s="209"/>
      <c r="C573" s="210"/>
      <c r="D573" s="323"/>
      <c r="E573" s="211"/>
      <c r="F573" s="236"/>
      <c r="G573" s="213"/>
      <c r="H573" s="191"/>
      <c r="I573" s="238"/>
      <c r="J573" s="211"/>
      <c r="K573" s="215"/>
      <c r="L573" s="215"/>
      <c r="M573" s="215"/>
      <c r="N573" s="216"/>
      <c r="O573" s="239"/>
      <c r="P573" s="240"/>
      <c r="Q573" s="154"/>
      <c r="R573" s="241"/>
      <c r="S573" s="242" t="s">
        <v>910</v>
      </c>
      <c r="T573" s="243" t="s">
        <v>890</v>
      </c>
      <c r="U573" s="244" t="s">
        <v>1042</v>
      </c>
      <c r="V573" s="233">
        <v>53</v>
      </c>
      <c r="W573" s="108"/>
      <c r="X573" s="109"/>
      <c r="Y573" s="20">
        <f t="shared" si="24"/>
        <v>0</v>
      </c>
      <c r="AA573" s="98">
        <f t="shared" si="25"/>
        <v>0</v>
      </c>
      <c r="AB573" s="98">
        <f t="shared" si="26"/>
        <v>0</v>
      </c>
    </row>
    <row r="574" spans="1:28" ht="22.35" customHeight="1" thickBot="1" x14ac:dyDescent="0.3">
      <c r="A574" s="285">
        <v>10</v>
      </c>
      <c r="B574" s="285">
        <v>8699444269214</v>
      </c>
      <c r="C574" s="286">
        <v>48</v>
      </c>
      <c r="D574" s="287" t="s">
        <v>1043</v>
      </c>
      <c r="E574" s="287" t="s">
        <v>911</v>
      </c>
      <c r="F574" s="288" t="s">
        <v>1044</v>
      </c>
      <c r="G574" s="289" t="s">
        <v>108</v>
      </c>
      <c r="H574" s="191">
        <v>27.9</v>
      </c>
      <c r="I574" s="289">
        <v>26.450600000000001</v>
      </c>
      <c r="J574" s="287" t="s">
        <v>1013</v>
      </c>
      <c r="K574" s="291" t="s">
        <v>1045</v>
      </c>
      <c r="L574" s="291">
        <v>4</v>
      </c>
      <c r="M574" s="291"/>
      <c r="N574" s="292"/>
      <c r="O574" s="293"/>
      <c r="P574" s="294"/>
      <c r="Q574" s="294"/>
      <c r="R574" s="295" t="s">
        <v>464</v>
      </c>
      <c r="S574" s="296" t="s">
        <v>936</v>
      </c>
      <c r="T574" s="94" t="s">
        <v>890</v>
      </c>
      <c r="U574" s="297" t="s">
        <v>1042</v>
      </c>
      <c r="V574" s="298">
        <v>53</v>
      </c>
      <c r="W574" s="108"/>
      <c r="X574" s="109" t="s">
        <v>63</v>
      </c>
      <c r="Y574" s="20">
        <f t="shared" si="24"/>
        <v>1</v>
      </c>
      <c r="AA574" s="98">
        <f t="shared" si="25"/>
        <v>1.4493999999999971</v>
      </c>
      <c r="AB574" s="98" t="e">
        <f t="shared" si="26"/>
        <v>#VALUE!</v>
      </c>
    </row>
    <row r="575" spans="1:28" ht="22.35" customHeight="1" thickBot="1" x14ac:dyDescent="0.3">
      <c r="A575" s="209" t="s">
        <v>255</v>
      </c>
      <c r="B575" s="209" t="s">
        <v>1046</v>
      </c>
      <c r="C575" s="210">
        <v>4</v>
      </c>
      <c r="D575" s="211" t="s">
        <v>1047</v>
      </c>
      <c r="E575" s="211" t="s">
        <v>1048</v>
      </c>
      <c r="F575" s="212" t="s">
        <v>1049</v>
      </c>
      <c r="G575" s="213">
        <v>3</v>
      </c>
      <c r="H575" s="191">
        <v>194.9</v>
      </c>
      <c r="I575" s="213">
        <v>175.45</v>
      </c>
      <c r="J575" s="211" t="s">
        <v>1050</v>
      </c>
      <c r="K575" s="215" t="s">
        <v>1051</v>
      </c>
      <c r="L575" s="215">
        <v>4</v>
      </c>
      <c r="M575" s="215"/>
      <c r="N575" s="216"/>
      <c r="O575" s="247"/>
      <c r="P575" s="248"/>
      <c r="Q575" s="248"/>
      <c r="R575" s="249" t="s">
        <v>1052</v>
      </c>
      <c r="S575" s="250" t="s">
        <v>1053</v>
      </c>
      <c r="T575" s="125" t="s">
        <v>890</v>
      </c>
      <c r="U575" s="244" t="s">
        <v>1054</v>
      </c>
      <c r="V575" s="245">
        <v>53</v>
      </c>
      <c r="W575" s="108"/>
      <c r="X575" s="109" t="s">
        <v>179</v>
      </c>
      <c r="Y575" s="20">
        <f t="shared" si="24"/>
        <v>1</v>
      </c>
      <c r="AA575" s="98">
        <f t="shared" si="25"/>
        <v>19.450000000000017</v>
      </c>
      <c r="AB575" s="98" t="e">
        <f t="shared" si="26"/>
        <v>#VALUE!</v>
      </c>
    </row>
    <row r="576" spans="1:28" ht="22.35" customHeight="1" thickBot="1" x14ac:dyDescent="0.3">
      <c r="A576" s="80" t="s">
        <v>965</v>
      </c>
      <c r="B576" s="80" t="s">
        <v>1055</v>
      </c>
      <c r="C576" s="81">
        <v>24</v>
      </c>
      <c r="D576" s="23" t="s">
        <v>1056</v>
      </c>
      <c r="E576" s="23" t="s">
        <v>1057</v>
      </c>
      <c r="F576" s="141"/>
      <c r="G576" s="21">
        <v>4</v>
      </c>
      <c r="H576" s="277">
        <v>14.9</v>
      </c>
      <c r="I576" s="84">
        <v>12.33958</v>
      </c>
      <c r="J576" s="23" t="s">
        <v>1058</v>
      </c>
      <c r="K576" s="86" t="s">
        <v>1059</v>
      </c>
      <c r="L576" s="86">
        <v>2</v>
      </c>
      <c r="M576" s="86"/>
      <c r="O576" s="88"/>
      <c r="P576" s="136"/>
      <c r="Q576" s="90"/>
      <c r="R576" s="91" t="s">
        <v>1060</v>
      </c>
      <c r="S576" s="139" t="s">
        <v>910</v>
      </c>
      <c r="T576" s="140" t="s">
        <v>890</v>
      </c>
      <c r="U576" s="94" t="s">
        <v>1061</v>
      </c>
      <c r="V576" s="95">
        <v>54</v>
      </c>
      <c r="W576" s="108"/>
      <c r="X576" s="109" t="s">
        <v>45</v>
      </c>
      <c r="Y576" s="20">
        <f t="shared" si="24"/>
        <v>1</v>
      </c>
      <c r="AA576" s="98">
        <f t="shared" si="25"/>
        <v>2.5604200000000006</v>
      </c>
      <c r="AB576" s="98" t="e">
        <f t="shared" si="26"/>
        <v>#VALUE!</v>
      </c>
    </row>
    <row r="577" spans="1:28" ht="22.35" customHeight="1" thickBot="1" x14ac:dyDescent="0.3">
      <c r="A577" s="80" t="s">
        <v>449</v>
      </c>
      <c r="B577" s="80" t="s">
        <v>1062</v>
      </c>
      <c r="C577" s="81">
        <v>14</v>
      </c>
      <c r="D577" s="23" t="s">
        <v>1063</v>
      </c>
      <c r="E577" s="23" t="s">
        <v>1064</v>
      </c>
      <c r="F577" s="141"/>
      <c r="G577" s="21">
        <v>1</v>
      </c>
      <c r="H577" s="191">
        <v>15.5</v>
      </c>
      <c r="I577" s="84">
        <v>14.4</v>
      </c>
      <c r="J577" s="23" t="s">
        <v>942</v>
      </c>
      <c r="K577" s="86" t="s">
        <v>1065</v>
      </c>
      <c r="L577" s="86">
        <v>4</v>
      </c>
      <c r="M577" s="86"/>
      <c r="O577" s="100"/>
      <c r="P577" s="143"/>
      <c r="Q577" s="102"/>
      <c r="R577" s="103" t="s">
        <v>596</v>
      </c>
      <c r="S577" s="144" t="s">
        <v>910</v>
      </c>
      <c r="T577" s="112" t="s">
        <v>890</v>
      </c>
      <c r="U577" s="106" t="s">
        <v>1061</v>
      </c>
      <c r="V577" s="107">
        <v>54</v>
      </c>
      <c r="W577" s="108"/>
      <c r="X577" s="109" t="s">
        <v>50</v>
      </c>
      <c r="Y577" s="20">
        <f t="shared" si="24"/>
        <v>1</v>
      </c>
      <c r="AA577" s="98">
        <f t="shared" si="25"/>
        <v>1.0999999999999996</v>
      </c>
      <c r="AB577" s="98" t="e">
        <f t="shared" si="26"/>
        <v>#VALUE!</v>
      </c>
    </row>
    <row r="578" spans="1:28" ht="22.35" customHeight="1" thickBot="1" x14ac:dyDescent="0.3">
      <c r="A578" s="80" t="s">
        <v>103</v>
      </c>
      <c r="B578" s="80" t="s">
        <v>1066</v>
      </c>
      <c r="C578" s="81">
        <v>10</v>
      </c>
      <c r="D578" s="23" t="s">
        <v>1067</v>
      </c>
      <c r="E578" s="23" t="s">
        <v>1068</v>
      </c>
      <c r="F578" s="141"/>
      <c r="G578" s="21">
        <v>1</v>
      </c>
      <c r="H578" s="191">
        <v>59.9</v>
      </c>
      <c r="I578" s="84">
        <v>56.26</v>
      </c>
      <c r="J578" s="23" t="s">
        <v>953</v>
      </c>
      <c r="K578" s="86" t="s">
        <v>1069</v>
      </c>
      <c r="L578" s="86">
        <v>1</v>
      </c>
      <c r="M578" s="86"/>
      <c r="O578" s="100"/>
      <c r="P578" s="143"/>
      <c r="Q578" s="102"/>
      <c r="R578" s="103" t="s">
        <v>918</v>
      </c>
      <c r="S578" s="144" t="s">
        <v>910</v>
      </c>
      <c r="T578" s="112" t="s">
        <v>890</v>
      </c>
      <c r="U578" s="106" t="s">
        <v>1070</v>
      </c>
      <c r="V578" s="107">
        <v>54</v>
      </c>
      <c r="W578" s="108"/>
      <c r="X578" s="109" t="s">
        <v>59</v>
      </c>
      <c r="Y578" s="20">
        <f t="shared" si="24"/>
        <v>1</v>
      </c>
      <c r="AA578" s="98">
        <f t="shared" si="25"/>
        <v>3.6400000000000006</v>
      </c>
      <c r="AB578" s="98" t="e">
        <f t="shared" si="26"/>
        <v>#VALUE!</v>
      </c>
    </row>
    <row r="579" spans="1:28" ht="22.35" customHeight="1" thickBot="1" x14ac:dyDescent="0.3">
      <c r="A579" s="80" t="s">
        <v>103</v>
      </c>
      <c r="B579" s="80" t="s">
        <v>1071</v>
      </c>
      <c r="C579" s="81">
        <v>144</v>
      </c>
      <c r="D579" s="23" t="s">
        <v>1072</v>
      </c>
      <c r="E579" s="23" t="s">
        <v>1073</v>
      </c>
      <c r="F579" s="141"/>
      <c r="G579" s="21">
        <v>1</v>
      </c>
      <c r="H579" s="191">
        <v>8.9</v>
      </c>
      <c r="I579" s="84">
        <v>8.35</v>
      </c>
      <c r="J579" s="23" t="s">
        <v>942</v>
      </c>
      <c r="K579" s="86" t="s">
        <v>1074</v>
      </c>
      <c r="L579" s="86">
        <v>1</v>
      </c>
      <c r="M579" s="86"/>
      <c r="O579" s="100"/>
      <c r="P579" s="143"/>
      <c r="Q579" s="102"/>
      <c r="R579" s="103" t="s">
        <v>1075</v>
      </c>
      <c r="S579" s="144" t="s">
        <v>910</v>
      </c>
      <c r="T579" s="112" t="s">
        <v>890</v>
      </c>
      <c r="U579" s="106"/>
      <c r="V579" s="107">
        <v>54</v>
      </c>
      <c r="W579" s="108"/>
      <c r="X579" s="109" t="s">
        <v>70</v>
      </c>
      <c r="Y579" s="20">
        <f t="shared" si="24"/>
        <v>1</v>
      </c>
      <c r="AA579" s="98">
        <f t="shared" si="25"/>
        <v>0.55000000000000071</v>
      </c>
      <c r="AB579" s="98" t="e">
        <f t="shared" si="26"/>
        <v>#VALUE!</v>
      </c>
    </row>
    <row r="580" spans="1:28" ht="22.35" customHeight="1" thickBot="1" x14ac:dyDescent="0.3">
      <c r="A580" s="80"/>
      <c r="B580" s="80"/>
      <c r="E580" s="322"/>
      <c r="F580" s="141"/>
      <c r="H580" s="191"/>
      <c r="I580" s="84"/>
      <c r="K580" s="86"/>
      <c r="L580" s="86"/>
      <c r="M580" s="86"/>
      <c r="O580" s="100"/>
      <c r="P580" s="143"/>
      <c r="Q580" s="102"/>
      <c r="R580" s="103"/>
      <c r="S580" s="144" t="s">
        <v>910</v>
      </c>
      <c r="T580" s="112" t="s">
        <v>890</v>
      </c>
      <c r="U580" s="106"/>
      <c r="V580" s="107">
        <v>54</v>
      </c>
      <c r="W580" s="108"/>
      <c r="X580" s="109"/>
      <c r="Y580" s="20">
        <f t="shared" si="24"/>
        <v>0</v>
      </c>
      <c r="AA580" s="98">
        <f t="shared" si="25"/>
        <v>0</v>
      </c>
      <c r="AB580" s="98">
        <f t="shared" si="26"/>
        <v>0</v>
      </c>
    </row>
    <row r="581" spans="1:28" ht="22.35" customHeight="1" thickBot="1" x14ac:dyDescent="0.3">
      <c r="A581" s="80"/>
      <c r="B581" s="80"/>
      <c r="E581" s="322"/>
      <c r="F581" s="141"/>
      <c r="H581" s="191"/>
      <c r="I581" s="84"/>
      <c r="K581" s="86"/>
      <c r="L581" s="86"/>
      <c r="M581" s="86"/>
      <c r="O581" s="100"/>
      <c r="P581" s="143"/>
      <c r="Q581" s="102"/>
      <c r="R581" s="103"/>
      <c r="S581" s="144" t="s">
        <v>910</v>
      </c>
      <c r="T581" s="112" t="s">
        <v>890</v>
      </c>
      <c r="U581" s="106"/>
      <c r="V581" s="107">
        <v>54</v>
      </c>
      <c r="W581" s="108"/>
      <c r="X581" s="109"/>
      <c r="Y581" s="20">
        <f t="shared" si="24"/>
        <v>0</v>
      </c>
      <c r="AA581" s="98">
        <f t="shared" si="25"/>
        <v>0</v>
      </c>
      <c r="AB581" s="98">
        <f t="shared" si="26"/>
        <v>0</v>
      </c>
    </row>
    <row r="582" spans="1:28" ht="22.35" customHeight="1" thickBot="1" x14ac:dyDescent="0.3">
      <c r="A582" s="80"/>
      <c r="B582" s="80"/>
      <c r="E582" s="322"/>
      <c r="F582" s="141"/>
      <c r="H582" s="191"/>
      <c r="I582" s="84"/>
      <c r="K582" s="86"/>
      <c r="L582" s="86"/>
      <c r="M582" s="86"/>
      <c r="O582" s="100"/>
      <c r="P582" s="143"/>
      <c r="Q582" s="102"/>
      <c r="R582" s="103"/>
      <c r="S582" s="144" t="s">
        <v>910</v>
      </c>
      <c r="T582" s="112" t="s">
        <v>890</v>
      </c>
      <c r="U582" s="106"/>
      <c r="V582" s="107">
        <v>54</v>
      </c>
      <c r="W582" s="108"/>
      <c r="X582" s="109"/>
      <c r="Y582" s="20">
        <f t="shared" si="24"/>
        <v>0</v>
      </c>
      <c r="AA582" s="98">
        <f t="shared" si="25"/>
        <v>0</v>
      </c>
      <c r="AB582" s="98">
        <f t="shared" si="26"/>
        <v>0</v>
      </c>
    </row>
    <row r="583" spans="1:28" ht="22.35" customHeight="1" thickBot="1" x14ac:dyDescent="0.3">
      <c r="A583" s="80"/>
      <c r="B583" s="80"/>
      <c r="E583" s="322"/>
      <c r="F583" s="141"/>
      <c r="H583" s="191"/>
      <c r="I583" s="84"/>
      <c r="K583" s="86"/>
      <c r="L583" s="86"/>
      <c r="M583" s="86"/>
      <c r="O583" s="100"/>
      <c r="P583" s="143"/>
      <c r="Q583" s="102"/>
      <c r="R583" s="103"/>
      <c r="S583" s="144" t="s">
        <v>910</v>
      </c>
      <c r="T583" s="112" t="s">
        <v>890</v>
      </c>
      <c r="U583" s="106"/>
      <c r="V583" s="107">
        <v>54</v>
      </c>
      <c r="W583" s="108"/>
      <c r="X583" s="109"/>
      <c r="Y583" s="20">
        <f t="shared" ref="Y583:Y646" si="27">COUNTIF(K:K,K583)</f>
        <v>0</v>
      </c>
      <c r="AA583" s="98">
        <f t="shared" si="25"/>
        <v>0</v>
      </c>
      <c r="AB583" s="98">
        <f t="shared" si="26"/>
        <v>0</v>
      </c>
    </row>
    <row r="584" spans="1:28" ht="22.35" customHeight="1" thickBot="1" x14ac:dyDescent="0.3">
      <c r="A584" s="80"/>
      <c r="B584" s="80"/>
      <c r="F584" s="141"/>
      <c r="H584" s="191"/>
      <c r="I584" s="84"/>
      <c r="K584" s="86"/>
      <c r="L584" s="86"/>
      <c r="M584" s="86"/>
      <c r="O584" s="100"/>
      <c r="P584" s="143"/>
      <c r="Q584" s="102"/>
      <c r="R584" s="103"/>
      <c r="S584" s="144" t="s">
        <v>910</v>
      </c>
      <c r="T584" s="112" t="s">
        <v>890</v>
      </c>
      <c r="U584" s="106"/>
      <c r="V584" s="107">
        <v>54</v>
      </c>
      <c r="W584" s="108"/>
      <c r="X584" s="109"/>
      <c r="Y584" s="20">
        <f t="shared" si="27"/>
        <v>0</v>
      </c>
      <c r="AA584" s="98">
        <f t="shared" si="25"/>
        <v>0</v>
      </c>
      <c r="AB584" s="98">
        <f t="shared" si="26"/>
        <v>0</v>
      </c>
    </row>
    <row r="585" spans="1:28" ht="22.35" customHeight="1" thickBot="1" x14ac:dyDescent="0.3">
      <c r="A585" s="80"/>
      <c r="B585" s="80"/>
      <c r="F585" s="141"/>
      <c r="H585" s="191"/>
      <c r="I585" s="84"/>
      <c r="K585" s="86"/>
      <c r="L585" s="86"/>
      <c r="M585" s="86"/>
      <c r="O585" s="100"/>
      <c r="P585" s="143"/>
      <c r="Q585" s="102"/>
      <c r="R585" s="103"/>
      <c r="S585" s="144" t="s">
        <v>910</v>
      </c>
      <c r="T585" s="112" t="s">
        <v>890</v>
      </c>
      <c r="U585" s="106" t="s">
        <v>1070</v>
      </c>
      <c r="V585" s="107">
        <v>54</v>
      </c>
      <c r="W585" s="108"/>
      <c r="X585" s="109"/>
      <c r="Y585" s="20">
        <f t="shared" si="27"/>
        <v>0</v>
      </c>
      <c r="AA585" s="98">
        <f t="shared" si="25"/>
        <v>0</v>
      </c>
      <c r="AB585" s="98">
        <f t="shared" si="26"/>
        <v>0</v>
      </c>
    </row>
    <row r="586" spans="1:28" ht="22.35" customHeight="1" thickBot="1" x14ac:dyDescent="0.3">
      <c r="A586" s="80"/>
      <c r="B586" s="80"/>
      <c r="F586" s="141"/>
      <c r="H586" s="191"/>
      <c r="I586" s="84"/>
      <c r="K586" s="86"/>
      <c r="L586" s="86"/>
      <c r="M586" s="86"/>
      <c r="O586" s="100"/>
      <c r="P586" s="143"/>
      <c r="Q586" s="102"/>
      <c r="R586" s="103"/>
      <c r="S586" s="144" t="s">
        <v>910</v>
      </c>
      <c r="T586" s="112" t="s">
        <v>890</v>
      </c>
      <c r="U586" s="106" t="s">
        <v>1076</v>
      </c>
      <c r="V586" s="107">
        <v>54</v>
      </c>
      <c r="W586" s="108"/>
      <c r="X586" s="109"/>
      <c r="Y586" s="20">
        <f t="shared" si="27"/>
        <v>0</v>
      </c>
      <c r="AA586" s="98">
        <f t="shared" si="25"/>
        <v>0</v>
      </c>
      <c r="AB586" s="98">
        <f t="shared" si="26"/>
        <v>0</v>
      </c>
    </row>
    <row r="587" spans="1:28" ht="22.35" customHeight="1" thickBot="1" x14ac:dyDescent="0.3">
      <c r="A587" s="209"/>
      <c r="B587" s="209"/>
      <c r="C587" s="210"/>
      <c r="D587" s="211"/>
      <c r="E587" s="211"/>
      <c r="F587" s="236"/>
      <c r="G587" s="213"/>
      <c r="H587" s="191"/>
      <c r="I587" s="238"/>
      <c r="J587" s="211"/>
      <c r="K587" s="215"/>
      <c r="L587" s="215"/>
      <c r="M587" s="215"/>
      <c r="N587" s="216"/>
      <c r="O587" s="239"/>
      <c r="P587" s="240"/>
      <c r="Q587" s="154"/>
      <c r="R587" s="241"/>
      <c r="S587" s="242" t="s">
        <v>910</v>
      </c>
      <c r="T587" s="243" t="s">
        <v>890</v>
      </c>
      <c r="U587" s="244" t="s">
        <v>1076</v>
      </c>
      <c r="V587" s="233">
        <v>54</v>
      </c>
      <c r="W587" s="108"/>
      <c r="X587" s="109"/>
      <c r="Y587" s="20">
        <f t="shared" si="27"/>
        <v>0</v>
      </c>
      <c r="AA587" s="98">
        <f t="shared" si="25"/>
        <v>0</v>
      </c>
      <c r="AB587" s="98">
        <f t="shared" si="26"/>
        <v>0</v>
      </c>
    </row>
    <row r="588" spans="1:28" ht="22.35" customHeight="1" thickBot="1" x14ac:dyDescent="0.3">
      <c r="A588" s="278" t="s">
        <v>965</v>
      </c>
      <c r="B588" s="209" t="s">
        <v>1077</v>
      </c>
      <c r="C588" s="210">
        <v>30</v>
      </c>
      <c r="D588" s="211" t="s">
        <v>1078</v>
      </c>
      <c r="E588" s="211" t="s">
        <v>1079</v>
      </c>
      <c r="F588" s="212" t="s">
        <v>1080</v>
      </c>
      <c r="G588" s="213">
        <v>3</v>
      </c>
      <c r="H588" s="237">
        <v>21.9</v>
      </c>
      <c r="I588" s="213">
        <v>21.42</v>
      </c>
      <c r="J588" s="211" t="s">
        <v>1081</v>
      </c>
      <c r="K588" s="215" t="s">
        <v>1082</v>
      </c>
      <c r="L588" s="215">
        <v>4</v>
      </c>
      <c r="M588" s="215"/>
      <c r="N588" s="216">
        <v>1</v>
      </c>
      <c r="O588" s="247"/>
      <c r="P588" s="248">
        <v>1</v>
      </c>
      <c r="Q588" s="248">
        <v>1</v>
      </c>
      <c r="R588" s="249" t="s">
        <v>371</v>
      </c>
      <c r="S588" s="250" t="s">
        <v>1083</v>
      </c>
      <c r="T588" s="244" t="str">
        <f>INDEX([1]data!$B$1:$B$100,MATCH('04.02 - 10.02'!S588,[0]!exclusive01,))</f>
        <v>VU</v>
      </c>
      <c r="U588" s="244" t="s">
        <v>1084</v>
      </c>
      <c r="V588" s="245">
        <v>54</v>
      </c>
      <c r="W588" s="108"/>
      <c r="X588" s="109" t="s">
        <v>117</v>
      </c>
      <c r="Y588" s="20">
        <f t="shared" si="27"/>
        <v>1</v>
      </c>
      <c r="AA588" s="98">
        <f t="shared" si="25"/>
        <v>0.47999999999999687</v>
      </c>
      <c r="AB588" s="98" t="e">
        <f t="shared" si="26"/>
        <v>#VALUE!</v>
      </c>
    </row>
    <row r="589" spans="1:28" ht="22.35" customHeight="1" thickBot="1" x14ac:dyDescent="0.3">
      <c r="A589" s="80" t="s">
        <v>965</v>
      </c>
      <c r="B589" s="80" t="s">
        <v>1085</v>
      </c>
      <c r="C589" s="81">
        <v>32</v>
      </c>
      <c r="D589" s="23" t="s">
        <v>1086</v>
      </c>
      <c r="E589" s="23" t="s">
        <v>1079</v>
      </c>
      <c r="G589" s="21">
        <v>3</v>
      </c>
      <c r="H589" s="320">
        <v>19.899999999999999</v>
      </c>
      <c r="I589" s="21">
        <v>18.919560000000001</v>
      </c>
      <c r="J589" s="23" t="s">
        <v>1087</v>
      </c>
      <c r="K589" s="86" t="s">
        <v>1088</v>
      </c>
      <c r="L589" s="86">
        <v>4</v>
      </c>
      <c r="M589" s="86"/>
      <c r="O589" s="235"/>
      <c r="P589" s="206"/>
      <c r="Q589" s="206"/>
      <c r="R589" s="207" t="s">
        <v>1089</v>
      </c>
      <c r="S589" s="208" t="s">
        <v>1090</v>
      </c>
      <c r="T589" s="94" t="s">
        <v>890</v>
      </c>
      <c r="U589" s="94" t="s">
        <v>1091</v>
      </c>
      <c r="V589" s="324">
        <v>55</v>
      </c>
      <c r="W589" s="325"/>
      <c r="X589" s="109" t="s">
        <v>45</v>
      </c>
      <c r="Y589" s="20">
        <f t="shared" si="27"/>
        <v>1</v>
      </c>
      <c r="AA589" s="98">
        <f t="shared" si="25"/>
        <v>0.98043999999999798</v>
      </c>
      <c r="AB589" s="98" t="e">
        <f t="shared" si="26"/>
        <v>#VALUE!</v>
      </c>
    </row>
    <row r="590" spans="1:28" ht="22.35" customHeight="1" thickBot="1" x14ac:dyDescent="0.3">
      <c r="A590" s="80" t="s">
        <v>965</v>
      </c>
      <c r="B590" s="80" t="s">
        <v>1092</v>
      </c>
      <c r="C590" s="81">
        <v>3</v>
      </c>
      <c r="D590" s="23" t="s">
        <v>1093</v>
      </c>
      <c r="E590" s="23" t="s">
        <v>1094</v>
      </c>
      <c r="F590" s="82" t="s">
        <v>1095</v>
      </c>
      <c r="G590" s="21">
        <v>3</v>
      </c>
      <c r="H590" s="191">
        <v>119.9</v>
      </c>
      <c r="I590" s="21">
        <v>113.40967000000001</v>
      </c>
      <c r="J590" s="23" t="s">
        <v>1096</v>
      </c>
      <c r="K590" s="86" t="s">
        <v>1097</v>
      </c>
      <c r="L590" s="86">
        <v>4</v>
      </c>
      <c r="M590" s="86"/>
      <c r="O590" s="223"/>
      <c r="P590" s="224"/>
      <c r="Q590" s="224"/>
      <c r="R590" s="225" t="s">
        <v>1007</v>
      </c>
      <c r="S590" s="226" t="s">
        <v>1096</v>
      </c>
      <c r="T590" s="94" t="s">
        <v>890</v>
      </c>
      <c r="U590" s="106" t="s">
        <v>1091</v>
      </c>
      <c r="V590" s="326">
        <v>55</v>
      </c>
      <c r="W590" s="325"/>
      <c r="X590" s="109" t="s">
        <v>55</v>
      </c>
      <c r="Y590" s="20">
        <f t="shared" si="27"/>
        <v>1</v>
      </c>
      <c r="AA590" s="98">
        <f t="shared" si="25"/>
        <v>6.4903300000000002</v>
      </c>
      <c r="AB590" s="98" t="e">
        <f t="shared" si="26"/>
        <v>#VALUE!</v>
      </c>
    </row>
    <row r="591" spans="1:28" ht="22.35" customHeight="1" thickBot="1" x14ac:dyDescent="0.3">
      <c r="A591" s="80" t="s">
        <v>965</v>
      </c>
      <c r="B591" s="80" t="s">
        <v>1098</v>
      </c>
      <c r="C591" s="81">
        <v>20</v>
      </c>
      <c r="D591" s="23" t="s">
        <v>1099</v>
      </c>
      <c r="E591" s="23" t="s">
        <v>1100</v>
      </c>
      <c r="F591" s="82" t="s">
        <v>1101</v>
      </c>
      <c r="H591" s="191">
        <v>17.899999999999999</v>
      </c>
      <c r="I591" s="21">
        <v>16.88</v>
      </c>
      <c r="J591" s="23" t="s">
        <v>1102</v>
      </c>
      <c r="K591" s="86" t="s">
        <v>1103</v>
      </c>
      <c r="L591" s="86">
        <v>4</v>
      </c>
      <c r="M591" s="86"/>
      <c r="O591" s="223"/>
      <c r="P591" s="224"/>
      <c r="Q591" s="224"/>
      <c r="R591" s="225" t="s">
        <v>402</v>
      </c>
      <c r="S591" s="226" t="s">
        <v>1104</v>
      </c>
      <c r="T591" s="94" t="s">
        <v>890</v>
      </c>
      <c r="U591" s="106" t="s">
        <v>1091</v>
      </c>
      <c r="V591" s="326">
        <v>55</v>
      </c>
      <c r="W591" s="325"/>
      <c r="X591" s="109" t="s">
        <v>117</v>
      </c>
      <c r="Y591" s="20">
        <f t="shared" si="27"/>
        <v>1</v>
      </c>
      <c r="AA591" s="98">
        <f t="shared" si="25"/>
        <v>1.0199999999999996</v>
      </c>
      <c r="AB591" s="98" t="e">
        <f t="shared" si="26"/>
        <v>#VALUE!</v>
      </c>
    </row>
    <row r="592" spans="1:28" ht="22.35" customHeight="1" thickBot="1" x14ac:dyDescent="0.3">
      <c r="A592" s="209" t="s">
        <v>103</v>
      </c>
      <c r="B592" s="209" t="s">
        <v>1105</v>
      </c>
      <c r="C592" s="210">
        <v>24</v>
      </c>
      <c r="D592" s="211" t="s">
        <v>1056</v>
      </c>
      <c r="E592" s="211" t="s">
        <v>1106</v>
      </c>
      <c r="F592" s="212" t="s">
        <v>1107</v>
      </c>
      <c r="G592" s="213">
        <v>2</v>
      </c>
      <c r="H592" s="237">
        <v>19.5</v>
      </c>
      <c r="I592" s="213">
        <v>18.149999999999999</v>
      </c>
      <c r="J592" s="211" t="s">
        <v>1058</v>
      </c>
      <c r="K592" s="215" t="s">
        <v>1108</v>
      </c>
      <c r="L592" s="215">
        <v>4</v>
      </c>
      <c r="M592" s="215"/>
      <c r="N592" s="216"/>
      <c r="O592" s="247"/>
      <c r="P592" s="248"/>
      <c r="Q592" s="248"/>
      <c r="R592" s="249" t="s">
        <v>645</v>
      </c>
      <c r="S592" s="250" t="s">
        <v>1109</v>
      </c>
      <c r="T592" s="251" t="s">
        <v>890</v>
      </c>
      <c r="U592" s="244" t="s">
        <v>1091</v>
      </c>
      <c r="V592" s="245">
        <v>55</v>
      </c>
      <c r="W592" s="327"/>
      <c r="X592" s="161" t="s">
        <v>119</v>
      </c>
      <c r="Y592" s="20">
        <f t="shared" si="27"/>
        <v>1</v>
      </c>
      <c r="AA592" s="98">
        <f t="shared" si="25"/>
        <v>1.3500000000000014</v>
      </c>
      <c r="AB592" s="98" t="e">
        <f t="shared" si="26"/>
        <v>#VALUE!</v>
      </c>
    </row>
    <row r="593" spans="1:28" ht="22.35" customHeight="1" thickBot="1" x14ac:dyDescent="0.3">
      <c r="A593" s="328"/>
      <c r="B593" s="328"/>
      <c r="C593" s="329"/>
      <c r="D593" s="330" t="s">
        <v>1110</v>
      </c>
      <c r="E593" s="331"/>
      <c r="F593" s="332"/>
      <c r="G593" s="333"/>
      <c r="H593" s="334"/>
      <c r="I593" s="333"/>
      <c r="J593" s="331"/>
      <c r="K593" s="335"/>
      <c r="L593" s="335"/>
      <c r="M593" s="335"/>
      <c r="N593" s="336"/>
      <c r="O593" s="336"/>
      <c r="P593" s="336"/>
      <c r="Q593" s="336"/>
      <c r="R593" s="337"/>
      <c r="S593" s="338"/>
      <c r="T593" s="339" t="s">
        <v>890</v>
      </c>
      <c r="U593" s="333"/>
      <c r="V593" s="340"/>
      <c r="W593" s="333"/>
      <c r="X593" s="341"/>
      <c r="Y593" s="20">
        <f t="shared" si="27"/>
        <v>0</v>
      </c>
      <c r="AA593" s="98">
        <f t="shared" si="25"/>
        <v>0</v>
      </c>
      <c r="AB593" s="98">
        <f t="shared" si="26"/>
        <v>0</v>
      </c>
    </row>
    <row r="594" spans="1:28" ht="22.35" customHeight="1" thickBot="1" x14ac:dyDescent="0.3">
      <c r="A594" s="80" t="s">
        <v>103</v>
      </c>
      <c r="B594" s="80" t="s">
        <v>1111</v>
      </c>
      <c r="C594" s="81">
        <v>48</v>
      </c>
      <c r="D594" s="23" t="s">
        <v>1112</v>
      </c>
      <c r="E594" s="23" t="s">
        <v>1113</v>
      </c>
      <c r="F594" s="141" t="s">
        <v>86</v>
      </c>
      <c r="G594" s="21">
        <v>4</v>
      </c>
      <c r="H594" s="246">
        <v>10.9</v>
      </c>
      <c r="I594" s="84">
        <v>10.53</v>
      </c>
      <c r="J594" s="23" t="s">
        <v>1114</v>
      </c>
      <c r="K594" s="142" t="s">
        <v>1115</v>
      </c>
      <c r="L594" s="86">
        <v>1</v>
      </c>
      <c r="M594" s="86"/>
      <c r="O594" s="88"/>
      <c r="P594" s="136"/>
      <c r="Q594" s="90"/>
      <c r="R594" s="91" t="s">
        <v>1116</v>
      </c>
      <c r="S594" s="139" t="s">
        <v>910</v>
      </c>
      <c r="T594" s="140" t="s">
        <v>890</v>
      </c>
      <c r="U594" s="94" t="s">
        <v>1117</v>
      </c>
      <c r="V594" s="95">
        <v>56</v>
      </c>
      <c r="W594" s="96"/>
      <c r="X594" s="97" t="s">
        <v>55</v>
      </c>
      <c r="Y594" s="20">
        <f t="shared" si="27"/>
        <v>1</v>
      </c>
      <c r="AA594" s="98">
        <f t="shared" si="25"/>
        <v>0.37000000000000099</v>
      </c>
      <c r="AB594" s="98" t="e">
        <f t="shared" si="26"/>
        <v>#VALUE!</v>
      </c>
    </row>
    <row r="595" spans="1:28" ht="22.35" customHeight="1" thickBot="1" x14ac:dyDescent="0.3">
      <c r="A595" s="80" t="s">
        <v>103</v>
      </c>
      <c r="B595" s="80" t="s">
        <v>1118</v>
      </c>
      <c r="C595" s="81">
        <v>30</v>
      </c>
      <c r="D595" s="23" t="s">
        <v>1119</v>
      </c>
      <c r="E595" s="23" t="s">
        <v>1120</v>
      </c>
      <c r="F595" s="141" t="s">
        <v>1121</v>
      </c>
      <c r="G595" s="21" t="s">
        <v>108</v>
      </c>
      <c r="H595" s="191">
        <v>18.5</v>
      </c>
      <c r="I595" s="84">
        <v>17.55</v>
      </c>
      <c r="J595" s="23" t="s">
        <v>1122</v>
      </c>
      <c r="K595" s="86" t="s">
        <v>1123</v>
      </c>
      <c r="L595" s="86">
        <v>1</v>
      </c>
      <c r="M595" s="86"/>
      <c r="O595" s="100"/>
      <c r="P595" s="143"/>
      <c r="Q595" s="102"/>
      <c r="R595" s="103" t="s">
        <v>340</v>
      </c>
      <c r="S595" s="144" t="s">
        <v>910</v>
      </c>
      <c r="T595" s="112" t="s">
        <v>890</v>
      </c>
      <c r="U595" s="106" t="s">
        <v>1117</v>
      </c>
      <c r="V595" s="107">
        <v>56</v>
      </c>
      <c r="W595" s="108"/>
      <c r="X595" s="109" t="s">
        <v>59</v>
      </c>
      <c r="Y595" s="20">
        <f t="shared" si="27"/>
        <v>1</v>
      </c>
      <c r="AA595" s="98">
        <f t="shared" si="25"/>
        <v>0.94999999999999929</v>
      </c>
      <c r="AB595" s="98" t="e">
        <f t="shared" si="26"/>
        <v>#VALUE!</v>
      </c>
    </row>
    <row r="596" spans="1:28" ht="22.35" customHeight="1" thickBot="1" x14ac:dyDescent="0.3">
      <c r="A596" s="80" t="s">
        <v>103</v>
      </c>
      <c r="B596" s="80" t="s">
        <v>1124</v>
      </c>
      <c r="C596" s="81">
        <v>24</v>
      </c>
      <c r="D596" s="23" t="s">
        <v>1125</v>
      </c>
      <c r="E596" s="23" t="s">
        <v>1126</v>
      </c>
      <c r="F596" s="141" t="s">
        <v>1127</v>
      </c>
      <c r="G596" s="21" t="s">
        <v>108</v>
      </c>
      <c r="H596" s="191">
        <v>24.9</v>
      </c>
      <c r="I596" s="84">
        <v>21.960290000000001</v>
      </c>
      <c r="J596" s="23" t="s">
        <v>1128</v>
      </c>
      <c r="K596" s="86" t="s">
        <v>1129</v>
      </c>
      <c r="L596" s="86">
        <v>1</v>
      </c>
      <c r="M596" s="86"/>
      <c r="O596" s="100"/>
      <c r="P596" s="143"/>
      <c r="Q596" s="102"/>
      <c r="R596" s="103" t="s">
        <v>448</v>
      </c>
      <c r="S596" s="144" t="s">
        <v>910</v>
      </c>
      <c r="T596" s="112" t="s">
        <v>890</v>
      </c>
      <c r="U596" s="106" t="s">
        <v>1117</v>
      </c>
      <c r="V596" s="107">
        <v>56</v>
      </c>
      <c r="W596" s="108"/>
      <c r="X596" s="109" t="s">
        <v>282</v>
      </c>
      <c r="Y596" s="20">
        <f t="shared" si="27"/>
        <v>1</v>
      </c>
      <c r="AA596" s="98">
        <f t="shared" si="25"/>
        <v>2.939709999999998</v>
      </c>
      <c r="AB596" s="98" t="e">
        <f t="shared" si="26"/>
        <v>#VALUE!</v>
      </c>
    </row>
    <row r="597" spans="1:28" ht="22.35" customHeight="1" thickBot="1" x14ac:dyDescent="0.3">
      <c r="A597" s="80" t="s">
        <v>478</v>
      </c>
      <c r="B597" s="80" t="s">
        <v>1130</v>
      </c>
      <c r="C597" s="81">
        <v>18</v>
      </c>
      <c r="D597" s="23" t="s">
        <v>1131</v>
      </c>
      <c r="E597" s="23" t="s">
        <v>1132</v>
      </c>
      <c r="F597" s="141"/>
      <c r="G597" s="21">
        <v>1</v>
      </c>
      <c r="H597" s="191">
        <v>22.5</v>
      </c>
      <c r="I597" s="84">
        <v>21.01</v>
      </c>
      <c r="J597" s="23" t="s">
        <v>942</v>
      </c>
      <c r="K597" s="86" t="s">
        <v>1133</v>
      </c>
      <c r="L597" s="86">
        <v>4</v>
      </c>
      <c r="M597" s="86"/>
      <c r="O597" s="100"/>
      <c r="P597" s="143"/>
      <c r="Q597" s="102"/>
      <c r="R597" s="103" t="s">
        <v>371</v>
      </c>
      <c r="S597" s="144" t="s">
        <v>910</v>
      </c>
      <c r="T597" s="112" t="s">
        <v>890</v>
      </c>
      <c r="U597" s="106"/>
      <c r="V597" s="107">
        <v>56</v>
      </c>
      <c r="W597" s="108"/>
      <c r="X597" s="109" t="s">
        <v>179</v>
      </c>
      <c r="Y597" s="20">
        <f t="shared" si="27"/>
        <v>1</v>
      </c>
      <c r="AA597" s="98">
        <f t="shared" si="25"/>
        <v>1.4899999999999984</v>
      </c>
      <c r="AB597" s="98" t="e">
        <f t="shared" si="26"/>
        <v>#VALUE!</v>
      </c>
    </row>
    <row r="598" spans="1:28" ht="22.35" customHeight="1" thickBot="1" x14ac:dyDescent="0.3">
      <c r="A598" s="80" t="s">
        <v>103</v>
      </c>
      <c r="B598" s="80" t="s">
        <v>1134</v>
      </c>
      <c r="C598" s="81">
        <v>12</v>
      </c>
      <c r="D598" s="23" t="s">
        <v>1135</v>
      </c>
      <c r="E598" s="23" t="s">
        <v>1136</v>
      </c>
      <c r="F598" s="141"/>
      <c r="G598" s="21">
        <v>2</v>
      </c>
      <c r="H598" s="191">
        <v>36.9</v>
      </c>
      <c r="I598" s="84">
        <v>32.26</v>
      </c>
      <c r="J598" s="23" t="s">
        <v>1050</v>
      </c>
      <c r="K598" s="86" t="s">
        <v>1137</v>
      </c>
      <c r="L598" s="86">
        <v>1</v>
      </c>
      <c r="M598" s="86"/>
      <c r="O598" s="100"/>
      <c r="P598" s="143"/>
      <c r="Q598" s="102"/>
      <c r="R598" s="103" t="s">
        <v>111</v>
      </c>
      <c r="S598" s="144" t="s">
        <v>910</v>
      </c>
      <c r="T598" s="112" t="s">
        <v>890</v>
      </c>
      <c r="U598" s="106"/>
      <c r="V598" s="107">
        <v>56</v>
      </c>
      <c r="W598" s="108"/>
      <c r="X598" s="109" t="s">
        <v>288</v>
      </c>
      <c r="Y598" s="20">
        <f t="shared" si="27"/>
        <v>1</v>
      </c>
      <c r="AA598" s="98">
        <f t="shared" si="25"/>
        <v>4.6400000000000006</v>
      </c>
      <c r="AB598" s="98" t="e">
        <f t="shared" si="26"/>
        <v>#VALUE!</v>
      </c>
    </row>
    <row r="599" spans="1:28" ht="22.35" customHeight="1" thickBot="1" x14ac:dyDescent="0.3">
      <c r="A599" s="80"/>
      <c r="B599" s="80"/>
      <c r="F599" s="141"/>
      <c r="H599" s="191"/>
      <c r="I599" s="84"/>
      <c r="K599" s="86"/>
      <c r="L599" s="86"/>
      <c r="M599" s="86"/>
      <c r="O599" s="100"/>
      <c r="P599" s="143"/>
      <c r="Q599" s="102"/>
      <c r="R599" s="103"/>
      <c r="S599" s="144" t="s">
        <v>910</v>
      </c>
      <c r="T599" s="112" t="s">
        <v>890</v>
      </c>
      <c r="U599" s="106" t="s">
        <v>1138</v>
      </c>
      <c r="V599" s="107">
        <v>56</v>
      </c>
      <c r="W599" s="108"/>
      <c r="X599" s="109"/>
      <c r="Y599" s="20">
        <f t="shared" si="27"/>
        <v>0</v>
      </c>
      <c r="AA599" s="98">
        <f t="shared" si="25"/>
        <v>0</v>
      </c>
      <c r="AB599" s="98">
        <f t="shared" si="26"/>
        <v>0</v>
      </c>
    </row>
    <row r="600" spans="1:28" ht="22.35" customHeight="1" thickBot="1" x14ac:dyDescent="0.3">
      <c r="A600" s="80"/>
      <c r="B600" s="80"/>
      <c r="F600" s="141"/>
      <c r="H600" s="191"/>
      <c r="I600" s="84"/>
      <c r="K600" s="86"/>
      <c r="L600" s="86"/>
      <c r="M600" s="86"/>
      <c r="O600" s="100"/>
      <c r="P600" s="143"/>
      <c r="Q600" s="102"/>
      <c r="R600" s="103"/>
      <c r="S600" s="144" t="s">
        <v>910</v>
      </c>
      <c r="T600" s="112" t="s">
        <v>890</v>
      </c>
      <c r="U600" s="106" t="s">
        <v>1139</v>
      </c>
      <c r="V600" s="107">
        <v>56</v>
      </c>
      <c r="W600" s="108"/>
      <c r="X600" s="109"/>
      <c r="Y600" s="20">
        <f t="shared" si="27"/>
        <v>0</v>
      </c>
      <c r="AA600" s="98">
        <f t="shared" si="25"/>
        <v>0</v>
      </c>
      <c r="AB600" s="98">
        <f t="shared" si="26"/>
        <v>0</v>
      </c>
    </row>
    <row r="601" spans="1:28" ht="22.35" customHeight="1" thickBot="1" x14ac:dyDescent="0.3">
      <c r="A601" s="209"/>
      <c r="B601" s="209"/>
      <c r="C601" s="210"/>
      <c r="D601" s="211"/>
      <c r="E601" s="211"/>
      <c r="F601" s="236"/>
      <c r="G601" s="213"/>
      <c r="H601" s="191"/>
      <c r="I601" s="238"/>
      <c r="J601" s="211"/>
      <c r="K601" s="215"/>
      <c r="L601" s="215"/>
      <c r="M601" s="215"/>
      <c r="N601" s="216"/>
      <c r="O601" s="239"/>
      <c r="P601" s="240"/>
      <c r="Q601" s="154"/>
      <c r="R601" s="241"/>
      <c r="S601" s="242" t="s">
        <v>910</v>
      </c>
      <c r="T601" s="243" t="s">
        <v>890</v>
      </c>
      <c r="U601" s="244" t="s">
        <v>1140</v>
      </c>
      <c r="V601" s="233">
        <v>56</v>
      </c>
      <c r="W601" s="108"/>
      <c r="X601" s="109"/>
      <c r="Y601" s="20">
        <f t="shared" si="27"/>
        <v>0</v>
      </c>
      <c r="AA601" s="98">
        <f t="shared" si="25"/>
        <v>0</v>
      </c>
      <c r="AB601" s="98">
        <f t="shared" si="26"/>
        <v>0</v>
      </c>
    </row>
    <row r="602" spans="1:28" ht="22.35" customHeight="1" thickBot="1" x14ac:dyDescent="0.3">
      <c r="A602" s="285" t="s">
        <v>1141</v>
      </c>
      <c r="B602" s="285">
        <v>5900516112066</v>
      </c>
      <c r="C602" s="286">
        <v>50</v>
      </c>
      <c r="D602" s="287" t="s">
        <v>1142</v>
      </c>
      <c r="E602" s="287" t="s">
        <v>1143</v>
      </c>
      <c r="F602" s="288" t="s">
        <v>1144</v>
      </c>
      <c r="G602" s="289">
        <v>4</v>
      </c>
      <c r="H602" s="277">
        <v>14.9</v>
      </c>
      <c r="I602" s="289">
        <v>13.9392</v>
      </c>
      <c r="J602" s="287" t="s">
        <v>1145</v>
      </c>
      <c r="K602" s="291">
        <v>7122770</v>
      </c>
      <c r="L602" s="291">
        <v>4</v>
      </c>
      <c r="M602" s="291"/>
      <c r="N602" s="292"/>
      <c r="O602" s="293"/>
      <c r="P602" s="294"/>
      <c r="Q602" s="294"/>
      <c r="R602" s="295" t="s">
        <v>1146</v>
      </c>
      <c r="S602" s="296" t="s">
        <v>1147</v>
      </c>
      <c r="T602" s="94" t="s">
        <v>890</v>
      </c>
      <c r="U602" s="297" t="s">
        <v>1148</v>
      </c>
      <c r="V602" s="298">
        <v>56</v>
      </c>
      <c r="W602" s="108"/>
      <c r="X602" s="109" t="s">
        <v>117</v>
      </c>
      <c r="Y602" s="20">
        <f t="shared" si="27"/>
        <v>1</v>
      </c>
      <c r="AA602" s="98">
        <f t="shared" si="25"/>
        <v>0.96080000000000076</v>
      </c>
      <c r="AB602" s="98" t="e">
        <f t="shared" si="26"/>
        <v>#VALUE!</v>
      </c>
    </row>
    <row r="603" spans="1:28" ht="22.35" customHeight="1" thickBot="1" x14ac:dyDescent="0.3">
      <c r="A603" s="209">
        <v>999</v>
      </c>
      <c r="B603" s="209" t="s">
        <v>1149</v>
      </c>
      <c r="C603" s="210">
        <v>12</v>
      </c>
      <c r="D603" s="211" t="s">
        <v>1150</v>
      </c>
      <c r="E603" s="211" t="s">
        <v>1132</v>
      </c>
      <c r="F603" s="212"/>
      <c r="G603" s="213">
        <v>2</v>
      </c>
      <c r="H603" s="191">
        <v>36.5</v>
      </c>
      <c r="I603" s="213">
        <v>34.396999999999998</v>
      </c>
      <c r="J603" s="211" t="s">
        <v>1151</v>
      </c>
      <c r="K603" s="215" t="s">
        <v>1152</v>
      </c>
      <c r="L603" s="215">
        <v>4</v>
      </c>
      <c r="M603" s="215"/>
      <c r="N603" s="216"/>
      <c r="O603" s="247"/>
      <c r="P603" s="248"/>
      <c r="Q603" s="248"/>
      <c r="R603" s="249" t="s">
        <v>334</v>
      </c>
      <c r="S603" s="250" t="s">
        <v>1151</v>
      </c>
      <c r="T603" s="125" t="s">
        <v>890</v>
      </c>
      <c r="U603" s="244" t="s">
        <v>575</v>
      </c>
      <c r="V603" s="245">
        <v>56</v>
      </c>
      <c r="W603" s="160"/>
      <c r="X603" s="161" t="s">
        <v>45</v>
      </c>
      <c r="Y603" s="20">
        <f t="shared" si="27"/>
        <v>1</v>
      </c>
      <c r="AA603" s="98">
        <f>H603-I603</f>
        <v>2.1030000000000015</v>
      </c>
      <c r="AB603" s="98" t="e">
        <f>R603-H603</f>
        <v>#VALUE!</v>
      </c>
    </row>
    <row r="604" spans="1:28" ht="22.35" customHeight="1" thickBot="1" x14ac:dyDescent="0.3">
      <c r="A604" s="80"/>
      <c r="B604" s="80" t="s">
        <v>1153</v>
      </c>
      <c r="C604" s="81">
        <v>24</v>
      </c>
      <c r="D604" s="23" t="s">
        <v>1154</v>
      </c>
      <c r="E604" s="23" t="s">
        <v>1155</v>
      </c>
      <c r="G604" s="21" t="s">
        <v>108</v>
      </c>
      <c r="H604" s="277">
        <v>24.9</v>
      </c>
      <c r="I604" s="21">
        <v>22.99</v>
      </c>
      <c r="J604" s="23" t="s">
        <v>1156</v>
      </c>
      <c r="K604" s="86" t="s">
        <v>1157</v>
      </c>
      <c r="L604" s="86">
        <v>4</v>
      </c>
      <c r="M604" s="86" t="s">
        <v>1158</v>
      </c>
      <c r="O604" s="235"/>
      <c r="P604" s="206"/>
      <c r="Q604" s="206"/>
      <c r="R604" s="207" t="s">
        <v>938</v>
      </c>
      <c r="S604" s="208" t="s">
        <v>1159</v>
      </c>
      <c r="T604" s="94" t="s">
        <v>890</v>
      </c>
      <c r="U604" s="94" t="s">
        <v>1160</v>
      </c>
      <c r="V604" s="324">
        <v>57</v>
      </c>
      <c r="W604" s="108"/>
      <c r="X604" s="109" t="s">
        <v>45</v>
      </c>
      <c r="Y604" s="20">
        <f t="shared" si="27"/>
        <v>1</v>
      </c>
      <c r="AA604" s="98">
        <f t="shared" si="25"/>
        <v>1.9100000000000001</v>
      </c>
      <c r="AB604" s="98" t="e">
        <f t="shared" si="26"/>
        <v>#VALUE!</v>
      </c>
    </row>
    <row r="605" spans="1:28" ht="22.35" customHeight="1" thickBot="1" x14ac:dyDescent="0.3">
      <c r="A605" s="80">
        <v>10</v>
      </c>
      <c r="B605" s="80" t="s">
        <v>1161</v>
      </c>
      <c r="C605" s="81">
        <v>12</v>
      </c>
      <c r="D605" s="23" t="s">
        <v>1162</v>
      </c>
      <c r="E605" s="23" t="s">
        <v>992</v>
      </c>
      <c r="F605" s="82" t="s">
        <v>1163</v>
      </c>
      <c r="G605" s="21">
        <v>4</v>
      </c>
      <c r="H605" s="191">
        <v>54.9</v>
      </c>
      <c r="I605" s="21">
        <v>50.650599999999997</v>
      </c>
      <c r="J605" s="23" t="s">
        <v>1013</v>
      </c>
      <c r="K605" s="86" t="s">
        <v>1164</v>
      </c>
      <c r="L605" s="86">
        <v>4</v>
      </c>
      <c r="M605" s="86" t="s">
        <v>1165</v>
      </c>
      <c r="N605" s="87">
        <v>43.534399999999998</v>
      </c>
      <c r="O605" s="223"/>
      <c r="P605" s="224"/>
      <c r="Q605" s="224"/>
      <c r="R605" s="225" t="s">
        <v>304</v>
      </c>
      <c r="S605" s="226" t="s">
        <v>1166</v>
      </c>
      <c r="T605" s="94" t="s">
        <v>890</v>
      </c>
      <c r="U605" s="106" t="s">
        <v>1160</v>
      </c>
      <c r="V605" s="326">
        <v>57</v>
      </c>
      <c r="W605" s="108"/>
      <c r="X605" s="109" t="s">
        <v>55</v>
      </c>
      <c r="Y605" s="20">
        <f t="shared" si="27"/>
        <v>1</v>
      </c>
      <c r="AA605" s="98">
        <f t="shared" si="25"/>
        <v>4.2494000000000014</v>
      </c>
      <c r="AB605" s="98" t="e">
        <f t="shared" si="26"/>
        <v>#VALUE!</v>
      </c>
    </row>
    <row r="606" spans="1:28" ht="22.35" customHeight="1" thickBot="1" x14ac:dyDescent="0.3">
      <c r="A606" s="80" t="s">
        <v>103</v>
      </c>
      <c r="B606" s="80" t="s">
        <v>1167</v>
      </c>
      <c r="C606" s="81">
        <v>24</v>
      </c>
      <c r="D606" s="23" t="s">
        <v>1168</v>
      </c>
      <c r="E606" s="23" t="s">
        <v>1169</v>
      </c>
      <c r="F606" s="82" t="s">
        <v>1170</v>
      </c>
      <c r="G606" s="21">
        <v>2</v>
      </c>
      <c r="H606" s="191">
        <v>18.899999999999999</v>
      </c>
      <c r="I606" s="21">
        <v>17.61</v>
      </c>
      <c r="J606" s="23" t="s">
        <v>1171</v>
      </c>
      <c r="K606" s="86" t="s">
        <v>1172</v>
      </c>
      <c r="L606" s="86">
        <v>4</v>
      </c>
      <c r="M606" s="86" t="s">
        <v>1173</v>
      </c>
      <c r="O606" s="223"/>
      <c r="P606" s="224"/>
      <c r="Q606" s="224"/>
      <c r="R606" s="225" t="s">
        <v>340</v>
      </c>
      <c r="S606" s="226" t="s">
        <v>1171</v>
      </c>
      <c r="T606" s="94" t="s">
        <v>890</v>
      </c>
      <c r="U606" s="106" t="s">
        <v>1174</v>
      </c>
      <c r="V606" s="326">
        <v>57</v>
      </c>
      <c r="W606" s="108"/>
      <c r="X606" s="109" t="s">
        <v>117</v>
      </c>
      <c r="Y606" s="20">
        <f t="shared" si="27"/>
        <v>1</v>
      </c>
      <c r="AA606" s="98">
        <f t="shared" si="25"/>
        <v>1.2899999999999991</v>
      </c>
      <c r="AB606" s="98" t="e">
        <f t="shared" si="26"/>
        <v>#VALUE!</v>
      </c>
    </row>
    <row r="607" spans="1:28" ht="22.35" customHeight="1" thickBot="1" x14ac:dyDescent="0.3">
      <c r="A607" s="209">
        <v>12</v>
      </c>
      <c r="B607" s="209" t="s">
        <v>1175</v>
      </c>
      <c r="C607" s="210">
        <v>60</v>
      </c>
      <c r="D607" s="211" t="s">
        <v>1176</v>
      </c>
      <c r="E607" s="211" t="s">
        <v>1177</v>
      </c>
      <c r="F607" s="212" t="s">
        <v>1178</v>
      </c>
      <c r="G607" s="213" t="s">
        <v>108</v>
      </c>
      <c r="H607" s="277">
        <v>29.9</v>
      </c>
      <c r="I607" s="213">
        <v>28.47200804128677</v>
      </c>
      <c r="J607" s="211" t="s">
        <v>1179</v>
      </c>
      <c r="K607" s="215" t="s">
        <v>1180</v>
      </c>
      <c r="L607" s="215">
        <v>4</v>
      </c>
      <c r="M607" s="215" t="s">
        <v>1181</v>
      </c>
      <c r="N607" s="216" t="e">
        <v>#VALUE!</v>
      </c>
      <c r="O607" s="247"/>
      <c r="P607" s="248"/>
      <c r="Q607" s="248"/>
      <c r="R607" s="249" t="s">
        <v>327</v>
      </c>
      <c r="S607" s="250" t="s">
        <v>1179</v>
      </c>
      <c r="T607" s="251" t="s">
        <v>890</v>
      </c>
      <c r="U607" s="244" t="s">
        <v>1182</v>
      </c>
      <c r="V607" s="245">
        <v>57</v>
      </c>
      <c r="W607" s="108"/>
      <c r="X607" s="109" t="s">
        <v>119</v>
      </c>
      <c r="Y607" s="20">
        <f t="shared" si="27"/>
        <v>1</v>
      </c>
      <c r="AA607" s="98">
        <f t="shared" si="25"/>
        <v>1.4279919587132284</v>
      </c>
      <c r="AB607" s="98" t="e">
        <f t="shared" si="26"/>
        <v>#VALUE!</v>
      </c>
    </row>
    <row r="608" spans="1:28" ht="22.35" customHeight="1" thickBot="1" x14ac:dyDescent="0.3">
      <c r="A608" s="127"/>
      <c r="B608" s="127"/>
      <c r="C608" s="128"/>
      <c r="D608" s="129"/>
      <c r="E608" s="129"/>
      <c r="F608" s="130"/>
      <c r="G608" s="132"/>
      <c r="H608" s="191"/>
      <c r="I608" s="158"/>
      <c r="J608" s="129" t="s">
        <v>1183</v>
      </c>
      <c r="K608" s="159"/>
      <c r="L608" s="133">
        <v>16</v>
      </c>
      <c r="M608" s="133"/>
      <c r="N608" s="134"/>
      <c r="O608" s="135"/>
      <c r="P608" s="136"/>
      <c r="Q608" s="137"/>
      <c r="R608" s="138"/>
      <c r="S608" s="144" t="s">
        <v>138</v>
      </c>
      <c r="T608" s="112" t="s">
        <v>890</v>
      </c>
      <c r="U608" s="106"/>
      <c r="V608" s="107">
        <v>58</v>
      </c>
      <c r="W608" s="96"/>
      <c r="X608" s="97" t="s">
        <v>45</v>
      </c>
      <c r="Y608" s="20">
        <f t="shared" si="27"/>
        <v>0</v>
      </c>
      <c r="AA608" s="98">
        <f t="shared" si="25"/>
        <v>0</v>
      </c>
      <c r="AB608" s="98">
        <f t="shared" si="26"/>
        <v>0</v>
      </c>
    </row>
    <row r="609" spans="1:35" ht="22.35" customHeight="1" thickBot="1" x14ac:dyDescent="0.3">
      <c r="A609" s="80">
        <v>12</v>
      </c>
      <c r="B609" s="80" t="s">
        <v>1184</v>
      </c>
      <c r="C609" s="81">
        <v>48</v>
      </c>
      <c r="D609" s="23" t="s">
        <v>1185</v>
      </c>
      <c r="F609" s="141"/>
      <c r="G609" s="21" t="s">
        <v>89</v>
      </c>
      <c r="H609" s="191" t="s">
        <v>1186</v>
      </c>
      <c r="I609" s="84">
        <v>33.759</v>
      </c>
      <c r="J609" s="23" t="s">
        <v>1013</v>
      </c>
      <c r="K609" s="86" t="s">
        <v>1187</v>
      </c>
      <c r="L609" s="86"/>
      <c r="M609" s="86" t="s">
        <v>1188</v>
      </c>
      <c r="O609" s="100"/>
      <c r="P609" s="143"/>
      <c r="Q609" s="102"/>
      <c r="R609" s="103">
        <v>37.5</v>
      </c>
      <c r="S609" s="144" t="s">
        <v>138</v>
      </c>
      <c r="T609" s="112" t="s">
        <v>890</v>
      </c>
      <c r="U609" s="106"/>
      <c r="V609" s="107">
        <v>58</v>
      </c>
      <c r="W609" s="108"/>
      <c r="X609" s="109"/>
      <c r="Y609" s="20">
        <f t="shared" si="27"/>
        <v>1</v>
      </c>
      <c r="AA609" s="98" t="e">
        <f t="shared" si="25"/>
        <v>#VALUE!</v>
      </c>
      <c r="AB609" s="98" t="e">
        <f t="shared" si="26"/>
        <v>#VALUE!</v>
      </c>
    </row>
    <row r="610" spans="1:35" ht="22.35" customHeight="1" thickBot="1" x14ac:dyDescent="0.3">
      <c r="A610" s="80">
        <v>12</v>
      </c>
      <c r="B610" s="80">
        <v>8697755699423</v>
      </c>
      <c r="C610" s="81">
        <v>24</v>
      </c>
      <c r="D610" s="23" t="s">
        <v>1189</v>
      </c>
      <c r="F610" s="141"/>
      <c r="G610" s="21" t="s">
        <v>89</v>
      </c>
      <c r="H610" s="191" t="s">
        <v>1190</v>
      </c>
      <c r="I610" s="84">
        <v>23.494327999999999</v>
      </c>
      <c r="J610" s="23" t="s">
        <v>1013</v>
      </c>
      <c r="K610" s="86" t="s">
        <v>1191</v>
      </c>
      <c r="L610" s="86" t="s">
        <v>1013</v>
      </c>
      <c r="M610" s="86" t="s">
        <v>1192</v>
      </c>
      <c r="O610" s="100"/>
      <c r="P610" s="143"/>
      <c r="Q610" s="102"/>
      <c r="R610" s="103">
        <v>26.5</v>
      </c>
      <c r="S610" s="144" t="s">
        <v>138</v>
      </c>
      <c r="T610" s="112" t="s">
        <v>890</v>
      </c>
      <c r="U610" s="106"/>
      <c r="V610" s="107">
        <v>58</v>
      </c>
      <c r="W610" s="108"/>
      <c r="X610" s="109"/>
      <c r="Y610" s="20">
        <f t="shared" si="27"/>
        <v>1</v>
      </c>
      <c r="AA610" s="98" t="e">
        <f t="shared" si="25"/>
        <v>#VALUE!</v>
      </c>
      <c r="AB610" s="98" t="e">
        <f t="shared" si="26"/>
        <v>#VALUE!</v>
      </c>
    </row>
    <row r="611" spans="1:35" ht="22.35" customHeight="1" thickBot="1" x14ac:dyDescent="0.3">
      <c r="A611" s="80">
        <v>12</v>
      </c>
      <c r="B611" s="80">
        <v>8696630138330</v>
      </c>
      <c r="C611" s="81">
        <v>24</v>
      </c>
      <c r="D611" s="23" t="s">
        <v>1193</v>
      </c>
      <c r="F611" s="141"/>
      <c r="G611" s="21" t="s">
        <v>89</v>
      </c>
      <c r="H611" s="191" t="s">
        <v>826</v>
      </c>
      <c r="I611" s="84">
        <v>16.774471999999999</v>
      </c>
      <c r="J611" s="23" t="s">
        <v>1013</v>
      </c>
      <c r="K611" s="86" t="s">
        <v>1194</v>
      </c>
      <c r="L611" s="86" t="s">
        <v>1013</v>
      </c>
      <c r="M611" s="86" t="s">
        <v>1195</v>
      </c>
      <c r="O611" s="100"/>
      <c r="P611" s="143"/>
      <c r="Q611" s="102"/>
      <c r="R611" s="103">
        <v>18.899999999999999</v>
      </c>
      <c r="S611" s="144" t="s">
        <v>138</v>
      </c>
      <c r="T611" s="112" t="s">
        <v>890</v>
      </c>
      <c r="U611" s="106"/>
      <c r="V611" s="107">
        <v>58</v>
      </c>
      <c r="W611" s="108"/>
      <c r="X611" s="109"/>
      <c r="Y611" s="20">
        <f t="shared" si="27"/>
        <v>1</v>
      </c>
      <c r="AA611" s="98" t="e">
        <f t="shared" si="25"/>
        <v>#VALUE!</v>
      </c>
      <c r="AB611" s="98" t="e">
        <f t="shared" si="26"/>
        <v>#VALUE!</v>
      </c>
    </row>
    <row r="612" spans="1:35" ht="22.35" customHeight="1" thickBot="1" x14ac:dyDescent="0.3">
      <c r="A612" s="80"/>
      <c r="B612" s="80"/>
      <c r="F612" s="141"/>
      <c r="H612" s="191"/>
      <c r="I612" s="84"/>
      <c r="K612" s="86"/>
      <c r="L612" s="86"/>
      <c r="M612" s="86"/>
      <c r="O612" s="100"/>
      <c r="P612" s="143"/>
      <c r="Q612" s="102"/>
      <c r="R612" s="103"/>
      <c r="S612" s="144" t="s">
        <v>138</v>
      </c>
      <c r="T612" s="112" t="s">
        <v>890</v>
      </c>
      <c r="U612" s="106"/>
      <c r="V612" s="107">
        <v>58</v>
      </c>
      <c r="W612" s="108"/>
      <c r="X612" s="109"/>
      <c r="Y612" s="20">
        <f t="shared" si="27"/>
        <v>0</v>
      </c>
      <c r="AA612" s="98">
        <f t="shared" si="25"/>
        <v>0</v>
      </c>
      <c r="AB612" s="98">
        <f t="shared" si="26"/>
        <v>0</v>
      </c>
    </row>
    <row r="613" spans="1:35" ht="22.35" customHeight="1" thickBot="1" x14ac:dyDescent="0.3">
      <c r="A613" s="80"/>
      <c r="B613" s="80"/>
      <c r="F613" s="22"/>
      <c r="H613" s="191"/>
      <c r="I613" s="84"/>
      <c r="K613" s="86"/>
      <c r="L613" s="86"/>
      <c r="M613" s="86"/>
      <c r="O613" s="100"/>
      <c r="P613" s="143"/>
      <c r="Q613" s="102"/>
      <c r="R613" s="103"/>
      <c r="S613" s="144" t="s">
        <v>138</v>
      </c>
      <c r="T613" s="112" t="s">
        <v>890</v>
      </c>
      <c r="U613" s="106"/>
      <c r="V613" s="107">
        <v>58</v>
      </c>
      <c r="W613" s="108"/>
      <c r="X613" s="109"/>
      <c r="Y613" s="20">
        <f t="shared" si="27"/>
        <v>0</v>
      </c>
      <c r="AA613" s="98">
        <f t="shared" si="25"/>
        <v>0</v>
      </c>
      <c r="AB613" s="98">
        <f t="shared" si="26"/>
        <v>0</v>
      </c>
    </row>
    <row r="614" spans="1:35" ht="22.35" customHeight="1" thickBot="1" x14ac:dyDescent="0.3">
      <c r="A614" s="80"/>
      <c r="B614" s="80"/>
      <c r="F614" s="141"/>
      <c r="H614" s="191"/>
      <c r="I614" s="84"/>
      <c r="K614" s="86"/>
      <c r="L614" s="86"/>
      <c r="M614" s="86"/>
      <c r="O614" s="100"/>
      <c r="P614" s="143"/>
      <c r="Q614" s="102"/>
      <c r="R614" s="103"/>
      <c r="S614" s="144" t="s">
        <v>138</v>
      </c>
      <c r="T614" s="112" t="s">
        <v>890</v>
      </c>
      <c r="U614" s="106"/>
      <c r="V614" s="107">
        <v>58</v>
      </c>
      <c r="W614" s="96"/>
      <c r="X614" s="97"/>
      <c r="Y614" s="20">
        <f t="shared" si="27"/>
        <v>0</v>
      </c>
      <c r="AA614" s="98">
        <f t="shared" si="25"/>
        <v>0</v>
      </c>
      <c r="AB614" s="98">
        <f t="shared" si="26"/>
        <v>0</v>
      </c>
    </row>
    <row r="615" spans="1:35" ht="22.35" customHeight="1" thickBot="1" x14ac:dyDescent="0.3">
      <c r="A615" s="80"/>
      <c r="B615" s="80"/>
      <c r="F615" s="141"/>
      <c r="H615" s="191"/>
      <c r="I615" s="84"/>
      <c r="K615" s="86"/>
      <c r="L615" s="86"/>
      <c r="M615" s="86"/>
      <c r="O615" s="100"/>
      <c r="P615" s="143"/>
      <c r="Q615" s="102"/>
      <c r="R615" s="103"/>
      <c r="S615" s="144" t="s">
        <v>138</v>
      </c>
      <c r="T615" s="112" t="s">
        <v>890</v>
      </c>
      <c r="U615" s="106"/>
      <c r="V615" s="107">
        <v>58</v>
      </c>
      <c r="W615" s="108"/>
      <c r="X615" s="109"/>
      <c r="Y615" s="20">
        <f t="shared" si="27"/>
        <v>0</v>
      </c>
      <c r="AA615" s="98">
        <f t="shared" si="25"/>
        <v>0</v>
      </c>
      <c r="AB615" s="98">
        <f t="shared" si="26"/>
        <v>0</v>
      </c>
    </row>
    <row r="616" spans="1:35" ht="22.35" customHeight="1" thickBot="1" x14ac:dyDescent="0.3">
      <c r="A616" s="80"/>
      <c r="B616" s="80"/>
      <c r="F616" s="141"/>
      <c r="H616" s="191"/>
      <c r="I616" s="84"/>
      <c r="K616" s="86"/>
      <c r="L616" s="86"/>
      <c r="M616" s="86"/>
      <c r="O616" s="100"/>
      <c r="P616" s="143"/>
      <c r="Q616" s="102"/>
      <c r="R616" s="103"/>
      <c r="S616" s="144" t="s">
        <v>138</v>
      </c>
      <c r="T616" s="112" t="s">
        <v>890</v>
      </c>
      <c r="U616" s="106"/>
      <c r="V616" s="107">
        <v>58</v>
      </c>
      <c r="W616" s="108"/>
      <c r="X616" s="109"/>
      <c r="Y616" s="20">
        <f t="shared" si="27"/>
        <v>0</v>
      </c>
      <c r="AA616" s="98">
        <f t="shared" si="25"/>
        <v>0</v>
      </c>
      <c r="AB616" s="98">
        <f t="shared" si="26"/>
        <v>0</v>
      </c>
    </row>
    <row r="617" spans="1:35" ht="22.35" customHeight="1" thickBot="1" x14ac:dyDescent="0.3">
      <c r="A617" s="80"/>
      <c r="B617" s="80"/>
      <c r="F617" s="141"/>
      <c r="H617" s="191"/>
      <c r="I617" s="84"/>
      <c r="K617" s="86"/>
      <c r="L617" s="86"/>
      <c r="M617" s="86"/>
      <c r="O617" s="100"/>
      <c r="P617" s="143"/>
      <c r="Q617" s="102"/>
      <c r="R617" s="103"/>
      <c r="S617" s="144" t="s">
        <v>138</v>
      </c>
      <c r="T617" s="112" t="s">
        <v>890</v>
      </c>
      <c r="U617" s="106"/>
      <c r="V617" s="107">
        <v>58</v>
      </c>
      <c r="W617" s="108"/>
      <c r="X617" s="109"/>
      <c r="Y617" s="20">
        <f t="shared" si="27"/>
        <v>0</v>
      </c>
      <c r="AA617" s="98">
        <f t="shared" si="25"/>
        <v>0</v>
      </c>
      <c r="AB617" s="98">
        <f t="shared" si="26"/>
        <v>0</v>
      </c>
    </row>
    <row r="618" spans="1:35" ht="22.35" customHeight="1" thickBot="1" x14ac:dyDescent="0.3">
      <c r="A618" s="80"/>
      <c r="B618" s="80"/>
      <c r="F618" s="141"/>
      <c r="H618" s="191"/>
      <c r="I618" s="84"/>
      <c r="K618" s="86"/>
      <c r="L618" s="86"/>
      <c r="M618" s="86"/>
      <c r="O618" s="100"/>
      <c r="P618" s="143"/>
      <c r="Q618" s="102"/>
      <c r="R618" s="103"/>
      <c r="S618" s="144" t="s">
        <v>138</v>
      </c>
      <c r="T618" s="112" t="s">
        <v>890</v>
      </c>
      <c r="U618" s="106"/>
      <c r="V618" s="107">
        <v>58</v>
      </c>
      <c r="W618" s="108"/>
      <c r="X618" s="109"/>
      <c r="Y618" s="20">
        <f t="shared" si="27"/>
        <v>0</v>
      </c>
      <c r="AA618" s="98">
        <f t="shared" si="25"/>
        <v>0</v>
      </c>
      <c r="AB618" s="98">
        <f t="shared" si="26"/>
        <v>0</v>
      </c>
    </row>
    <row r="619" spans="1:35" ht="22.35" customHeight="1" thickBot="1" x14ac:dyDescent="0.3">
      <c r="A619" s="209"/>
      <c r="B619" s="209"/>
      <c r="C619" s="210"/>
      <c r="D619" s="211"/>
      <c r="E619" s="211"/>
      <c r="F619" s="236"/>
      <c r="G619" s="213"/>
      <c r="H619" s="191"/>
      <c r="I619" s="238"/>
      <c r="J619" s="211"/>
      <c r="K619" s="215"/>
      <c r="L619" s="215"/>
      <c r="M619" s="215"/>
      <c r="N619" s="216"/>
      <c r="O619" s="239"/>
      <c r="P619" s="240"/>
      <c r="Q619" s="154"/>
      <c r="R619" s="241"/>
      <c r="S619" s="242" t="s">
        <v>138</v>
      </c>
      <c r="T619" s="243" t="s">
        <v>890</v>
      </c>
      <c r="U619" s="244"/>
      <c r="V619" s="233">
        <v>58</v>
      </c>
      <c r="W619" s="108"/>
      <c r="X619" s="109"/>
      <c r="Y619" s="20">
        <f t="shared" si="27"/>
        <v>0</v>
      </c>
      <c r="AA619" s="98">
        <f t="shared" si="25"/>
        <v>0</v>
      </c>
      <c r="AB619" s="98">
        <f t="shared" si="26"/>
        <v>0</v>
      </c>
    </row>
    <row r="620" spans="1:35" ht="22.35" customHeight="1" thickBot="1" x14ac:dyDescent="0.3">
      <c r="A620" s="263"/>
      <c r="B620" s="263"/>
      <c r="C620" s="264"/>
      <c r="D620" s="265" t="s">
        <v>1196</v>
      </c>
      <c r="E620" s="266"/>
      <c r="F620" s="267"/>
      <c r="G620" s="268"/>
      <c r="H620" s="269"/>
      <c r="I620" s="268"/>
      <c r="J620" s="266"/>
      <c r="K620" s="270"/>
      <c r="L620" s="270"/>
      <c r="M620" s="270"/>
      <c r="N620" s="271"/>
      <c r="O620" s="271"/>
      <c r="P620" s="271"/>
      <c r="Q620" s="271"/>
      <c r="R620" s="272"/>
      <c r="S620" s="310"/>
      <c r="T620" s="268"/>
      <c r="U620" s="268"/>
      <c r="V620" s="273"/>
      <c r="W620" s="268"/>
      <c r="X620" s="274"/>
      <c r="Y620" s="20">
        <f t="shared" si="27"/>
        <v>0</v>
      </c>
      <c r="AA620" s="98">
        <f t="shared" si="25"/>
        <v>0</v>
      </c>
      <c r="AB620" s="98">
        <f t="shared" si="26"/>
        <v>0</v>
      </c>
    </row>
    <row r="621" spans="1:35" ht="22.35" customHeight="1" thickBot="1" x14ac:dyDescent="0.3">
      <c r="A621" s="127"/>
      <c r="B621" s="127"/>
      <c r="C621" s="128"/>
      <c r="D621" s="129"/>
      <c r="E621" s="129"/>
      <c r="F621" s="130"/>
      <c r="G621" s="132"/>
      <c r="H621" s="99"/>
      <c r="I621" s="158"/>
      <c r="J621" s="129"/>
      <c r="K621" s="159"/>
      <c r="L621" s="133"/>
      <c r="M621" s="133"/>
      <c r="N621" s="134"/>
      <c r="O621" s="135"/>
      <c r="P621" s="136"/>
      <c r="Q621" s="137"/>
      <c r="R621" s="138"/>
      <c r="S621" s="144" t="s">
        <v>1197</v>
      </c>
      <c r="T621" s="112" t="s">
        <v>1198</v>
      </c>
      <c r="U621" s="106"/>
      <c r="V621" s="107">
        <v>59</v>
      </c>
      <c r="W621" s="96"/>
      <c r="X621" s="97"/>
      <c r="Y621" s="20">
        <f t="shared" si="27"/>
        <v>0</v>
      </c>
      <c r="AA621" s="98">
        <f t="shared" si="25"/>
        <v>0</v>
      </c>
      <c r="AB621" s="98">
        <f t="shared" si="26"/>
        <v>0</v>
      </c>
      <c r="AC621" s="110"/>
      <c r="AD621" s="77"/>
      <c r="AE621" s="77"/>
      <c r="AF621" s="75"/>
      <c r="AG621" s="75"/>
      <c r="AH621" s="75"/>
      <c r="AI621" s="75"/>
    </row>
    <row r="622" spans="1:35" ht="22.35" customHeight="1" thickBot="1" x14ac:dyDescent="0.3">
      <c r="A622" s="80"/>
      <c r="B622" s="80"/>
      <c r="F622" s="141"/>
      <c r="H622" s="99"/>
      <c r="I622" s="84"/>
      <c r="K622" s="86"/>
      <c r="L622" s="86"/>
      <c r="M622" s="86"/>
      <c r="O622" s="100"/>
      <c r="P622" s="143"/>
      <c r="Q622" s="102"/>
      <c r="R622" s="103"/>
      <c r="S622" s="144" t="s">
        <v>1197</v>
      </c>
      <c r="T622" s="112" t="s">
        <v>1198</v>
      </c>
      <c r="U622" s="106"/>
      <c r="V622" s="107">
        <v>59</v>
      </c>
      <c r="W622" s="108"/>
      <c r="X622" s="109"/>
      <c r="Y622" s="20">
        <f t="shared" si="27"/>
        <v>0</v>
      </c>
      <c r="AA622" s="98">
        <f t="shared" ref="AA622:AA685" si="28">H622-I622</f>
        <v>0</v>
      </c>
      <c r="AB622" s="98">
        <f t="shared" ref="AB622:AB685" si="29">R622-H622</f>
        <v>0</v>
      </c>
      <c r="AC622" s="110"/>
      <c r="AD622" s="77"/>
      <c r="AE622" s="77"/>
      <c r="AF622" s="75"/>
      <c r="AG622" s="75"/>
      <c r="AH622" s="75"/>
      <c r="AI622" s="75"/>
    </row>
    <row r="623" spans="1:35" ht="22.35" customHeight="1" thickBot="1" x14ac:dyDescent="0.3">
      <c r="A623" s="80"/>
      <c r="B623" s="80"/>
      <c r="F623" s="141"/>
      <c r="H623" s="99"/>
      <c r="I623" s="84"/>
      <c r="K623" s="86"/>
      <c r="L623" s="86"/>
      <c r="M623" s="86"/>
      <c r="O623" s="100"/>
      <c r="P623" s="143"/>
      <c r="Q623" s="90"/>
      <c r="R623" s="91"/>
      <c r="S623" s="144" t="s">
        <v>1197</v>
      </c>
      <c r="T623" s="112" t="s">
        <v>1198</v>
      </c>
      <c r="U623" s="106"/>
      <c r="V623" s="107">
        <v>59</v>
      </c>
      <c r="W623" s="108"/>
      <c r="X623" s="109"/>
      <c r="Y623" s="20">
        <f t="shared" si="27"/>
        <v>0</v>
      </c>
      <c r="AA623" s="98">
        <f t="shared" si="28"/>
        <v>0</v>
      </c>
      <c r="AB623" s="98">
        <f t="shared" si="29"/>
        <v>0</v>
      </c>
      <c r="AC623" s="110"/>
      <c r="AD623" s="77"/>
      <c r="AE623" s="77"/>
      <c r="AF623" s="75"/>
      <c r="AG623" s="75"/>
      <c r="AH623" s="75"/>
      <c r="AI623" s="75"/>
    </row>
    <row r="624" spans="1:35" ht="22.35" customHeight="1" thickBot="1" x14ac:dyDescent="0.3">
      <c r="A624" s="80"/>
      <c r="B624" s="80"/>
      <c r="F624" s="141"/>
      <c r="H624" s="99"/>
      <c r="I624" s="84"/>
      <c r="K624" s="86"/>
      <c r="L624" s="86"/>
      <c r="M624" s="86"/>
      <c r="O624" s="100"/>
      <c r="P624" s="143"/>
      <c r="Q624" s="90"/>
      <c r="R624" s="91"/>
      <c r="S624" s="144" t="s">
        <v>1197</v>
      </c>
      <c r="T624" s="112" t="s">
        <v>1198</v>
      </c>
      <c r="U624" s="106"/>
      <c r="V624" s="107">
        <v>59</v>
      </c>
      <c r="W624" s="108"/>
      <c r="X624" s="109"/>
      <c r="Y624" s="20">
        <f t="shared" si="27"/>
        <v>0</v>
      </c>
      <c r="AA624" s="98">
        <f t="shared" si="28"/>
        <v>0</v>
      </c>
      <c r="AB624" s="98">
        <f t="shared" si="29"/>
        <v>0</v>
      </c>
      <c r="AC624" s="110"/>
      <c r="AD624" s="77"/>
      <c r="AE624" s="77"/>
      <c r="AF624" s="75"/>
      <c r="AG624" s="75"/>
      <c r="AH624" s="75"/>
      <c r="AI624" s="75"/>
    </row>
    <row r="625" spans="1:39" ht="22.35" customHeight="1" thickBot="1" x14ac:dyDescent="0.3">
      <c r="A625" s="80"/>
      <c r="B625" s="80"/>
      <c r="F625" s="141"/>
      <c r="H625" s="99"/>
      <c r="I625" s="84"/>
      <c r="K625" s="86"/>
      <c r="L625" s="86"/>
      <c r="M625" s="86"/>
      <c r="O625" s="100"/>
      <c r="P625" s="143"/>
      <c r="Q625" s="90"/>
      <c r="R625" s="91"/>
      <c r="S625" s="144" t="s">
        <v>1197</v>
      </c>
      <c r="T625" s="112" t="s">
        <v>1198</v>
      </c>
      <c r="U625" s="106"/>
      <c r="V625" s="107">
        <v>59</v>
      </c>
      <c r="W625" s="108"/>
      <c r="X625" s="109"/>
      <c r="Y625" s="20">
        <f t="shared" si="27"/>
        <v>0</v>
      </c>
      <c r="AA625" s="98">
        <f t="shared" si="28"/>
        <v>0</v>
      </c>
      <c r="AB625" s="98">
        <f t="shared" si="29"/>
        <v>0</v>
      </c>
      <c r="AC625" s="110"/>
      <c r="AD625" s="77"/>
      <c r="AE625" s="77"/>
      <c r="AF625" s="75"/>
      <c r="AG625" s="75"/>
      <c r="AH625" s="75"/>
      <c r="AI625" s="75"/>
    </row>
    <row r="626" spans="1:39" ht="22.35" customHeight="1" thickBot="1" x14ac:dyDescent="0.3">
      <c r="A626" s="80"/>
      <c r="B626" s="80"/>
      <c r="D626" s="342" t="s">
        <v>1199</v>
      </c>
      <c r="F626" s="141"/>
      <c r="H626" s="99"/>
      <c r="I626" s="84"/>
      <c r="K626" s="86"/>
      <c r="L626" s="86"/>
      <c r="M626" s="86"/>
      <c r="O626" s="100"/>
      <c r="P626" s="143"/>
      <c r="Q626" s="90"/>
      <c r="R626" s="91"/>
      <c r="S626" s="144" t="s">
        <v>1197</v>
      </c>
      <c r="T626" s="112" t="s">
        <v>1198</v>
      </c>
      <c r="U626" s="106"/>
      <c r="V626" s="107">
        <v>59</v>
      </c>
      <c r="W626" s="108"/>
      <c r="X626" s="109"/>
      <c r="Y626" s="20">
        <f t="shared" si="27"/>
        <v>0</v>
      </c>
      <c r="AA626" s="98">
        <f t="shared" si="28"/>
        <v>0</v>
      </c>
      <c r="AB626" s="98">
        <f t="shared" si="29"/>
        <v>0</v>
      </c>
      <c r="AC626" s="110"/>
      <c r="AD626" s="77"/>
      <c r="AE626" s="77"/>
      <c r="AF626" s="75"/>
      <c r="AG626" s="75"/>
      <c r="AH626" s="75"/>
      <c r="AI626" s="75"/>
    </row>
    <row r="627" spans="1:39" ht="22.35" customHeight="1" thickBot="1" x14ac:dyDescent="0.3">
      <c r="A627" s="80"/>
      <c r="B627" s="80"/>
      <c r="F627" s="141"/>
      <c r="H627" s="99"/>
      <c r="I627" s="84"/>
      <c r="K627" s="86"/>
      <c r="L627" s="86"/>
      <c r="M627" s="86"/>
      <c r="O627" s="100"/>
      <c r="P627" s="143"/>
      <c r="Q627" s="90"/>
      <c r="R627" s="91"/>
      <c r="S627" s="144" t="s">
        <v>1197</v>
      </c>
      <c r="T627" s="112" t="s">
        <v>1198</v>
      </c>
      <c r="U627" s="106"/>
      <c r="V627" s="107">
        <v>59</v>
      </c>
      <c r="W627" s="108"/>
      <c r="X627" s="109"/>
      <c r="Y627" s="20">
        <f t="shared" si="27"/>
        <v>0</v>
      </c>
      <c r="AA627" s="98">
        <f t="shared" si="28"/>
        <v>0</v>
      </c>
      <c r="AB627" s="98">
        <f t="shared" si="29"/>
        <v>0</v>
      </c>
      <c r="AC627" s="110"/>
      <c r="AD627" s="77"/>
      <c r="AE627" s="77"/>
      <c r="AF627" s="75"/>
      <c r="AG627" s="75"/>
      <c r="AH627" s="75"/>
      <c r="AI627" s="75"/>
    </row>
    <row r="628" spans="1:39" ht="22.35" customHeight="1" thickBot="1" x14ac:dyDescent="0.3">
      <c r="A628" s="80"/>
      <c r="B628" s="80"/>
      <c r="F628" s="141"/>
      <c r="H628" s="99"/>
      <c r="I628" s="84"/>
      <c r="K628" s="86"/>
      <c r="L628" s="86"/>
      <c r="M628" s="86"/>
      <c r="O628" s="100"/>
      <c r="P628" s="143"/>
      <c r="Q628" s="90"/>
      <c r="R628" s="91"/>
      <c r="S628" s="144" t="s">
        <v>1197</v>
      </c>
      <c r="T628" s="112" t="s">
        <v>1198</v>
      </c>
      <c r="U628" s="106"/>
      <c r="V628" s="107">
        <v>59</v>
      </c>
      <c r="W628" s="108"/>
      <c r="X628" s="109"/>
      <c r="Y628" s="20">
        <f t="shared" si="27"/>
        <v>0</v>
      </c>
      <c r="AA628" s="98">
        <f t="shared" si="28"/>
        <v>0</v>
      </c>
      <c r="AB628" s="98">
        <f t="shared" si="29"/>
        <v>0</v>
      </c>
      <c r="AC628" s="110"/>
      <c r="AD628" s="77"/>
      <c r="AE628" s="77"/>
      <c r="AF628" s="75"/>
      <c r="AG628" s="75"/>
      <c r="AH628" s="75"/>
      <c r="AI628" s="75"/>
    </row>
    <row r="629" spans="1:39" ht="22.35" customHeight="1" thickBot="1" x14ac:dyDescent="0.3">
      <c r="A629" s="80"/>
      <c r="B629" s="80"/>
      <c r="F629" s="141"/>
      <c r="H629" s="99"/>
      <c r="I629" s="84"/>
      <c r="K629" s="86"/>
      <c r="L629" s="86"/>
      <c r="M629" s="86"/>
      <c r="O629" s="100"/>
      <c r="P629" s="143"/>
      <c r="Q629" s="90"/>
      <c r="R629" s="91"/>
      <c r="S629" s="144" t="s">
        <v>1197</v>
      </c>
      <c r="T629" s="112" t="s">
        <v>1198</v>
      </c>
      <c r="U629" s="106"/>
      <c r="V629" s="107">
        <v>59</v>
      </c>
      <c r="W629" s="108"/>
      <c r="X629" s="109"/>
      <c r="Y629" s="20">
        <f t="shared" si="27"/>
        <v>0</v>
      </c>
      <c r="AA629" s="98">
        <f t="shared" si="28"/>
        <v>0</v>
      </c>
      <c r="AB629" s="98">
        <f t="shared" si="29"/>
        <v>0</v>
      </c>
      <c r="AC629" s="110"/>
      <c r="AD629" s="77"/>
      <c r="AE629" s="77"/>
      <c r="AF629" s="75"/>
      <c r="AG629" s="75"/>
      <c r="AH629" s="75"/>
      <c r="AI629" s="75"/>
    </row>
    <row r="630" spans="1:39" ht="22.35" customHeight="1" thickBot="1" x14ac:dyDescent="0.3">
      <c r="A630" s="80"/>
      <c r="B630" s="80"/>
      <c r="F630" s="141"/>
      <c r="H630" s="99"/>
      <c r="I630" s="84"/>
      <c r="K630" s="86"/>
      <c r="L630" s="86"/>
      <c r="M630" s="86"/>
      <c r="O630" s="100"/>
      <c r="P630" s="143"/>
      <c r="Q630" s="90"/>
      <c r="R630" s="91"/>
      <c r="S630" s="144" t="s">
        <v>1197</v>
      </c>
      <c r="T630" s="112" t="s">
        <v>1198</v>
      </c>
      <c r="U630" s="106"/>
      <c r="V630" s="107">
        <v>59</v>
      </c>
      <c r="W630" s="108"/>
      <c r="X630" s="109"/>
      <c r="Y630" s="20">
        <f t="shared" si="27"/>
        <v>0</v>
      </c>
      <c r="AA630" s="98">
        <f t="shared" si="28"/>
        <v>0</v>
      </c>
      <c r="AB630" s="98">
        <f t="shared" si="29"/>
        <v>0</v>
      </c>
      <c r="AC630" s="110"/>
      <c r="AD630" s="77"/>
      <c r="AE630" s="77"/>
      <c r="AF630" s="75"/>
      <c r="AG630" s="75"/>
      <c r="AH630" s="75"/>
      <c r="AI630" s="75"/>
    </row>
    <row r="631" spans="1:39" ht="22.35" customHeight="1" thickBot="1" x14ac:dyDescent="0.3">
      <c r="A631" s="80"/>
      <c r="B631" s="80"/>
      <c r="F631" s="141"/>
      <c r="H631" s="99"/>
      <c r="I631" s="84"/>
      <c r="K631" s="86"/>
      <c r="L631" s="86"/>
      <c r="M631" s="86"/>
      <c r="O631" s="100"/>
      <c r="P631" s="143"/>
      <c r="Q631" s="90"/>
      <c r="R631" s="91"/>
      <c r="S631" s="144" t="s">
        <v>1197</v>
      </c>
      <c r="T631" s="112" t="s">
        <v>1198</v>
      </c>
      <c r="U631" s="106"/>
      <c r="V631" s="107">
        <v>59</v>
      </c>
      <c r="W631" s="108"/>
      <c r="X631" s="109"/>
      <c r="Y631" s="20">
        <f t="shared" si="27"/>
        <v>0</v>
      </c>
      <c r="AA631" s="98">
        <f t="shared" si="28"/>
        <v>0</v>
      </c>
      <c r="AB631" s="98">
        <f t="shared" si="29"/>
        <v>0</v>
      </c>
      <c r="AC631" s="110"/>
      <c r="AD631" s="77"/>
      <c r="AE631" s="77"/>
      <c r="AF631" s="75"/>
      <c r="AG631" s="75"/>
      <c r="AH631" s="75"/>
      <c r="AI631" s="75"/>
    </row>
    <row r="632" spans="1:39" ht="22.35" customHeight="1" thickBot="1" x14ac:dyDescent="0.3">
      <c r="A632" s="80"/>
      <c r="B632" s="80"/>
      <c r="F632" s="141"/>
      <c r="H632" s="99"/>
      <c r="I632" s="84"/>
      <c r="K632" s="86"/>
      <c r="L632" s="86"/>
      <c r="M632" s="86"/>
      <c r="O632" s="100"/>
      <c r="P632" s="143"/>
      <c r="Q632" s="90"/>
      <c r="R632" s="91"/>
      <c r="S632" s="144" t="s">
        <v>1197</v>
      </c>
      <c r="T632" s="112" t="s">
        <v>1198</v>
      </c>
      <c r="U632" s="106"/>
      <c r="V632" s="107">
        <v>59</v>
      </c>
      <c r="W632" s="108"/>
      <c r="X632" s="109"/>
      <c r="Y632" s="20">
        <f t="shared" si="27"/>
        <v>0</v>
      </c>
      <c r="AA632" s="98">
        <f t="shared" si="28"/>
        <v>0</v>
      </c>
      <c r="AB632" s="98">
        <f t="shared" si="29"/>
        <v>0</v>
      </c>
      <c r="AC632" s="110"/>
      <c r="AD632" s="77"/>
      <c r="AE632" s="77"/>
      <c r="AF632" s="75"/>
      <c r="AG632" s="75"/>
      <c r="AH632" s="75"/>
      <c r="AI632" s="75"/>
    </row>
    <row r="633" spans="1:39" ht="22.35" customHeight="1" thickBot="1" x14ac:dyDescent="0.3">
      <c r="A633" s="80"/>
      <c r="B633" s="80"/>
      <c r="F633" s="141"/>
      <c r="H633" s="99"/>
      <c r="I633" s="84"/>
      <c r="K633" s="86"/>
      <c r="L633" s="86"/>
      <c r="M633" s="86"/>
      <c r="O633" s="100"/>
      <c r="P633" s="143"/>
      <c r="Q633" s="90"/>
      <c r="R633" s="91"/>
      <c r="S633" s="144" t="s">
        <v>1197</v>
      </c>
      <c r="T633" s="112" t="s">
        <v>1198</v>
      </c>
      <c r="U633" s="106"/>
      <c r="V633" s="107">
        <v>59</v>
      </c>
      <c r="W633" s="108"/>
      <c r="X633" s="109"/>
      <c r="Y633" s="20">
        <f t="shared" si="27"/>
        <v>0</v>
      </c>
      <c r="AA633" s="98">
        <f t="shared" si="28"/>
        <v>0</v>
      </c>
      <c r="AB633" s="98">
        <f t="shared" si="29"/>
        <v>0</v>
      </c>
      <c r="AC633" s="110"/>
      <c r="AD633" s="77"/>
      <c r="AE633" s="77"/>
      <c r="AF633" s="75"/>
      <c r="AG633" s="75"/>
      <c r="AH633" s="75"/>
      <c r="AI633" s="75"/>
    </row>
    <row r="634" spans="1:39" ht="22.35" customHeight="1" thickBot="1" x14ac:dyDescent="0.3">
      <c r="A634" s="80"/>
      <c r="B634" s="80"/>
      <c r="F634" s="141"/>
      <c r="H634" s="99"/>
      <c r="I634" s="84"/>
      <c r="K634" s="86"/>
      <c r="L634" s="86"/>
      <c r="M634" s="86"/>
      <c r="O634" s="100"/>
      <c r="P634" s="143"/>
      <c r="Q634" s="90"/>
      <c r="R634" s="91"/>
      <c r="S634" s="144" t="s">
        <v>1197</v>
      </c>
      <c r="T634" s="112" t="s">
        <v>1198</v>
      </c>
      <c r="U634" s="106"/>
      <c r="V634" s="107">
        <v>59</v>
      </c>
      <c r="W634" s="160"/>
      <c r="X634" s="161"/>
      <c r="Y634" s="20">
        <f t="shared" si="27"/>
        <v>0</v>
      </c>
      <c r="AA634" s="98">
        <f t="shared" si="28"/>
        <v>0</v>
      </c>
      <c r="AB634" s="98">
        <f t="shared" si="29"/>
        <v>0</v>
      </c>
      <c r="AC634" s="110"/>
      <c r="AD634" s="77"/>
      <c r="AE634" s="77"/>
      <c r="AF634" s="75"/>
      <c r="AG634" s="75"/>
      <c r="AH634" s="75"/>
      <c r="AI634" s="75"/>
    </row>
    <row r="635" spans="1:39" ht="22.35" customHeight="1" thickBot="1" x14ac:dyDescent="0.3">
      <c r="A635" s="80"/>
      <c r="B635" s="80"/>
      <c r="F635" s="141"/>
      <c r="H635" s="99"/>
      <c r="I635" s="84"/>
      <c r="K635" s="86"/>
      <c r="L635" s="86"/>
      <c r="M635" s="86"/>
      <c r="O635" s="100"/>
      <c r="P635" s="143"/>
      <c r="Q635" s="90"/>
      <c r="R635" s="91"/>
      <c r="S635" s="144" t="s">
        <v>1197</v>
      </c>
      <c r="T635" s="112" t="s">
        <v>1198</v>
      </c>
      <c r="U635" s="106"/>
      <c r="V635" s="107">
        <v>59</v>
      </c>
      <c r="W635" s="160"/>
      <c r="X635" s="161"/>
      <c r="Y635" s="20">
        <f t="shared" si="27"/>
        <v>0</v>
      </c>
      <c r="AA635" s="98">
        <f t="shared" si="28"/>
        <v>0</v>
      </c>
      <c r="AB635" s="98">
        <f t="shared" si="29"/>
        <v>0</v>
      </c>
      <c r="AC635" s="110"/>
      <c r="AD635" s="77"/>
      <c r="AE635" s="77"/>
      <c r="AF635" s="75"/>
      <c r="AG635" s="75"/>
      <c r="AH635" s="75"/>
      <c r="AI635" s="75"/>
    </row>
    <row r="636" spans="1:39" ht="22.35" customHeight="1" thickBot="1" x14ac:dyDescent="0.3">
      <c r="A636" s="252"/>
      <c r="B636" s="252"/>
      <c r="C636" s="253"/>
      <c r="D636" s="254"/>
      <c r="E636" s="254"/>
      <c r="F636" s="195"/>
      <c r="G636" s="196"/>
      <c r="H636" s="255"/>
      <c r="I636" s="256"/>
      <c r="J636" s="257"/>
      <c r="K636" s="258"/>
      <c r="L636" s="258"/>
      <c r="M636" s="258"/>
      <c r="N636" s="228"/>
      <c r="O636" s="200"/>
      <c r="P636" s="202"/>
      <c r="Q636" s="259"/>
      <c r="R636" s="260"/>
      <c r="S636" s="155" t="s">
        <v>1197</v>
      </c>
      <c r="T636" s="124" t="s">
        <v>1198</v>
      </c>
      <c r="U636" s="125"/>
      <c r="V636" s="126">
        <v>59</v>
      </c>
      <c r="W636" s="261"/>
      <c r="X636" s="262"/>
      <c r="Y636" s="20">
        <f t="shared" si="27"/>
        <v>0</v>
      </c>
      <c r="AA636" s="98">
        <f t="shared" si="28"/>
        <v>0</v>
      </c>
      <c r="AB636" s="98">
        <f t="shared" si="29"/>
        <v>0</v>
      </c>
      <c r="AC636" s="110"/>
      <c r="AD636" s="77"/>
      <c r="AE636" s="77"/>
      <c r="AF636" s="75"/>
      <c r="AG636" s="75"/>
      <c r="AH636" s="75"/>
      <c r="AI636" s="75"/>
    </row>
    <row r="637" spans="1:39" ht="22.35" customHeight="1" thickBot="1" x14ac:dyDescent="0.3">
      <c r="A637" s="80"/>
      <c r="B637" s="80"/>
      <c r="H637" s="83"/>
      <c r="I637" s="84"/>
      <c r="K637" s="85"/>
      <c r="L637" s="86"/>
      <c r="M637" s="86"/>
      <c r="O637" s="88"/>
      <c r="P637" s="89"/>
      <c r="Q637" s="90"/>
      <c r="R637" s="91"/>
      <c r="S637" s="104" t="s">
        <v>1200</v>
      </c>
      <c r="T637" s="93" t="s">
        <v>43</v>
      </c>
      <c r="U637" s="94"/>
      <c r="V637" s="324">
        <v>60</v>
      </c>
      <c r="W637" s="96"/>
      <c r="X637" s="97"/>
      <c r="Y637" s="20">
        <f t="shared" si="27"/>
        <v>0</v>
      </c>
      <c r="AA637" s="98">
        <f t="shared" si="28"/>
        <v>0</v>
      </c>
      <c r="AB637" s="98">
        <f t="shared" si="29"/>
        <v>0</v>
      </c>
    </row>
    <row r="638" spans="1:39" ht="22.35" customHeight="1" thickBot="1" x14ac:dyDescent="0.3">
      <c r="A638" s="80"/>
      <c r="B638" s="80"/>
      <c r="H638" s="99"/>
      <c r="K638" s="86"/>
      <c r="L638" s="86"/>
      <c r="M638" s="86"/>
      <c r="O638" s="100"/>
      <c r="P638" s="101"/>
      <c r="Q638" s="102"/>
      <c r="R638" s="103"/>
      <c r="S638" s="104" t="s">
        <v>1200</v>
      </c>
      <c r="T638" s="105" t="s">
        <v>43</v>
      </c>
      <c r="U638" s="106"/>
      <c r="V638" s="107">
        <v>60</v>
      </c>
      <c r="W638" s="108"/>
      <c r="X638" s="109"/>
      <c r="Y638" s="20">
        <f t="shared" si="27"/>
        <v>0</v>
      </c>
      <c r="AA638" s="98">
        <f t="shared" si="28"/>
        <v>0</v>
      </c>
      <c r="AB638" s="98">
        <f t="shared" si="29"/>
        <v>0</v>
      </c>
    </row>
    <row r="639" spans="1:39" s="75" customFormat="1" ht="22.35" customHeight="1" thickBot="1" x14ac:dyDescent="0.3">
      <c r="A639" s="209"/>
      <c r="B639" s="209"/>
      <c r="C639" s="210"/>
      <c r="D639" s="211"/>
      <c r="E639" s="211"/>
      <c r="F639" s="212"/>
      <c r="G639" s="213"/>
      <c r="H639" s="99"/>
      <c r="I639" s="213"/>
      <c r="J639" s="211"/>
      <c r="K639" s="215"/>
      <c r="L639" s="215"/>
      <c r="M639" s="215"/>
      <c r="N639" s="216"/>
      <c r="O639" s="239"/>
      <c r="P639" s="343"/>
      <c r="Q639" s="154"/>
      <c r="R639" s="241"/>
      <c r="S639" s="344" t="s">
        <v>1200</v>
      </c>
      <c r="T639" s="345" t="s">
        <v>43</v>
      </c>
      <c r="U639" s="244"/>
      <c r="V639" s="245">
        <v>60</v>
      </c>
      <c r="W639" s="108"/>
      <c r="X639" s="109"/>
      <c r="Y639" s="20">
        <f t="shared" si="27"/>
        <v>0</v>
      </c>
      <c r="Z639" s="21"/>
      <c r="AA639" s="98">
        <f t="shared" si="28"/>
        <v>0</v>
      </c>
      <c r="AB639" s="98">
        <f t="shared" si="29"/>
        <v>0</v>
      </c>
      <c r="AC639" s="110"/>
      <c r="AD639" s="77"/>
      <c r="AE639" s="77"/>
      <c r="AM639" s="111"/>
    </row>
    <row r="640" spans="1:39" ht="22.15" customHeight="1" x14ac:dyDescent="0.25">
      <c r="H640" s="346"/>
      <c r="O640" s="347"/>
      <c r="Y640" s="20">
        <f t="shared" si="27"/>
        <v>0</v>
      </c>
      <c r="AA640" s="98">
        <f t="shared" si="28"/>
        <v>0</v>
      </c>
      <c r="AB640" s="98">
        <f t="shared" si="29"/>
        <v>0</v>
      </c>
    </row>
    <row r="641" spans="1:29" ht="22.15" customHeight="1" x14ac:dyDescent="0.25">
      <c r="H641" s="346"/>
      <c r="O641" s="347"/>
      <c r="Y641" s="20">
        <f t="shared" si="27"/>
        <v>0</v>
      </c>
      <c r="AA641" s="98">
        <f t="shared" si="28"/>
        <v>0</v>
      </c>
      <c r="AB641" s="98">
        <f t="shared" si="29"/>
        <v>0</v>
      </c>
    </row>
    <row r="642" spans="1:29" ht="22.15" customHeight="1" x14ac:dyDescent="0.25">
      <c r="H642" s="346"/>
      <c r="O642" s="347"/>
      <c r="Y642" s="20">
        <f t="shared" si="27"/>
        <v>0</v>
      </c>
      <c r="AA642" s="98">
        <f t="shared" si="28"/>
        <v>0</v>
      </c>
      <c r="AB642" s="98">
        <f t="shared" si="29"/>
        <v>0</v>
      </c>
    </row>
    <row r="643" spans="1:29" ht="22.15" customHeight="1" x14ac:dyDescent="0.25">
      <c r="A643" s="21" t="s">
        <v>224</v>
      </c>
      <c r="B643" s="80" t="s">
        <v>1201</v>
      </c>
      <c r="C643" s="81">
        <v>20</v>
      </c>
      <c r="D643" s="23" t="s">
        <v>226</v>
      </c>
      <c r="E643" s="23" t="s">
        <v>1202</v>
      </c>
      <c r="F643" s="82" t="s">
        <v>65</v>
      </c>
      <c r="H643" s="346">
        <v>10.9</v>
      </c>
      <c r="I643" s="21">
        <v>10.15056</v>
      </c>
      <c r="J643" s="23" t="s">
        <v>228</v>
      </c>
      <c r="K643" s="86" t="s">
        <v>1203</v>
      </c>
      <c r="L643" s="86"/>
      <c r="M643" s="86"/>
      <c r="O643" s="347"/>
      <c r="P643" s="87">
        <v>1</v>
      </c>
      <c r="Q643" s="87">
        <v>1</v>
      </c>
      <c r="R643" s="84">
        <v>11.9</v>
      </c>
      <c r="X643" s="147">
        <v>0</v>
      </c>
      <c r="Y643" s="20">
        <f t="shared" si="27"/>
        <v>1</v>
      </c>
      <c r="AA643" s="98">
        <f t="shared" si="28"/>
        <v>0.74943999999999988</v>
      </c>
      <c r="AB643" s="98">
        <f t="shared" si="29"/>
        <v>1</v>
      </c>
    </row>
    <row r="644" spans="1:29" ht="22.15" customHeight="1" x14ac:dyDescent="0.25">
      <c r="A644" s="21" t="s">
        <v>224</v>
      </c>
      <c r="B644" s="80" t="s">
        <v>1204</v>
      </c>
      <c r="C644" s="81">
        <v>20</v>
      </c>
      <c r="D644" s="23" t="s">
        <v>226</v>
      </c>
      <c r="E644" s="23" t="s">
        <v>1205</v>
      </c>
      <c r="F644" s="82" t="s">
        <v>65</v>
      </c>
      <c r="H644" s="346">
        <v>10.9</v>
      </c>
      <c r="I644" s="21">
        <v>10.15056</v>
      </c>
      <c r="J644" s="23" t="s">
        <v>228</v>
      </c>
      <c r="K644" s="86" t="s">
        <v>1206</v>
      </c>
      <c r="L644" s="86"/>
      <c r="M644" s="86"/>
      <c r="O644" s="347"/>
      <c r="P644" s="87">
        <v>1</v>
      </c>
      <c r="Q644" s="87">
        <v>1</v>
      </c>
      <c r="R644" s="84">
        <v>11.9</v>
      </c>
      <c r="X644" s="147">
        <v>0</v>
      </c>
      <c r="Y644" s="20">
        <f t="shared" si="27"/>
        <v>1</v>
      </c>
      <c r="AA644" s="98">
        <f t="shared" si="28"/>
        <v>0.74943999999999988</v>
      </c>
      <c r="AB644" s="98">
        <f t="shared" si="29"/>
        <v>1</v>
      </c>
    </row>
    <row r="645" spans="1:29" ht="22.15" customHeight="1" x14ac:dyDescent="0.25">
      <c r="A645" s="21" t="s">
        <v>224</v>
      </c>
      <c r="B645" s="80" t="s">
        <v>1207</v>
      </c>
      <c r="C645" s="81">
        <v>20</v>
      </c>
      <c r="D645" s="23" t="s">
        <v>226</v>
      </c>
      <c r="E645" s="23" t="s">
        <v>1208</v>
      </c>
      <c r="F645" s="82" t="s">
        <v>65</v>
      </c>
      <c r="H645" s="346">
        <v>10.9</v>
      </c>
      <c r="I645" s="21">
        <v>10.15056</v>
      </c>
      <c r="J645" s="23" t="s">
        <v>228</v>
      </c>
      <c r="K645" s="86" t="s">
        <v>1209</v>
      </c>
      <c r="L645" s="86"/>
      <c r="M645" s="86"/>
      <c r="O645" s="347"/>
      <c r="P645" s="87">
        <v>1</v>
      </c>
      <c r="Q645" s="87">
        <v>1</v>
      </c>
      <c r="R645" s="84">
        <v>11.9</v>
      </c>
      <c r="X645" s="147">
        <v>0</v>
      </c>
      <c r="Y645" s="20">
        <f t="shared" si="27"/>
        <v>1</v>
      </c>
      <c r="AA645" s="98">
        <f t="shared" si="28"/>
        <v>0.74943999999999988</v>
      </c>
      <c r="AB645" s="98">
        <f t="shared" si="29"/>
        <v>1</v>
      </c>
    </row>
    <row r="646" spans="1:29" ht="22.15" customHeight="1" x14ac:dyDescent="0.25">
      <c r="A646" s="21" t="s">
        <v>171</v>
      </c>
      <c r="B646" s="80" t="s">
        <v>1210</v>
      </c>
      <c r="C646" s="81">
        <v>10</v>
      </c>
      <c r="D646" s="23" t="s">
        <v>1211</v>
      </c>
      <c r="E646" s="23" t="s">
        <v>1212</v>
      </c>
      <c r="F646" s="82" t="s">
        <v>242</v>
      </c>
      <c r="H646" s="346">
        <v>9.5</v>
      </c>
      <c r="I646" s="21">
        <v>8.61</v>
      </c>
      <c r="J646" s="23" t="s">
        <v>237</v>
      </c>
      <c r="K646" s="86" t="s">
        <v>1213</v>
      </c>
      <c r="L646" s="86"/>
      <c r="M646" s="86"/>
      <c r="O646" s="347"/>
      <c r="P646" s="87">
        <v>0</v>
      </c>
      <c r="Q646" s="87">
        <v>1</v>
      </c>
      <c r="R646" s="84">
        <v>9.9</v>
      </c>
      <c r="X646" s="147">
        <v>0</v>
      </c>
      <c r="Y646" s="20">
        <f t="shared" si="27"/>
        <v>1</v>
      </c>
      <c r="AA646" s="98">
        <f t="shared" si="28"/>
        <v>0.89000000000000057</v>
      </c>
      <c r="AB646" s="98">
        <f t="shared" si="29"/>
        <v>0.40000000000000036</v>
      </c>
    </row>
    <row r="647" spans="1:29" ht="22.15" customHeight="1" x14ac:dyDescent="0.25">
      <c r="A647" s="21" t="s">
        <v>255</v>
      </c>
      <c r="B647" s="80" t="s">
        <v>1214</v>
      </c>
      <c r="C647" s="81">
        <v>12</v>
      </c>
      <c r="D647" s="23" t="s">
        <v>1215</v>
      </c>
      <c r="E647" s="23" t="s">
        <v>1216</v>
      </c>
      <c r="F647" s="82" t="s">
        <v>274</v>
      </c>
      <c r="H647" s="346">
        <v>33.9</v>
      </c>
      <c r="I647" s="21">
        <v>29.68</v>
      </c>
      <c r="J647" s="23" t="s">
        <v>275</v>
      </c>
      <c r="K647" s="86" t="s">
        <v>1217</v>
      </c>
      <c r="L647" s="86"/>
      <c r="M647" s="86"/>
      <c r="O647" s="347"/>
      <c r="P647" s="87">
        <v>1</v>
      </c>
      <c r="Q647" s="87">
        <v>1</v>
      </c>
      <c r="R647" s="84">
        <v>36.9</v>
      </c>
      <c r="X647" s="147">
        <v>0</v>
      </c>
      <c r="Y647" s="20">
        <f t="shared" ref="Y647:Y710" si="30">COUNTIF(K:K,K647)</f>
        <v>1</v>
      </c>
      <c r="AA647" s="98">
        <f t="shared" si="28"/>
        <v>4.2199999999999989</v>
      </c>
      <c r="AB647" s="98">
        <f t="shared" si="29"/>
        <v>3</v>
      </c>
    </row>
    <row r="648" spans="1:29" ht="22.15" customHeight="1" x14ac:dyDescent="0.25">
      <c r="A648" s="21" t="s">
        <v>255</v>
      </c>
      <c r="B648" s="80" t="s">
        <v>1218</v>
      </c>
      <c r="C648" s="81">
        <v>12</v>
      </c>
      <c r="D648" s="23" t="s">
        <v>1215</v>
      </c>
      <c r="E648" s="23" t="s">
        <v>1219</v>
      </c>
      <c r="F648" s="82" t="s">
        <v>274</v>
      </c>
      <c r="H648" s="346">
        <v>33.9</v>
      </c>
      <c r="I648" s="21">
        <v>29.12</v>
      </c>
      <c r="J648" s="23" t="s">
        <v>275</v>
      </c>
      <c r="K648" s="86" t="s">
        <v>1220</v>
      </c>
      <c r="L648" s="86"/>
      <c r="M648" s="86"/>
      <c r="O648" s="347"/>
      <c r="P648" s="87">
        <v>1</v>
      </c>
      <c r="Q648" s="87">
        <v>1</v>
      </c>
      <c r="R648" s="84">
        <v>36.9</v>
      </c>
      <c r="X648" s="147">
        <v>0</v>
      </c>
      <c r="Y648" s="20">
        <f t="shared" si="30"/>
        <v>1</v>
      </c>
      <c r="AA648" s="98">
        <f t="shared" si="28"/>
        <v>4.7799999999999976</v>
      </c>
      <c r="AB648" s="98">
        <f t="shared" si="29"/>
        <v>3</v>
      </c>
    </row>
    <row r="649" spans="1:29" ht="22.15" customHeight="1" x14ac:dyDescent="0.25">
      <c r="A649" s="21" t="s">
        <v>171</v>
      </c>
      <c r="B649" s="80" t="s">
        <v>1221</v>
      </c>
      <c r="C649" s="81">
        <v>12</v>
      </c>
      <c r="D649" s="23" t="s">
        <v>1222</v>
      </c>
      <c r="E649" s="23" t="s">
        <v>1202</v>
      </c>
      <c r="F649" s="82" t="s">
        <v>248</v>
      </c>
      <c r="H649" s="346">
        <v>12.5</v>
      </c>
      <c r="I649" s="21">
        <v>12.13968</v>
      </c>
      <c r="J649" s="23" t="s">
        <v>249</v>
      </c>
      <c r="K649" s="86" t="s">
        <v>1223</v>
      </c>
      <c r="L649" s="86"/>
      <c r="M649" s="86"/>
      <c r="O649" s="347"/>
      <c r="P649" s="87">
        <v>1</v>
      </c>
      <c r="Q649" s="87">
        <v>1</v>
      </c>
      <c r="R649" s="84">
        <v>13.9</v>
      </c>
      <c r="X649" s="147">
        <v>0</v>
      </c>
      <c r="Y649" s="20">
        <f t="shared" si="30"/>
        <v>1</v>
      </c>
      <c r="AA649" s="98">
        <f t="shared" si="28"/>
        <v>0.36031999999999975</v>
      </c>
      <c r="AB649" s="98">
        <f t="shared" si="29"/>
        <v>1.4000000000000004</v>
      </c>
    </row>
    <row r="650" spans="1:29" ht="22.15" customHeight="1" x14ac:dyDescent="0.25">
      <c r="A650" s="21" t="s">
        <v>171</v>
      </c>
      <c r="B650" s="80" t="s">
        <v>1224</v>
      </c>
      <c r="C650" s="81">
        <v>12</v>
      </c>
      <c r="D650" s="23" t="s">
        <v>1222</v>
      </c>
      <c r="E650" s="23" t="s">
        <v>1225</v>
      </c>
      <c r="F650" s="82" t="s">
        <v>248</v>
      </c>
      <c r="H650" s="346">
        <v>12.5</v>
      </c>
      <c r="I650" s="21">
        <v>12.13968</v>
      </c>
      <c r="J650" s="23" t="s">
        <v>249</v>
      </c>
      <c r="K650" s="86" t="s">
        <v>1226</v>
      </c>
      <c r="L650" s="86"/>
      <c r="M650" s="86"/>
      <c r="O650" s="347"/>
      <c r="P650" s="87">
        <v>1</v>
      </c>
      <c r="Q650" s="87">
        <v>1</v>
      </c>
      <c r="R650" s="84">
        <v>13.9</v>
      </c>
      <c r="X650" s="147">
        <v>0</v>
      </c>
      <c r="Y650" s="20">
        <f t="shared" si="30"/>
        <v>1</v>
      </c>
      <c r="AA650" s="98">
        <f t="shared" si="28"/>
        <v>0.36031999999999975</v>
      </c>
      <c r="AB650" s="98">
        <f t="shared" si="29"/>
        <v>1.4000000000000004</v>
      </c>
    </row>
    <row r="651" spans="1:29" ht="22.15" customHeight="1" x14ac:dyDescent="0.25">
      <c r="A651" s="21" t="s">
        <v>171</v>
      </c>
      <c r="B651" s="80" t="s">
        <v>1227</v>
      </c>
      <c r="C651" s="81">
        <v>12</v>
      </c>
      <c r="D651" s="23" t="s">
        <v>1222</v>
      </c>
      <c r="E651" s="23" t="s">
        <v>1228</v>
      </c>
      <c r="F651" s="82" t="s">
        <v>248</v>
      </c>
      <c r="H651" s="346">
        <v>12.5</v>
      </c>
      <c r="I651" s="21">
        <v>12.13968</v>
      </c>
      <c r="J651" s="23" t="s">
        <v>249</v>
      </c>
      <c r="K651" s="86" t="s">
        <v>1229</v>
      </c>
      <c r="L651" s="86"/>
      <c r="M651" s="86"/>
      <c r="O651" s="347"/>
      <c r="P651" s="87">
        <v>1</v>
      </c>
      <c r="Q651" s="87">
        <v>1</v>
      </c>
      <c r="R651" s="84">
        <v>13.9</v>
      </c>
      <c r="X651" s="147">
        <v>0</v>
      </c>
      <c r="Y651" s="20">
        <f t="shared" si="30"/>
        <v>1</v>
      </c>
      <c r="AA651" s="98">
        <f t="shared" si="28"/>
        <v>0.36031999999999975</v>
      </c>
      <c r="AB651" s="98">
        <f t="shared" si="29"/>
        <v>1.4000000000000004</v>
      </c>
    </row>
    <row r="652" spans="1:29" ht="22.15" customHeight="1" x14ac:dyDescent="0.25">
      <c r="A652" s="21" t="s">
        <v>171</v>
      </c>
      <c r="B652" s="80" t="s">
        <v>1230</v>
      </c>
      <c r="C652" s="81">
        <v>12</v>
      </c>
      <c r="D652" s="23" t="s">
        <v>1222</v>
      </c>
      <c r="E652" s="23" t="s">
        <v>1231</v>
      </c>
      <c r="F652" s="82" t="s">
        <v>248</v>
      </c>
      <c r="H652" s="346">
        <v>12.5</v>
      </c>
      <c r="I652" s="21">
        <v>12.13968</v>
      </c>
      <c r="J652" s="23" t="s">
        <v>249</v>
      </c>
      <c r="K652" s="86" t="s">
        <v>1232</v>
      </c>
      <c r="L652" s="86"/>
      <c r="M652" s="86"/>
      <c r="O652" s="347"/>
      <c r="P652" s="87">
        <v>1</v>
      </c>
      <c r="Q652" s="87">
        <v>1</v>
      </c>
      <c r="R652" s="84">
        <v>13.9</v>
      </c>
      <c r="X652" s="147">
        <v>0</v>
      </c>
      <c r="Y652" s="20">
        <f t="shared" si="30"/>
        <v>1</v>
      </c>
      <c r="AA652" s="98">
        <f t="shared" si="28"/>
        <v>0.36031999999999975</v>
      </c>
      <c r="AB652" s="98">
        <f t="shared" si="29"/>
        <v>1.4000000000000004</v>
      </c>
    </row>
    <row r="653" spans="1:29" ht="22.15" customHeight="1" x14ac:dyDescent="0.25">
      <c r="A653" s="21" t="s">
        <v>171</v>
      </c>
      <c r="B653" s="80" t="s">
        <v>1233</v>
      </c>
      <c r="C653" s="81">
        <v>12</v>
      </c>
      <c r="D653" s="23" t="s">
        <v>1222</v>
      </c>
      <c r="E653" s="23" t="s">
        <v>232</v>
      </c>
      <c r="F653" s="82" t="s">
        <v>248</v>
      </c>
      <c r="H653" s="346">
        <v>12.5</v>
      </c>
      <c r="I653" s="21">
        <v>12.13968</v>
      </c>
      <c r="J653" s="23" t="s">
        <v>249</v>
      </c>
      <c r="K653" s="86" t="s">
        <v>1234</v>
      </c>
      <c r="L653" s="86"/>
      <c r="M653" s="86"/>
      <c r="O653" s="347"/>
      <c r="P653" s="87">
        <v>1</v>
      </c>
      <c r="Q653" s="87">
        <v>1</v>
      </c>
      <c r="R653" s="84">
        <v>13.9</v>
      </c>
      <c r="X653" s="147">
        <v>0</v>
      </c>
      <c r="Y653" s="20">
        <f t="shared" si="30"/>
        <v>1</v>
      </c>
      <c r="AA653" s="98">
        <f t="shared" si="28"/>
        <v>0.36031999999999975</v>
      </c>
      <c r="AB653" s="98">
        <f t="shared" si="29"/>
        <v>1.4000000000000004</v>
      </c>
    </row>
    <row r="654" spans="1:29" ht="22.15" customHeight="1" x14ac:dyDescent="0.25">
      <c r="A654" s="21" t="s">
        <v>171</v>
      </c>
      <c r="B654" s="80" t="s">
        <v>1235</v>
      </c>
      <c r="C654" s="81">
        <v>12</v>
      </c>
      <c r="D654" s="23" t="s">
        <v>1222</v>
      </c>
      <c r="E654" s="23" t="s">
        <v>1236</v>
      </c>
      <c r="F654" s="82" t="s">
        <v>248</v>
      </c>
      <c r="H654" s="346">
        <v>12.5</v>
      </c>
      <c r="I654" s="21">
        <v>12.13968</v>
      </c>
      <c r="J654" s="23" t="s">
        <v>249</v>
      </c>
      <c r="K654" s="86" t="s">
        <v>1237</v>
      </c>
      <c r="L654" s="86"/>
      <c r="M654" s="86"/>
      <c r="O654" s="347"/>
      <c r="P654" s="87">
        <v>1</v>
      </c>
      <c r="Q654" s="87">
        <v>1</v>
      </c>
      <c r="R654" s="84">
        <v>13.9</v>
      </c>
      <c r="X654" s="147">
        <v>0</v>
      </c>
      <c r="Y654" s="20">
        <f t="shared" si="30"/>
        <v>1</v>
      </c>
      <c r="AA654" s="98">
        <f t="shared" si="28"/>
        <v>0.36031999999999975</v>
      </c>
      <c r="AB654" s="98">
        <f t="shared" si="29"/>
        <v>1.4000000000000004</v>
      </c>
    </row>
    <row r="655" spans="1:29" ht="22.15" customHeight="1" x14ac:dyDescent="0.25">
      <c r="A655" s="21" t="s">
        <v>171</v>
      </c>
      <c r="B655" s="80" t="s">
        <v>1238</v>
      </c>
      <c r="C655" s="81">
        <v>12</v>
      </c>
      <c r="D655" s="23" t="s">
        <v>1222</v>
      </c>
      <c r="E655" s="23" t="s">
        <v>1239</v>
      </c>
      <c r="F655" s="82" t="s">
        <v>248</v>
      </c>
      <c r="H655" s="346">
        <v>12.5</v>
      </c>
      <c r="I655" s="21">
        <v>12.13968</v>
      </c>
      <c r="J655" s="23" t="s">
        <v>249</v>
      </c>
      <c r="K655" s="86" t="s">
        <v>1240</v>
      </c>
      <c r="L655" s="86"/>
      <c r="M655" s="86"/>
      <c r="O655" s="347"/>
      <c r="P655" s="87">
        <v>1</v>
      </c>
      <c r="Q655" s="87">
        <v>1</v>
      </c>
      <c r="R655" s="84">
        <v>13.9</v>
      </c>
      <c r="X655" s="147">
        <v>0</v>
      </c>
      <c r="Y655" s="20">
        <f t="shared" si="30"/>
        <v>1</v>
      </c>
      <c r="AA655" s="98">
        <f t="shared" si="28"/>
        <v>0.36031999999999975</v>
      </c>
      <c r="AB655" s="98">
        <f t="shared" si="29"/>
        <v>1.4000000000000004</v>
      </c>
    </row>
    <row r="656" spans="1:29" ht="22.15" customHeight="1" x14ac:dyDescent="0.25">
      <c r="A656" s="21" t="s">
        <v>224</v>
      </c>
      <c r="B656" s="80" t="s">
        <v>1241</v>
      </c>
      <c r="C656" s="81">
        <v>12</v>
      </c>
      <c r="D656" s="23" t="s">
        <v>1242</v>
      </c>
      <c r="E656" s="23" t="s">
        <v>1243</v>
      </c>
      <c r="F656" s="82" t="s">
        <v>65</v>
      </c>
      <c r="H656" s="346">
        <v>11.9</v>
      </c>
      <c r="I656" s="21">
        <v>12.23</v>
      </c>
      <c r="J656" s="23" t="s">
        <v>249</v>
      </c>
      <c r="K656" s="86" t="s">
        <v>1244</v>
      </c>
      <c r="L656" s="86"/>
      <c r="M656" s="86"/>
      <c r="O656" s="347"/>
      <c r="P656" s="87">
        <v>1</v>
      </c>
      <c r="Q656" s="87">
        <v>1</v>
      </c>
      <c r="R656" s="84">
        <v>12.9</v>
      </c>
      <c r="X656" s="147">
        <v>0</v>
      </c>
      <c r="Y656" s="20">
        <f t="shared" si="30"/>
        <v>1</v>
      </c>
      <c r="AA656" s="98">
        <f t="shared" si="28"/>
        <v>-0.33000000000000007</v>
      </c>
      <c r="AB656" s="98">
        <f t="shared" si="29"/>
        <v>1</v>
      </c>
      <c r="AC656" s="23" t="s">
        <v>254</v>
      </c>
    </row>
    <row r="657" spans="1:29" ht="22.15" customHeight="1" x14ac:dyDescent="0.25">
      <c r="A657" s="21" t="s">
        <v>224</v>
      </c>
      <c r="B657" s="80" t="s">
        <v>1245</v>
      </c>
      <c r="C657" s="81">
        <v>8</v>
      </c>
      <c r="D657" s="23" t="s">
        <v>1246</v>
      </c>
      <c r="E657" s="23" t="s">
        <v>1247</v>
      </c>
      <c r="F657" s="82" t="s">
        <v>185</v>
      </c>
      <c r="H657" s="346">
        <v>30.9</v>
      </c>
      <c r="I657" s="21">
        <v>29.12</v>
      </c>
      <c r="J657" s="23" t="s">
        <v>176</v>
      </c>
      <c r="K657" s="86" t="s">
        <v>1248</v>
      </c>
      <c r="L657" s="86"/>
      <c r="M657" s="86"/>
      <c r="O657" s="347"/>
      <c r="P657" s="87">
        <v>1</v>
      </c>
      <c r="Q657" s="87">
        <v>1</v>
      </c>
      <c r="R657" s="84">
        <v>32.9</v>
      </c>
      <c r="Y657" s="20">
        <f t="shared" si="30"/>
        <v>1</v>
      </c>
      <c r="AA657" s="98">
        <f t="shared" si="28"/>
        <v>1.7799999999999976</v>
      </c>
      <c r="AB657" s="98">
        <f t="shared" si="29"/>
        <v>2</v>
      </c>
    </row>
    <row r="658" spans="1:29" ht="22.15" customHeight="1" x14ac:dyDescent="0.25">
      <c r="A658" s="21" t="s">
        <v>224</v>
      </c>
      <c r="B658" s="80" t="s">
        <v>1249</v>
      </c>
      <c r="C658" s="81">
        <v>8</v>
      </c>
      <c r="D658" s="23" t="s">
        <v>1250</v>
      </c>
      <c r="E658" s="23" t="s">
        <v>1251</v>
      </c>
      <c r="F658" s="82" t="s">
        <v>185</v>
      </c>
      <c r="H658" s="346">
        <v>30.9</v>
      </c>
      <c r="I658" s="21">
        <v>31.36</v>
      </c>
      <c r="J658" s="23" t="s">
        <v>176</v>
      </c>
      <c r="K658" s="86" t="s">
        <v>1252</v>
      </c>
      <c r="L658" s="86"/>
      <c r="M658" s="86"/>
      <c r="O658" s="347"/>
      <c r="P658" s="87">
        <v>1</v>
      </c>
      <c r="Q658" s="87">
        <v>1</v>
      </c>
      <c r="R658" s="84">
        <v>32.9</v>
      </c>
      <c r="Y658" s="20">
        <f t="shared" si="30"/>
        <v>1</v>
      </c>
      <c r="AA658" s="98">
        <f t="shared" si="28"/>
        <v>-0.46000000000000085</v>
      </c>
      <c r="AB658" s="98">
        <f t="shared" si="29"/>
        <v>2</v>
      </c>
      <c r="AC658" s="23" t="s">
        <v>1253</v>
      </c>
    </row>
    <row r="659" spans="1:29" ht="22.15" customHeight="1" x14ac:dyDescent="0.25">
      <c r="A659" s="21">
        <v>10</v>
      </c>
      <c r="B659" s="276">
        <v>8699444269245</v>
      </c>
      <c r="C659" s="81">
        <v>48</v>
      </c>
      <c r="D659" s="23" t="s">
        <v>1254</v>
      </c>
      <c r="H659" s="346">
        <v>27.9</v>
      </c>
      <c r="I659" s="21">
        <v>26.450600000000001</v>
      </c>
      <c r="J659" s="23" t="s">
        <v>1013</v>
      </c>
      <c r="K659" s="21" t="s">
        <v>1255</v>
      </c>
      <c r="O659" s="347"/>
      <c r="R659" s="84" t="s">
        <v>464</v>
      </c>
      <c r="Y659" s="20">
        <f t="shared" si="30"/>
        <v>1</v>
      </c>
      <c r="AA659" s="98">
        <f t="shared" si="28"/>
        <v>1.4493999999999971</v>
      </c>
      <c r="AB659" s="98" t="e">
        <f t="shared" si="29"/>
        <v>#VALUE!</v>
      </c>
    </row>
    <row r="660" spans="1:29" ht="22.15" customHeight="1" x14ac:dyDescent="0.25">
      <c r="A660" s="21">
        <v>10</v>
      </c>
      <c r="B660" s="276">
        <v>8699444269290</v>
      </c>
      <c r="C660" s="81">
        <v>48</v>
      </c>
      <c r="D660" s="23" t="s">
        <v>1256</v>
      </c>
      <c r="H660" s="346">
        <v>27.9</v>
      </c>
      <c r="I660" s="21">
        <v>26.450600000000001</v>
      </c>
      <c r="J660" s="23" t="s">
        <v>1013</v>
      </c>
      <c r="K660" s="21" t="s">
        <v>1257</v>
      </c>
      <c r="O660" s="347"/>
      <c r="R660" s="84" t="s">
        <v>464</v>
      </c>
      <c r="Y660" s="20">
        <f t="shared" si="30"/>
        <v>1</v>
      </c>
      <c r="AA660" s="98">
        <f t="shared" si="28"/>
        <v>1.4493999999999971</v>
      </c>
      <c r="AB660" s="98" t="e">
        <f t="shared" si="29"/>
        <v>#VALUE!</v>
      </c>
    </row>
    <row r="661" spans="1:29" ht="22.15" customHeight="1" x14ac:dyDescent="0.25">
      <c r="A661" s="21">
        <v>10</v>
      </c>
      <c r="B661" s="276">
        <v>8699444269283</v>
      </c>
      <c r="C661" s="81">
        <v>48</v>
      </c>
      <c r="D661" s="23" t="s">
        <v>1258</v>
      </c>
      <c r="H661" s="346">
        <v>27.9</v>
      </c>
      <c r="I661" s="21">
        <v>26.450600000000001</v>
      </c>
      <c r="J661" s="23" t="s">
        <v>1013</v>
      </c>
      <c r="K661" s="21" t="s">
        <v>1259</v>
      </c>
      <c r="O661" s="347"/>
      <c r="R661" s="84" t="s">
        <v>464</v>
      </c>
      <c r="Y661" s="20">
        <f t="shared" si="30"/>
        <v>1</v>
      </c>
      <c r="AA661" s="98">
        <f t="shared" si="28"/>
        <v>1.4493999999999971</v>
      </c>
      <c r="AB661" s="98" t="e">
        <f t="shared" si="29"/>
        <v>#VALUE!</v>
      </c>
    </row>
    <row r="662" spans="1:29" ht="22.15" customHeight="1" x14ac:dyDescent="0.25">
      <c r="A662" s="21">
        <v>10</v>
      </c>
      <c r="B662" s="276">
        <v>8699444269269</v>
      </c>
      <c r="C662" s="81">
        <v>48</v>
      </c>
      <c r="D662" s="23" t="s">
        <v>1260</v>
      </c>
      <c r="H662" s="346">
        <v>27.9</v>
      </c>
      <c r="I662" s="21">
        <v>26.450600000000001</v>
      </c>
      <c r="J662" s="23" t="s">
        <v>1013</v>
      </c>
      <c r="K662" s="21" t="s">
        <v>1261</v>
      </c>
      <c r="O662" s="347"/>
      <c r="R662" s="84" t="s">
        <v>464</v>
      </c>
      <c r="Y662" s="20">
        <f t="shared" si="30"/>
        <v>1</v>
      </c>
      <c r="AA662" s="98">
        <f t="shared" si="28"/>
        <v>1.4493999999999971</v>
      </c>
      <c r="AB662" s="98" t="e">
        <f t="shared" si="29"/>
        <v>#VALUE!</v>
      </c>
    </row>
    <row r="663" spans="1:29" ht="22.15" customHeight="1" x14ac:dyDescent="0.25">
      <c r="A663" s="21">
        <v>10</v>
      </c>
      <c r="B663" s="276">
        <v>8699444269252</v>
      </c>
      <c r="C663" s="81">
        <v>48</v>
      </c>
      <c r="D663" s="23" t="s">
        <v>1262</v>
      </c>
      <c r="H663" s="346">
        <v>27.9</v>
      </c>
      <c r="I663" s="21">
        <v>26.450600000000001</v>
      </c>
      <c r="J663" s="23" t="s">
        <v>1013</v>
      </c>
      <c r="K663" s="21" t="s">
        <v>1263</v>
      </c>
      <c r="O663" s="347"/>
      <c r="R663" s="84" t="s">
        <v>464</v>
      </c>
      <c r="Y663" s="20">
        <f t="shared" si="30"/>
        <v>1</v>
      </c>
      <c r="AA663" s="98">
        <f t="shared" si="28"/>
        <v>1.4493999999999971</v>
      </c>
      <c r="AB663" s="98" t="e">
        <f t="shared" si="29"/>
        <v>#VALUE!</v>
      </c>
    </row>
    <row r="664" spans="1:29" ht="22.15" customHeight="1" x14ac:dyDescent="0.25">
      <c r="A664" s="21">
        <v>10</v>
      </c>
      <c r="B664" s="276">
        <v>8699444269221</v>
      </c>
      <c r="C664" s="81">
        <v>48</v>
      </c>
      <c r="D664" s="23" t="s">
        <v>1264</v>
      </c>
      <c r="H664" s="346">
        <v>27.9</v>
      </c>
      <c r="I664" s="21">
        <v>26.450600000000001</v>
      </c>
      <c r="J664" s="23" t="s">
        <v>1013</v>
      </c>
      <c r="K664" s="21" t="s">
        <v>1265</v>
      </c>
      <c r="O664" s="347"/>
      <c r="R664" s="84" t="s">
        <v>464</v>
      </c>
      <c r="Y664" s="20">
        <f t="shared" si="30"/>
        <v>1</v>
      </c>
      <c r="AA664" s="98">
        <f t="shared" si="28"/>
        <v>1.4493999999999971</v>
      </c>
      <c r="AB664" s="98" t="e">
        <f t="shared" si="29"/>
        <v>#VALUE!</v>
      </c>
    </row>
    <row r="665" spans="1:29" ht="22.15" customHeight="1" x14ac:dyDescent="0.25">
      <c r="A665" s="21">
        <v>10</v>
      </c>
      <c r="B665" s="276">
        <v>8699444269238</v>
      </c>
      <c r="C665" s="81">
        <v>48</v>
      </c>
      <c r="D665" s="23" t="s">
        <v>1266</v>
      </c>
      <c r="H665" s="346">
        <v>27.9</v>
      </c>
      <c r="I665" s="21">
        <v>26.450600000000001</v>
      </c>
      <c r="J665" s="23" t="s">
        <v>1013</v>
      </c>
      <c r="K665" s="21" t="s">
        <v>1267</v>
      </c>
      <c r="O665" s="347"/>
      <c r="R665" s="84" t="s">
        <v>464</v>
      </c>
      <c r="Y665" s="20">
        <f t="shared" si="30"/>
        <v>1</v>
      </c>
      <c r="AA665" s="98">
        <f t="shared" si="28"/>
        <v>1.4493999999999971</v>
      </c>
      <c r="AB665" s="98" t="e">
        <f t="shared" si="29"/>
        <v>#VALUE!</v>
      </c>
    </row>
    <row r="666" spans="1:29" ht="22.15" customHeight="1" x14ac:dyDescent="0.25">
      <c r="A666" s="21">
        <v>10</v>
      </c>
      <c r="B666" s="276">
        <v>8699444269276</v>
      </c>
      <c r="C666" s="81">
        <v>48</v>
      </c>
      <c r="D666" s="23" t="s">
        <v>1268</v>
      </c>
      <c r="H666" s="346">
        <v>27.9</v>
      </c>
      <c r="I666" s="21">
        <v>26.450600000000001</v>
      </c>
      <c r="J666" s="23" t="s">
        <v>1013</v>
      </c>
      <c r="K666" s="21" t="s">
        <v>1269</v>
      </c>
      <c r="O666" s="347"/>
      <c r="R666" s="84" t="s">
        <v>464</v>
      </c>
      <c r="Y666" s="20">
        <f t="shared" si="30"/>
        <v>1</v>
      </c>
      <c r="AA666" s="98">
        <f t="shared" si="28"/>
        <v>1.4493999999999971</v>
      </c>
      <c r="AB666" s="98" t="e">
        <f t="shared" si="29"/>
        <v>#VALUE!</v>
      </c>
    </row>
    <row r="667" spans="1:29" ht="22.15" customHeight="1" x14ac:dyDescent="0.25">
      <c r="A667" s="21" t="s">
        <v>103</v>
      </c>
      <c r="B667" s="276" t="s">
        <v>1270</v>
      </c>
      <c r="C667" s="81">
        <v>12</v>
      </c>
      <c r="D667" s="23" t="s">
        <v>1271</v>
      </c>
      <c r="H667" s="346">
        <v>53.5</v>
      </c>
      <c r="I667" s="21">
        <v>50.700209999999998</v>
      </c>
      <c r="J667" s="23" t="s">
        <v>907</v>
      </c>
      <c r="K667" s="21" t="s">
        <v>1272</v>
      </c>
      <c r="O667" s="347"/>
      <c r="R667" s="84" t="s">
        <v>909</v>
      </c>
      <c r="Y667" s="20">
        <f t="shared" si="30"/>
        <v>1</v>
      </c>
      <c r="AA667" s="98">
        <f t="shared" si="28"/>
        <v>2.7997900000000016</v>
      </c>
      <c r="AB667" s="98" t="e">
        <f t="shared" si="29"/>
        <v>#VALUE!</v>
      </c>
    </row>
    <row r="668" spans="1:29" ht="22.15" customHeight="1" x14ac:dyDescent="0.25">
      <c r="A668" s="21" t="s">
        <v>103</v>
      </c>
      <c r="B668" s="276" t="s">
        <v>1273</v>
      </c>
      <c r="C668" s="81">
        <v>12</v>
      </c>
      <c r="D668" s="23" t="s">
        <v>1274</v>
      </c>
      <c r="H668" s="346">
        <v>53.5</v>
      </c>
      <c r="I668" s="21">
        <v>50.698999999999998</v>
      </c>
      <c r="J668" s="23" t="s">
        <v>907</v>
      </c>
      <c r="K668" s="21" t="s">
        <v>1275</v>
      </c>
      <c r="O668" s="347"/>
      <c r="R668" s="84" t="s">
        <v>909</v>
      </c>
      <c r="Y668" s="20">
        <f t="shared" si="30"/>
        <v>1</v>
      </c>
      <c r="AA668" s="98">
        <f t="shared" si="28"/>
        <v>2.8010000000000019</v>
      </c>
      <c r="AB668" s="98" t="e">
        <f t="shared" si="29"/>
        <v>#VALUE!</v>
      </c>
    </row>
    <row r="669" spans="1:29" ht="22.15" customHeight="1" x14ac:dyDescent="0.25">
      <c r="A669" s="21" t="s">
        <v>103</v>
      </c>
      <c r="B669" s="276" t="s">
        <v>1276</v>
      </c>
      <c r="C669" s="81">
        <v>12</v>
      </c>
      <c r="D669" s="23" t="s">
        <v>1277</v>
      </c>
      <c r="H669" s="346">
        <v>53.5</v>
      </c>
      <c r="I669" s="21">
        <v>50.700209999999998</v>
      </c>
      <c r="J669" s="23" t="s">
        <v>907</v>
      </c>
      <c r="K669" s="21" t="s">
        <v>1278</v>
      </c>
      <c r="O669" s="347"/>
      <c r="R669" s="84" t="s">
        <v>909</v>
      </c>
      <c r="Y669" s="20">
        <f t="shared" si="30"/>
        <v>1</v>
      </c>
      <c r="AA669" s="98">
        <f t="shared" si="28"/>
        <v>2.7997900000000016</v>
      </c>
      <c r="AB669" s="98" t="e">
        <f t="shared" si="29"/>
        <v>#VALUE!</v>
      </c>
    </row>
    <row r="670" spans="1:29" ht="22.15" customHeight="1" x14ac:dyDescent="0.25">
      <c r="A670" s="21" t="s">
        <v>103</v>
      </c>
      <c r="B670" s="276" t="s">
        <v>1279</v>
      </c>
      <c r="C670" s="81">
        <v>12</v>
      </c>
      <c r="D670" s="23" t="s">
        <v>1280</v>
      </c>
      <c r="H670" s="346">
        <v>53.5</v>
      </c>
      <c r="I670" s="21">
        <v>50.698999999999998</v>
      </c>
      <c r="J670" s="23" t="s">
        <v>907</v>
      </c>
      <c r="K670" s="21" t="s">
        <v>1281</v>
      </c>
      <c r="O670" s="347"/>
      <c r="R670" s="84" t="s">
        <v>909</v>
      </c>
      <c r="Y670" s="20">
        <f t="shared" si="30"/>
        <v>1</v>
      </c>
      <c r="AA670" s="98">
        <f t="shared" si="28"/>
        <v>2.8010000000000019</v>
      </c>
      <c r="AB670" s="98" t="e">
        <f t="shared" si="29"/>
        <v>#VALUE!</v>
      </c>
    </row>
    <row r="671" spans="1:29" ht="22.15" customHeight="1" x14ac:dyDescent="0.25">
      <c r="A671" s="21" t="s">
        <v>103</v>
      </c>
      <c r="B671" s="276" t="s">
        <v>1282</v>
      </c>
      <c r="C671" s="81">
        <v>10</v>
      </c>
      <c r="D671" s="23" t="s">
        <v>1283</v>
      </c>
      <c r="H671" s="346">
        <v>24.9</v>
      </c>
      <c r="I671" s="21">
        <v>23.594999999999999</v>
      </c>
      <c r="J671" s="23" t="s">
        <v>936</v>
      </c>
      <c r="K671" s="21" t="s">
        <v>1284</v>
      </c>
      <c r="O671" s="347"/>
      <c r="R671" s="84" t="s">
        <v>938</v>
      </c>
      <c r="Y671" s="20">
        <f t="shared" si="30"/>
        <v>1</v>
      </c>
      <c r="AA671" s="98">
        <f t="shared" si="28"/>
        <v>1.3049999999999997</v>
      </c>
      <c r="AB671" s="98" t="e">
        <f t="shared" si="29"/>
        <v>#VALUE!</v>
      </c>
    </row>
    <row r="672" spans="1:29" ht="22.15" customHeight="1" x14ac:dyDescent="0.25">
      <c r="A672" s="21" t="s">
        <v>103</v>
      </c>
      <c r="B672" s="276" t="s">
        <v>1285</v>
      </c>
      <c r="C672" s="81">
        <v>10</v>
      </c>
      <c r="D672" s="23" t="s">
        <v>1286</v>
      </c>
      <c r="H672" s="346">
        <v>24.9</v>
      </c>
      <c r="I672" s="21">
        <v>23.594999999999999</v>
      </c>
      <c r="J672" s="23" t="s">
        <v>936</v>
      </c>
      <c r="K672" s="21" t="s">
        <v>1287</v>
      </c>
      <c r="O672" s="347"/>
      <c r="R672" s="84" t="s">
        <v>938</v>
      </c>
      <c r="Y672" s="20">
        <f t="shared" si="30"/>
        <v>1</v>
      </c>
      <c r="AA672" s="98">
        <f t="shared" si="28"/>
        <v>1.3049999999999997</v>
      </c>
      <c r="AB672" s="98" t="e">
        <f t="shared" si="29"/>
        <v>#VALUE!</v>
      </c>
    </row>
    <row r="673" spans="1:28" ht="22.15" customHeight="1" x14ac:dyDescent="0.25">
      <c r="A673" s="21" t="s">
        <v>103</v>
      </c>
      <c r="B673" s="276" t="s">
        <v>1288</v>
      </c>
      <c r="C673" s="81">
        <v>10</v>
      </c>
      <c r="D673" s="23" t="s">
        <v>1289</v>
      </c>
      <c r="H673" s="346">
        <v>24.9</v>
      </c>
      <c r="I673" s="21">
        <v>23.594999999999999</v>
      </c>
      <c r="J673" s="23" t="s">
        <v>936</v>
      </c>
      <c r="K673" s="21" t="s">
        <v>1290</v>
      </c>
      <c r="O673" s="347"/>
      <c r="R673" s="84" t="s">
        <v>938</v>
      </c>
      <c r="Y673" s="20">
        <f t="shared" si="30"/>
        <v>1</v>
      </c>
      <c r="AA673" s="98">
        <f t="shared" si="28"/>
        <v>1.3049999999999997</v>
      </c>
      <c r="AB673" s="98" t="e">
        <f t="shared" si="29"/>
        <v>#VALUE!</v>
      </c>
    </row>
    <row r="674" spans="1:28" ht="22.15" customHeight="1" x14ac:dyDescent="0.25">
      <c r="A674" s="21" t="s">
        <v>103</v>
      </c>
      <c r="B674" s="276" t="s">
        <v>1291</v>
      </c>
      <c r="C674" s="81">
        <v>10</v>
      </c>
      <c r="D674" s="23" t="s">
        <v>1292</v>
      </c>
      <c r="H674" s="346">
        <v>24.9</v>
      </c>
      <c r="I674" s="21">
        <v>23.594999999999999</v>
      </c>
      <c r="J674" s="23" t="s">
        <v>936</v>
      </c>
      <c r="K674" s="21" t="s">
        <v>1293</v>
      </c>
      <c r="O674" s="347"/>
      <c r="R674" s="84" t="s">
        <v>938</v>
      </c>
      <c r="Y674" s="20">
        <f t="shared" si="30"/>
        <v>1</v>
      </c>
      <c r="AA674" s="98">
        <f t="shared" si="28"/>
        <v>1.3049999999999997</v>
      </c>
      <c r="AB674" s="98" t="e">
        <f t="shared" si="29"/>
        <v>#VALUE!</v>
      </c>
    </row>
    <row r="675" spans="1:28" ht="22.15" customHeight="1" x14ac:dyDescent="0.25">
      <c r="A675" s="21" t="s">
        <v>103</v>
      </c>
      <c r="B675" s="276" t="s">
        <v>1294</v>
      </c>
      <c r="C675" s="81">
        <v>16</v>
      </c>
      <c r="D675" s="23" t="s">
        <v>1295</v>
      </c>
      <c r="H675" s="346">
        <v>29.9</v>
      </c>
      <c r="I675" s="21">
        <v>27.71</v>
      </c>
      <c r="J675" s="23" t="s">
        <v>743</v>
      </c>
      <c r="K675" s="21" t="s">
        <v>1296</v>
      </c>
      <c r="O675" s="347"/>
      <c r="R675" s="84" t="s">
        <v>791</v>
      </c>
      <c r="Y675" s="20">
        <f t="shared" si="30"/>
        <v>1</v>
      </c>
      <c r="AA675" s="98">
        <f t="shared" si="28"/>
        <v>2.1899999999999977</v>
      </c>
      <c r="AB675" s="98" t="e">
        <f t="shared" si="29"/>
        <v>#VALUE!</v>
      </c>
    </row>
    <row r="676" spans="1:28" ht="22.15" customHeight="1" x14ac:dyDescent="0.25">
      <c r="A676" s="21" t="s">
        <v>103</v>
      </c>
      <c r="B676" s="276" t="s">
        <v>1297</v>
      </c>
      <c r="C676" s="81">
        <v>10</v>
      </c>
      <c r="D676" s="23" t="s">
        <v>1298</v>
      </c>
      <c r="H676" s="346">
        <v>21.9</v>
      </c>
      <c r="I676" s="21">
        <v>21.02</v>
      </c>
      <c r="J676" s="23" t="s">
        <v>936</v>
      </c>
      <c r="K676" s="21" t="s">
        <v>1299</v>
      </c>
      <c r="O676" s="347"/>
      <c r="R676" s="84" t="s">
        <v>970</v>
      </c>
      <c r="Y676" s="20">
        <f t="shared" si="30"/>
        <v>1</v>
      </c>
      <c r="AA676" s="98">
        <f t="shared" si="28"/>
        <v>0.87999999999999901</v>
      </c>
      <c r="AB676" s="98" t="e">
        <f t="shared" si="29"/>
        <v>#VALUE!</v>
      </c>
    </row>
    <row r="677" spans="1:28" ht="22.15" customHeight="1" x14ac:dyDescent="0.25">
      <c r="A677" s="21" t="s">
        <v>965</v>
      </c>
      <c r="B677" s="276" t="s">
        <v>1300</v>
      </c>
      <c r="C677" s="81">
        <v>10</v>
      </c>
      <c r="D677" s="23" t="s">
        <v>1301</v>
      </c>
      <c r="H677" s="346">
        <v>21.9</v>
      </c>
      <c r="I677" s="21">
        <v>21.02</v>
      </c>
      <c r="J677" s="23" t="s">
        <v>936</v>
      </c>
      <c r="K677" s="21" t="s">
        <v>1302</v>
      </c>
      <c r="O677" s="347"/>
      <c r="R677" s="84" t="s">
        <v>970</v>
      </c>
      <c r="Y677" s="20">
        <f t="shared" si="30"/>
        <v>1</v>
      </c>
      <c r="AA677" s="98">
        <f t="shared" si="28"/>
        <v>0.87999999999999901</v>
      </c>
      <c r="AB677" s="98" t="e">
        <f t="shared" si="29"/>
        <v>#VALUE!</v>
      </c>
    </row>
    <row r="678" spans="1:28" ht="22.15" customHeight="1" x14ac:dyDescent="0.25">
      <c r="A678" s="21" t="s">
        <v>103</v>
      </c>
      <c r="B678" s="276" t="s">
        <v>1303</v>
      </c>
      <c r="C678" s="81">
        <v>10</v>
      </c>
      <c r="D678" s="23" t="s">
        <v>1304</v>
      </c>
      <c r="H678" s="346">
        <v>21.9</v>
      </c>
      <c r="I678" s="21">
        <v>21.02</v>
      </c>
      <c r="J678" s="23" t="s">
        <v>936</v>
      </c>
      <c r="K678" s="21" t="s">
        <v>1305</v>
      </c>
      <c r="O678" s="347"/>
      <c r="R678" s="84" t="s">
        <v>970</v>
      </c>
      <c r="Y678" s="20">
        <f t="shared" si="30"/>
        <v>1</v>
      </c>
      <c r="AA678" s="98">
        <f t="shared" si="28"/>
        <v>0.87999999999999901</v>
      </c>
      <c r="AB678" s="98" t="e">
        <f t="shared" si="29"/>
        <v>#VALUE!</v>
      </c>
    </row>
    <row r="679" spans="1:28" ht="22.15" customHeight="1" x14ac:dyDescent="0.25">
      <c r="A679" s="21" t="s">
        <v>103</v>
      </c>
      <c r="B679" s="276" t="s">
        <v>1306</v>
      </c>
      <c r="C679" s="81">
        <v>12</v>
      </c>
      <c r="D679" s="23" t="s">
        <v>1307</v>
      </c>
      <c r="H679" s="346">
        <v>69.900000000000006</v>
      </c>
      <c r="I679" s="21">
        <v>65.91</v>
      </c>
      <c r="J679" s="23" t="s">
        <v>830</v>
      </c>
      <c r="K679" s="21" t="s">
        <v>1308</v>
      </c>
      <c r="O679" s="347"/>
      <c r="R679" s="84" t="s">
        <v>932</v>
      </c>
      <c r="Y679" s="20">
        <f t="shared" si="30"/>
        <v>1</v>
      </c>
      <c r="AA679" s="98">
        <f t="shared" si="28"/>
        <v>3.9900000000000091</v>
      </c>
      <c r="AB679" s="98" t="e">
        <f t="shared" si="29"/>
        <v>#VALUE!</v>
      </c>
    </row>
    <row r="680" spans="1:28" ht="22.15" customHeight="1" x14ac:dyDescent="0.25">
      <c r="A680" s="21" t="s">
        <v>255</v>
      </c>
      <c r="B680" s="276" t="s">
        <v>1309</v>
      </c>
      <c r="C680" s="81">
        <v>4</v>
      </c>
      <c r="D680" s="23" t="s">
        <v>1310</v>
      </c>
      <c r="H680" s="346">
        <v>194.9</v>
      </c>
      <c r="I680" s="21">
        <v>175.45</v>
      </c>
      <c r="J680" s="23" t="s">
        <v>1050</v>
      </c>
      <c r="K680" s="21" t="s">
        <v>1311</v>
      </c>
      <c r="O680" s="347"/>
      <c r="R680" s="84" t="s">
        <v>1052</v>
      </c>
      <c r="Y680" s="20">
        <f t="shared" si="30"/>
        <v>1</v>
      </c>
      <c r="AA680" s="98">
        <f t="shared" si="28"/>
        <v>19.450000000000017</v>
      </c>
      <c r="AB680" s="98" t="e">
        <f t="shared" si="29"/>
        <v>#VALUE!</v>
      </c>
    </row>
    <row r="681" spans="1:28" ht="22.15" customHeight="1" x14ac:dyDescent="0.25">
      <c r="A681" s="21" t="s">
        <v>255</v>
      </c>
      <c r="B681" s="276" t="s">
        <v>1312</v>
      </c>
      <c r="C681" s="81">
        <v>4</v>
      </c>
      <c r="D681" s="23" t="s">
        <v>1313</v>
      </c>
      <c r="H681" s="346">
        <v>194.9</v>
      </c>
      <c r="I681" s="21">
        <v>175.45</v>
      </c>
      <c r="J681" s="23" t="s">
        <v>1050</v>
      </c>
      <c r="K681" s="21" t="s">
        <v>1314</v>
      </c>
      <c r="O681" s="347"/>
      <c r="R681" s="84" t="s">
        <v>1052</v>
      </c>
      <c r="Y681" s="20">
        <f t="shared" si="30"/>
        <v>1</v>
      </c>
      <c r="AA681" s="98">
        <f t="shared" si="28"/>
        <v>19.450000000000017</v>
      </c>
      <c r="AB681" s="98" t="e">
        <f t="shared" si="29"/>
        <v>#VALUE!</v>
      </c>
    </row>
    <row r="682" spans="1:28" ht="22.15" customHeight="1" x14ac:dyDescent="0.25">
      <c r="A682" s="21" t="s">
        <v>103</v>
      </c>
      <c r="B682" s="276" t="s">
        <v>1315</v>
      </c>
      <c r="C682" s="81">
        <v>4</v>
      </c>
      <c r="D682" s="23" t="s">
        <v>1316</v>
      </c>
      <c r="H682" s="346">
        <v>169.9</v>
      </c>
      <c r="I682" s="21">
        <v>160.93</v>
      </c>
      <c r="J682" s="23" t="s">
        <v>981</v>
      </c>
      <c r="K682" s="21" t="s">
        <v>1317</v>
      </c>
      <c r="O682" s="347"/>
      <c r="R682" s="84" t="s">
        <v>983</v>
      </c>
      <c r="Y682" s="20">
        <f t="shared" si="30"/>
        <v>1</v>
      </c>
      <c r="AA682" s="98">
        <f t="shared" si="28"/>
        <v>8.9699999999999989</v>
      </c>
      <c r="AB682" s="98" t="e">
        <f t="shared" si="29"/>
        <v>#VALUE!</v>
      </c>
    </row>
    <row r="683" spans="1:28" ht="22.15" customHeight="1" x14ac:dyDescent="0.25">
      <c r="A683" s="21" t="s">
        <v>103</v>
      </c>
      <c r="B683" s="276" t="s">
        <v>1318</v>
      </c>
      <c r="C683" s="81">
        <v>4</v>
      </c>
      <c r="D683" s="23" t="s">
        <v>1319</v>
      </c>
      <c r="H683" s="346">
        <v>169.9</v>
      </c>
      <c r="I683" s="21">
        <v>160.93</v>
      </c>
      <c r="J683" s="23" t="s">
        <v>981</v>
      </c>
      <c r="K683" s="21" t="s">
        <v>1320</v>
      </c>
      <c r="O683" s="347"/>
      <c r="R683" s="84" t="s">
        <v>983</v>
      </c>
      <c r="Y683" s="20">
        <f t="shared" si="30"/>
        <v>1</v>
      </c>
      <c r="AA683" s="98">
        <f t="shared" si="28"/>
        <v>8.9699999999999989</v>
      </c>
      <c r="AB683" s="98" t="e">
        <f t="shared" si="29"/>
        <v>#VALUE!</v>
      </c>
    </row>
    <row r="684" spans="1:28" ht="22.15" customHeight="1" x14ac:dyDescent="0.25">
      <c r="A684" s="21" t="s">
        <v>103</v>
      </c>
      <c r="B684" s="276" t="s">
        <v>1321</v>
      </c>
      <c r="C684" s="81">
        <v>8</v>
      </c>
      <c r="D684" s="23" t="s">
        <v>1322</v>
      </c>
      <c r="H684" s="346">
        <v>55.9</v>
      </c>
      <c r="I684" s="21">
        <v>53.12</v>
      </c>
      <c r="J684" s="23" t="s">
        <v>988</v>
      </c>
      <c r="K684" s="21" t="s">
        <v>1323</v>
      </c>
      <c r="O684" s="347"/>
      <c r="R684" s="84" t="s">
        <v>909</v>
      </c>
      <c r="Y684" s="20">
        <f t="shared" si="30"/>
        <v>1</v>
      </c>
      <c r="AA684" s="98">
        <f t="shared" si="28"/>
        <v>2.7800000000000011</v>
      </c>
      <c r="AB684" s="98" t="e">
        <f t="shared" si="29"/>
        <v>#VALUE!</v>
      </c>
    </row>
    <row r="685" spans="1:28" ht="22.15" customHeight="1" x14ac:dyDescent="0.25">
      <c r="A685" s="21" t="s">
        <v>103</v>
      </c>
      <c r="B685" s="276" t="s">
        <v>1324</v>
      </c>
      <c r="C685" s="81">
        <v>8</v>
      </c>
      <c r="D685" s="23" t="s">
        <v>1325</v>
      </c>
      <c r="H685" s="346">
        <v>55.9</v>
      </c>
      <c r="I685" s="21">
        <v>53.12</v>
      </c>
      <c r="J685" s="23" t="s">
        <v>988</v>
      </c>
      <c r="K685" s="21" t="s">
        <v>1326</v>
      </c>
      <c r="O685" s="347"/>
      <c r="R685" s="84" t="s">
        <v>909</v>
      </c>
      <c r="Y685" s="20">
        <f t="shared" si="30"/>
        <v>1</v>
      </c>
      <c r="AA685" s="98">
        <f t="shared" si="28"/>
        <v>2.7800000000000011</v>
      </c>
      <c r="AB685" s="98" t="e">
        <f t="shared" si="29"/>
        <v>#VALUE!</v>
      </c>
    </row>
    <row r="686" spans="1:28" ht="22.15" customHeight="1" x14ac:dyDescent="0.25">
      <c r="A686" s="21" t="s">
        <v>103</v>
      </c>
      <c r="B686" s="276" t="s">
        <v>1327</v>
      </c>
      <c r="C686" s="81">
        <v>6</v>
      </c>
      <c r="D686" s="23" t="s">
        <v>1328</v>
      </c>
      <c r="H686" s="346">
        <v>16.5</v>
      </c>
      <c r="I686" s="21">
        <v>15.79</v>
      </c>
      <c r="J686" s="23" t="s">
        <v>993</v>
      </c>
      <c r="K686" s="21" t="s">
        <v>1329</v>
      </c>
      <c r="O686" s="347"/>
      <c r="R686" s="84" t="s">
        <v>995</v>
      </c>
      <c r="Y686" s="20">
        <f t="shared" si="30"/>
        <v>1</v>
      </c>
      <c r="AA686" s="98">
        <f t="shared" ref="AA686:AA749" si="31">H686-I686</f>
        <v>0.71000000000000085</v>
      </c>
      <c r="AB686" s="98" t="e">
        <f t="shared" ref="AB686:AB749" si="32">R686-H686</f>
        <v>#VALUE!</v>
      </c>
    </row>
    <row r="687" spans="1:28" ht="22.15" customHeight="1" x14ac:dyDescent="0.25">
      <c r="A687" s="21" t="s">
        <v>103</v>
      </c>
      <c r="B687" s="276" t="s">
        <v>1330</v>
      </c>
      <c r="C687" s="81">
        <v>6</v>
      </c>
      <c r="D687" s="23" t="s">
        <v>1331</v>
      </c>
      <c r="H687" s="346">
        <v>16.5</v>
      </c>
      <c r="I687" s="21">
        <v>15.79</v>
      </c>
      <c r="J687" s="23" t="s">
        <v>993</v>
      </c>
      <c r="K687" s="21" t="s">
        <v>1332</v>
      </c>
      <c r="O687" s="347"/>
      <c r="R687" s="84" t="s">
        <v>995</v>
      </c>
      <c r="Y687" s="20">
        <f t="shared" si="30"/>
        <v>1</v>
      </c>
      <c r="AA687" s="98">
        <f t="shared" si="31"/>
        <v>0.71000000000000085</v>
      </c>
      <c r="AB687" s="98" t="e">
        <f t="shared" si="32"/>
        <v>#VALUE!</v>
      </c>
    </row>
    <row r="688" spans="1:28" ht="22.15" customHeight="1" x14ac:dyDescent="0.25">
      <c r="A688" s="21" t="s">
        <v>103</v>
      </c>
      <c r="B688" s="276" t="s">
        <v>1333</v>
      </c>
      <c r="C688" s="81">
        <v>6</v>
      </c>
      <c r="D688" s="23" t="s">
        <v>1334</v>
      </c>
      <c r="H688" s="346">
        <v>16.5</v>
      </c>
      <c r="I688" s="21">
        <v>15.79</v>
      </c>
      <c r="J688" s="23" t="s">
        <v>993</v>
      </c>
      <c r="K688" s="21" t="s">
        <v>1335</v>
      </c>
      <c r="O688" s="347"/>
      <c r="R688" s="84" t="s">
        <v>995</v>
      </c>
      <c r="Y688" s="20">
        <f t="shared" si="30"/>
        <v>1</v>
      </c>
      <c r="AA688" s="98">
        <f t="shared" si="31"/>
        <v>0.71000000000000085</v>
      </c>
      <c r="AB688" s="98" t="e">
        <f t="shared" si="32"/>
        <v>#VALUE!</v>
      </c>
    </row>
    <row r="689" spans="1:28" ht="22.15" customHeight="1" x14ac:dyDescent="0.25">
      <c r="A689" s="21" t="s">
        <v>103</v>
      </c>
      <c r="B689" s="276" t="s">
        <v>1336</v>
      </c>
      <c r="C689" s="81">
        <v>6</v>
      </c>
      <c r="D689" s="23" t="s">
        <v>1337</v>
      </c>
      <c r="H689" s="346">
        <v>16.5</v>
      </c>
      <c r="I689" s="21">
        <v>15.79</v>
      </c>
      <c r="J689" s="23" t="s">
        <v>993</v>
      </c>
      <c r="K689" s="21" t="s">
        <v>1338</v>
      </c>
      <c r="O689" s="347"/>
      <c r="R689" s="84" t="s">
        <v>995</v>
      </c>
      <c r="Y689" s="20">
        <f t="shared" si="30"/>
        <v>1</v>
      </c>
      <c r="AA689" s="98">
        <f t="shared" si="31"/>
        <v>0.71000000000000085</v>
      </c>
      <c r="AB689" s="98" t="e">
        <f t="shared" si="32"/>
        <v>#VALUE!</v>
      </c>
    </row>
    <row r="690" spans="1:28" ht="22.15" customHeight="1" x14ac:dyDescent="0.25">
      <c r="A690" s="21" t="s">
        <v>103</v>
      </c>
      <c r="B690" s="276" t="s">
        <v>1339</v>
      </c>
      <c r="C690" s="81">
        <v>12</v>
      </c>
      <c r="D690" s="23" t="s">
        <v>1340</v>
      </c>
      <c r="H690" s="346">
        <v>71.900000000000006</v>
      </c>
      <c r="I690" s="21">
        <v>67.91</v>
      </c>
      <c r="J690" s="23" t="s">
        <v>899</v>
      </c>
      <c r="K690" s="21" t="s">
        <v>1341</v>
      </c>
      <c r="O690" s="347"/>
      <c r="R690" s="84" t="s">
        <v>1000</v>
      </c>
      <c r="Y690" s="20">
        <f t="shared" si="30"/>
        <v>1</v>
      </c>
      <c r="AA690" s="98">
        <f t="shared" si="31"/>
        <v>3.9900000000000091</v>
      </c>
      <c r="AB690" s="98" t="e">
        <f t="shared" si="32"/>
        <v>#VALUE!</v>
      </c>
    </row>
    <row r="691" spans="1:28" ht="22.15" customHeight="1" x14ac:dyDescent="0.25">
      <c r="A691" s="21" t="s">
        <v>297</v>
      </c>
      <c r="B691" s="276" t="s">
        <v>1342</v>
      </c>
      <c r="C691" s="81">
        <v>8</v>
      </c>
      <c r="D691" s="23" t="s">
        <v>1343</v>
      </c>
      <c r="H691" s="346">
        <v>119.9</v>
      </c>
      <c r="I691" s="21">
        <v>92.17</v>
      </c>
      <c r="J691" s="23" t="s">
        <v>916</v>
      </c>
      <c r="K691" s="21" t="s">
        <v>1344</v>
      </c>
      <c r="O691" s="347"/>
      <c r="R691" s="84" t="s">
        <v>1007</v>
      </c>
      <c r="Y691" s="20">
        <f t="shared" si="30"/>
        <v>1</v>
      </c>
      <c r="AA691" s="98">
        <f t="shared" si="31"/>
        <v>27.730000000000004</v>
      </c>
      <c r="AB691" s="98" t="e">
        <f t="shared" si="32"/>
        <v>#VALUE!</v>
      </c>
    </row>
    <row r="692" spans="1:28" ht="22.15" customHeight="1" x14ac:dyDescent="0.25">
      <c r="A692" s="21" t="s">
        <v>965</v>
      </c>
      <c r="B692" s="276" t="s">
        <v>1345</v>
      </c>
      <c r="C692" s="81">
        <v>24</v>
      </c>
      <c r="D692" s="23" t="s">
        <v>1346</v>
      </c>
      <c r="H692" s="346">
        <v>15.9</v>
      </c>
      <c r="I692" s="21">
        <v>14.88058</v>
      </c>
      <c r="J692" s="23" t="s">
        <v>1058</v>
      </c>
      <c r="K692" s="21" t="s">
        <v>1347</v>
      </c>
      <c r="O692" s="347"/>
      <c r="R692" s="84" t="s">
        <v>826</v>
      </c>
      <c r="Y692" s="20">
        <f t="shared" si="30"/>
        <v>1</v>
      </c>
      <c r="AA692" s="98">
        <f t="shared" si="31"/>
        <v>1.0194200000000002</v>
      </c>
      <c r="AB692" s="98" t="e">
        <f t="shared" si="32"/>
        <v>#VALUE!</v>
      </c>
    </row>
    <row r="693" spans="1:28" ht="22.15" customHeight="1" x14ac:dyDescent="0.25">
      <c r="A693" s="21" t="s">
        <v>965</v>
      </c>
      <c r="B693" s="276" t="s">
        <v>1348</v>
      </c>
      <c r="C693" s="81">
        <v>6</v>
      </c>
      <c r="D693" s="23" t="s">
        <v>1349</v>
      </c>
      <c r="H693" s="346">
        <v>36.9</v>
      </c>
      <c r="I693" s="21">
        <v>30.400040000000001</v>
      </c>
      <c r="J693" s="23" t="s">
        <v>1058</v>
      </c>
      <c r="K693" s="21" t="s">
        <v>1350</v>
      </c>
      <c r="O693" s="347"/>
      <c r="R693" s="84" t="s">
        <v>111</v>
      </c>
      <c r="Y693" s="20">
        <f t="shared" si="30"/>
        <v>1</v>
      </c>
      <c r="AA693" s="98">
        <f t="shared" si="31"/>
        <v>6.499959999999998</v>
      </c>
      <c r="AB693" s="98" t="e">
        <f t="shared" si="32"/>
        <v>#VALUE!</v>
      </c>
    </row>
    <row r="694" spans="1:28" ht="22.15" customHeight="1" x14ac:dyDescent="0.25">
      <c r="A694" s="21" t="s">
        <v>965</v>
      </c>
      <c r="B694" s="276" t="s">
        <v>1351</v>
      </c>
      <c r="C694" s="81">
        <v>6</v>
      </c>
      <c r="D694" s="23" t="s">
        <v>1352</v>
      </c>
      <c r="H694" s="346">
        <v>34.9</v>
      </c>
      <c r="I694" s="21">
        <v>32.67</v>
      </c>
      <c r="J694" s="23" t="s">
        <v>1058</v>
      </c>
      <c r="K694" s="21" t="s">
        <v>1353</v>
      </c>
      <c r="O694" s="347"/>
      <c r="R694" s="84" t="s">
        <v>797</v>
      </c>
      <c r="Y694" s="20">
        <f t="shared" si="30"/>
        <v>1</v>
      </c>
      <c r="AA694" s="98">
        <f t="shared" si="31"/>
        <v>2.2299999999999969</v>
      </c>
      <c r="AB694" s="98" t="e">
        <f t="shared" si="32"/>
        <v>#VALUE!</v>
      </c>
    </row>
    <row r="695" spans="1:28" ht="22.15" customHeight="1" x14ac:dyDescent="0.25">
      <c r="A695" s="21" t="s">
        <v>103</v>
      </c>
      <c r="B695" s="276" t="s">
        <v>1354</v>
      </c>
      <c r="C695" s="81">
        <v>12</v>
      </c>
      <c r="D695" s="23" t="s">
        <v>1355</v>
      </c>
      <c r="H695" s="346">
        <v>36.9</v>
      </c>
      <c r="I695" s="21">
        <v>32.26</v>
      </c>
      <c r="J695" s="23" t="s">
        <v>1050</v>
      </c>
      <c r="K695" s="21" t="s">
        <v>1356</v>
      </c>
      <c r="O695" s="347"/>
      <c r="R695" s="84" t="s">
        <v>111</v>
      </c>
      <c r="Y695" s="20">
        <f t="shared" si="30"/>
        <v>1</v>
      </c>
      <c r="AA695" s="98">
        <f t="shared" si="31"/>
        <v>4.6400000000000006</v>
      </c>
      <c r="AB695" s="98" t="e">
        <f t="shared" si="32"/>
        <v>#VALUE!</v>
      </c>
    </row>
    <row r="696" spans="1:28" ht="22.15" customHeight="1" x14ac:dyDescent="0.25">
      <c r="A696" s="21" t="s">
        <v>103</v>
      </c>
      <c r="B696" s="276" t="s">
        <v>1357</v>
      </c>
      <c r="C696" s="81">
        <v>48</v>
      </c>
      <c r="D696" s="23" t="s">
        <v>1358</v>
      </c>
      <c r="H696" s="346">
        <v>10.9</v>
      </c>
      <c r="I696" s="21">
        <v>10.53</v>
      </c>
      <c r="J696" s="23" t="s">
        <v>1114</v>
      </c>
      <c r="K696" s="21" t="s">
        <v>1359</v>
      </c>
      <c r="O696" s="347"/>
      <c r="R696" s="84" t="s">
        <v>1116</v>
      </c>
      <c r="Y696" s="20">
        <f t="shared" si="30"/>
        <v>1</v>
      </c>
      <c r="AA696" s="98">
        <f t="shared" si="31"/>
        <v>0.37000000000000099</v>
      </c>
      <c r="AB696" s="98" t="e">
        <f t="shared" si="32"/>
        <v>#VALUE!</v>
      </c>
    </row>
    <row r="697" spans="1:28" ht="22.15" customHeight="1" x14ac:dyDescent="0.25">
      <c r="A697" s="21" t="s">
        <v>103</v>
      </c>
      <c r="B697" s="276" t="s">
        <v>1360</v>
      </c>
      <c r="C697" s="81">
        <v>48</v>
      </c>
      <c r="D697" s="23" t="s">
        <v>1361</v>
      </c>
      <c r="H697" s="346">
        <v>10.9</v>
      </c>
      <c r="I697" s="21">
        <v>10.53</v>
      </c>
      <c r="J697" s="23" t="s">
        <v>1114</v>
      </c>
      <c r="K697" s="21" t="s">
        <v>1362</v>
      </c>
      <c r="O697" s="347"/>
      <c r="R697" s="84" t="s">
        <v>1116</v>
      </c>
      <c r="Y697" s="20">
        <f t="shared" si="30"/>
        <v>1</v>
      </c>
      <c r="AA697" s="98">
        <f t="shared" si="31"/>
        <v>0.37000000000000099</v>
      </c>
      <c r="AB697" s="98" t="e">
        <f t="shared" si="32"/>
        <v>#VALUE!</v>
      </c>
    </row>
    <row r="698" spans="1:28" ht="22.15" customHeight="1" x14ac:dyDescent="0.25">
      <c r="A698" s="21" t="s">
        <v>103</v>
      </c>
      <c r="B698" s="276" t="s">
        <v>1363</v>
      </c>
      <c r="C698" s="81">
        <v>48</v>
      </c>
      <c r="D698" s="23" t="s">
        <v>1364</v>
      </c>
      <c r="H698" s="346">
        <v>10.9</v>
      </c>
      <c r="I698" s="21">
        <v>10.53</v>
      </c>
      <c r="J698" s="23" t="s">
        <v>1114</v>
      </c>
      <c r="K698" s="21" t="s">
        <v>1365</v>
      </c>
      <c r="O698" s="347"/>
      <c r="R698" s="84" t="s">
        <v>1116</v>
      </c>
      <c r="Y698" s="20">
        <f t="shared" si="30"/>
        <v>1</v>
      </c>
      <c r="AA698" s="98">
        <f t="shared" si="31"/>
        <v>0.37000000000000099</v>
      </c>
      <c r="AB698" s="98" t="e">
        <f t="shared" si="32"/>
        <v>#VALUE!</v>
      </c>
    </row>
    <row r="699" spans="1:28" ht="22.15" customHeight="1" x14ac:dyDescent="0.25">
      <c r="A699" s="21" t="s">
        <v>103</v>
      </c>
      <c r="B699" s="276" t="s">
        <v>1366</v>
      </c>
      <c r="C699" s="81">
        <v>24</v>
      </c>
      <c r="D699" s="23" t="s">
        <v>1367</v>
      </c>
      <c r="H699" s="346">
        <v>24.9</v>
      </c>
      <c r="I699" s="21">
        <v>23.10979</v>
      </c>
      <c r="J699" s="23" t="s">
        <v>1128</v>
      </c>
      <c r="K699" s="21" t="s">
        <v>1368</v>
      </c>
      <c r="O699" s="347"/>
      <c r="R699" s="84" t="s">
        <v>448</v>
      </c>
      <c r="Y699" s="20">
        <f t="shared" si="30"/>
        <v>1</v>
      </c>
      <c r="AA699" s="98">
        <f t="shared" si="31"/>
        <v>1.7902099999999983</v>
      </c>
      <c r="AB699" s="98" t="e">
        <f t="shared" si="32"/>
        <v>#VALUE!</v>
      </c>
    </row>
    <row r="700" spans="1:28" ht="22.15" customHeight="1" x14ac:dyDescent="0.25">
      <c r="A700" s="21" t="s">
        <v>103</v>
      </c>
      <c r="B700" s="276" t="s">
        <v>1369</v>
      </c>
      <c r="C700" s="81">
        <v>10</v>
      </c>
      <c r="D700" s="23" t="s">
        <v>1370</v>
      </c>
      <c r="H700" s="346">
        <v>30.9</v>
      </c>
      <c r="I700" s="21">
        <v>29.16947</v>
      </c>
      <c r="J700" s="23" t="s">
        <v>1128</v>
      </c>
      <c r="K700" s="21" t="s">
        <v>1371</v>
      </c>
      <c r="O700" s="347"/>
      <c r="R700" s="84" t="s">
        <v>327</v>
      </c>
      <c r="Y700" s="20">
        <f t="shared" si="30"/>
        <v>1</v>
      </c>
      <c r="AA700" s="98">
        <f t="shared" si="31"/>
        <v>1.7305299999999981</v>
      </c>
      <c r="AB700" s="98" t="e">
        <f t="shared" si="32"/>
        <v>#VALUE!</v>
      </c>
    </row>
    <row r="701" spans="1:28" ht="22.15" customHeight="1" x14ac:dyDescent="0.25">
      <c r="A701" s="21" t="s">
        <v>103</v>
      </c>
      <c r="B701" s="276" t="s">
        <v>1372</v>
      </c>
      <c r="C701" s="81">
        <v>10</v>
      </c>
      <c r="D701" s="23" t="s">
        <v>1373</v>
      </c>
      <c r="H701" s="346">
        <v>30.9</v>
      </c>
      <c r="I701" s="21">
        <v>29.16947</v>
      </c>
      <c r="J701" s="23" t="s">
        <v>1128</v>
      </c>
      <c r="K701" s="21" t="s">
        <v>1374</v>
      </c>
      <c r="O701" s="347"/>
      <c r="R701" s="84" t="s">
        <v>327</v>
      </c>
      <c r="Y701" s="20">
        <f t="shared" si="30"/>
        <v>1</v>
      </c>
      <c r="AA701" s="98">
        <f t="shared" si="31"/>
        <v>1.7305299999999981</v>
      </c>
      <c r="AB701" s="98" t="e">
        <f t="shared" si="32"/>
        <v>#VALUE!</v>
      </c>
    </row>
    <row r="702" spans="1:28" ht="22.15" customHeight="1" x14ac:dyDescent="0.25">
      <c r="A702" s="21" t="s">
        <v>103</v>
      </c>
      <c r="B702" s="276" t="s">
        <v>1375</v>
      </c>
      <c r="C702" s="81">
        <v>10</v>
      </c>
      <c r="D702" s="23" t="s">
        <v>1376</v>
      </c>
      <c r="H702" s="346">
        <v>30.9</v>
      </c>
      <c r="I702" s="21">
        <v>29.16947</v>
      </c>
      <c r="J702" s="23" t="s">
        <v>1128</v>
      </c>
      <c r="K702" s="21" t="s">
        <v>1377</v>
      </c>
      <c r="O702" s="347"/>
      <c r="R702" s="84" t="s">
        <v>327</v>
      </c>
      <c r="Y702" s="20">
        <f t="shared" si="30"/>
        <v>1</v>
      </c>
      <c r="AA702" s="98">
        <f t="shared" si="31"/>
        <v>1.7305299999999981</v>
      </c>
      <c r="AB702" s="98" t="e">
        <f t="shared" si="32"/>
        <v>#VALUE!</v>
      </c>
    </row>
    <row r="703" spans="1:28" ht="22.15" customHeight="1" x14ac:dyDescent="0.25">
      <c r="A703" s="21" t="s">
        <v>103</v>
      </c>
      <c r="B703" s="276" t="s">
        <v>1378</v>
      </c>
      <c r="C703" s="81">
        <v>10</v>
      </c>
      <c r="D703" s="23" t="s">
        <v>1379</v>
      </c>
      <c r="H703" s="346">
        <v>30.9</v>
      </c>
      <c r="I703" s="21">
        <v>29.16947</v>
      </c>
      <c r="J703" s="23" t="s">
        <v>1128</v>
      </c>
      <c r="K703" s="21" t="s">
        <v>1380</v>
      </c>
      <c r="O703" s="347"/>
      <c r="R703" s="84" t="s">
        <v>327</v>
      </c>
      <c r="Y703" s="20">
        <f t="shared" si="30"/>
        <v>1</v>
      </c>
      <c r="AA703" s="98">
        <f t="shared" si="31"/>
        <v>1.7305299999999981</v>
      </c>
      <c r="AB703" s="98" t="e">
        <f t="shared" si="32"/>
        <v>#VALUE!</v>
      </c>
    </row>
    <row r="704" spans="1:28" ht="22.15" customHeight="1" x14ac:dyDescent="0.25">
      <c r="A704" s="21" t="s">
        <v>103</v>
      </c>
      <c r="B704" s="276" t="s">
        <v>1381</v>
      </c>
      <c r="C704" s="81">
        <v>10</v>
      </c>
      <c r="D704" s="23" t="s">
        <v>1382</v>
      </c>
      <c r="H704" s="346">
        <v>30.9</v>
      </c>
      <c r="I704" s="21">
        <v>29.16947</v>
      </c>
      <c r="J704" s="23" t="s">
        <v>1128</v>
      </c>
      <c r="K704" s="21" t="s">
        <v>1383</v>
      </c>
      <c r="O704" s="347"/>
      <c r="R704" s="84" t="s">
        <v>327</v>
      </c>
      <c r="Y704" s="20">
        <f t="shared" si="30"/>
        <v>1</v>
      </c>
      <c r="AA704" s="98">
        <f t="shared" si="31"/>
        <v>1.7305299999999981</v>
      </c>
      <c r="AB704" s="98" t="e">
        <f t="shared" si="32"/>
        <v>#VALUE!</v>
      </c>
    </row>
    <row r="705" spans="1:29" ht="22.15" customHeight="1" x14ac:dyDescent="0.25">
      <c r="A705" s="21" t="s">
        <v>103</v>
      </c>
      <c r="B705" s="276" t="s">
        <v>1384</v>
      </c>
      <c r="C705" s="81">
        <v>10</v>
      </c>
      <c r="D705" s="23" t="s">
        <v>1385</v>
      </c>
      <c r="H705" s="346">
        <v>30.9</v>
      </c>
      <c r="I705" s="21">
        <v>29.16947</v>
      </c>
      <c r="J705" s="23" t="s">
        <v>1128</v>
      </c>
      <c r="K705" s="21" t="s">
        <v>1386</v>
      </c>
      <c r="O705" s="347"/>
      <c r="R705" s="84" t="s">
        <v>327</v>
      </c>
      <c r="Y705" s="20">
        <f t="shared" si="30"/>
        <v>1</v>
      </c>
      <c r="AA705" s="98">
        <f t="shared" si="31"/>
        <v>1.7305299999999981</v>
      </c>
      <c r="AB705" s="98" t="e">
        <f t="shared" si="32"/>
        <v>#VALUE!</v>
      </c>
    </row>
    <row r="706" spans="1:29" ht="22.15" customHeight="1" x14ac:dyDescent="0.25">
      <c r="A706" s="21" t="s">
        <v>103</v>
      </c>
      <c r="B706" s="276" t="s">
        <v>1387</v>
      </c>
      <c r="C706" s="81">
        <v>30</v>
      </c>
      <c r="D706" s="23" t="s">
        <v>1388</v>
      </c>
      <c r="H706" s="346">
        <v>18.5</v>
      </c>
      <c r="I706" s="21">
        <v>17.55</v>
      </c>
      <c r="J706" s="23" t="s">
        <v>1122</v>
      </c>
      <c r="K706" s="21" t="s">
        <v>1389</v>
      </c>
      <c r="O706" s="347"/>
      <c r="R706" s="84" t="s">
        <v>340</v>
      </c>
      <c r="Y706" s="20">
        <f t="shared" si="30"/>
        <v>1</v>
      </c>
      <c r="AA706" s="98">
        <f t="shared" si="31"/>
        <v>0.94999999999999929</v>
      </c>
      <c r="AB706" s="98" t="e">
        <f t="shared" si="32"/>
        <v>#VALUE!</v>
      </c>
    </row>
    <row r="707" spans="1:29" ht="22.15" customHeight="1" x14ac:dyDescent="0.25">
      <c r="A707" s="21" t="s">
        <v>103</v>
      </c>
      <c r="B707" s="276" t="s">
        <v>1390</v>
      </c>
      <c r="C707" s="81">
        <v>30</v>
      </c>
      <c r="D707" s="23" t="s">
        <v>1391</v>
      </c>
      <c r="H707" s="346">
        <v>18.5</v>
      </c>
      <c r="I707" s="21">
        <v>17.55</v>
      </c>
      <c r="J707" s="23" t="s">
        <v>1122</v>
      </c>
      <c r="K707" s="21" t="s">
        <v>1392</v>
      </c>
      <c r="O707" s="347"/>
      <c r="R707" s="84" t="s">
        <v>340</v>
      </c>
      <c r="Y707" s="20">
        <f t="shared" si="30"/>
        <v>1</v>
      </c>
      <c r="AA707" s="98">
        <f t="shared" si="31"/>
        <v>0.94999999999999929</v>
      </c>
      <c r="AB707" s="98" t="e">
        <f t="shared" si="32"/>
        <v>#VALUE!</v>
      </c>
    </row>
    <row r="708" spans="1:29" ht="22.15" customHeight="1" x14ac:dyDescent="0.25">
      <c r="A708" s="21" t="s">
        <v>103</v>
      </c>
      <c r="B708" s="276" t="s">
        <v>1393</v>
      </c>
      <c r="C708" s="81">
        <v>30</v>
      </c>
      <c r="D708" s="23" t="s">
        <v>1394</v>
      </c>
      <c r="H708" s="346">
        <v>18.5</v>
      </c>
      <c r="I708" s="21">
        <v>17.55</v>
      </c>
      <c r="J708" s="23" t="s">
        <v>1122</v>
      </c>
      <c r="K708" s="21" t="s">
        <v>1395</v>
      </c>
      <c r="O708" s="347"/>
      <c r="R708" s="84" t="s">
        <v>340</v>
      </c>
      <c r="Y708" s="20">
        <f t="shared" si="30"/>
        <v>1</v>
      </c>
      <c r="AA708" s="98">
        <f t="shared" si="31"/>
        <v>0.94999999999999929</v>
      </c>
      <c r="AB708" s="98" t="e">
        <f t="shared" si="32"/>
        <v>#VALUE!</v>
      </c>
    </row>
    <row r="709" spans="1:29" ht="22.15" customHeight="1" x14ac:dyDescent="0.25">
      <c r="A709" s="21" t="s">
        <v>103</v>
      </c>
      <c r="B709" s="276" t="s">
        <v>1396</v>
      </c>
      <c r="C709" s="81">
        <v>30</v>
      </c>
      <c r="D709" s="23" t="s">
        <v>1397</v>
      </c>
      <c r="H709" s="346">
        <v>18.5</v>
      </c>
      <c r="I709" s="21">
        <v>17.55</v>
      </c>
      <c r="J709" s="23" t="s">
        <v>1122</v>
      </c>
      <c r="K709" s="21" t="s">
        <v>1398</v>
      </c>
      <c r="O709" s="347"/>
      <c r="R709" s="84" t="s">
        <v>340</v>
      </c>
      <c r="Y709" s="20">
        <f t="shared" si="30"/>
        <v>1</v>
      </c>
      <c r="AA709" s="98">
        <f t="shared" si="31"/>
        <v>0.94999999999999929</v>
      </c>
      <c r="AB709" s="98" t="e">
        <f t="shared" si="32"/>
        <v>#VALUE!</v>
      </c>
    </row>
    <row r="710" spans="1:29" ht="22.15" customHeight="1" x14ac:dyDescent="0.25">
      <c r="A710" s="21" t="s">
        <v>103</v>
      </c>
      <c r="B710" s="276" t="s">
        <v>1399</v>
      </c>
      <c r="C710" s="81">
        <v>30</v>
      </c>
      <c r="D710" s="23" t="s">
        <v>1400</v>
      </c>
      <c r="H710" s="346">
        <v>18.5</v>
      </c>
      <c r="I710" s="21">
        <v>17.55</v>
      </c>
      <c r="J710" s="23" t="s">
        <v>1122</v>
      </c>
      <c r="K710" s="21" t="s">
        <v>1401</v>
      </c>
      <c r="O710" s="347"/>
      <c r="R710" s="84" t="s">
        <v>340</v>
      </c>
      <c r="Y710" s="20">
        <f t="shared" si="30"/>
        <v>1</v>
      </c>
      <c r="AA710" s="98">
        <f t="shared" si="31"/>
        <v>0.94999999999999929</v>
      </c>
      <c r="AB710" s="98" t="e">
        <f t="shared" si="32"/>
        <v>#VALUE!</v>
      </c>
    </row>
    <row r="711" spans="1:29" ht="22.15" customHeight="1" x14ac:dyDescent="0.25">
      <c r="A711" s="21" t="s">
        <v>103</v>
      </c>
      <c r="B711" s="276" t="s">
        <v>1402</v>
      </c>
      <c r="C711" s="81">
        <v>24</v>
      </c>
      <c r="D711" s="23" t="s">
        <v>1403</v>
      </c>
      <c r="H711" s="346">
        <v>19.5</v>
      </c>
      <c r="I711" s="21">
        <v>18.149999999999999</v>
      </c>
      <c r="J711" s="23" t="s">
        <v>1058</v>
      </c>
      <c r="K711" s="21" t="s">
        <v>1404</v>
      </c>
      <c r="O711" s="347"/>
      <c r="R711" s="84" t="s">
        <v>645</v>
      </c>
      <c r="Y711" s="20">
        <f t="shared" ref="Y711:Y774" si="33">COUNTIF(K:K,K711)</f>
        <v>1</v>
      </c>
      <c r="AA711" s="98">
        <f t="shared" si="31"/>
        <v>1.3500000000000014</v>
      </c>
      <c r="AB711" s="98" t="e">
        <f t="shared" si="32"/>
        <v>#VALUE!</v>
      </c>
    </row>
    <row r="712" spans="1:29" ht="22.15" customHeight="1" x14ac:dyDescent="0.25">
      <c r="A712" s="21" t="s">
        <v>103</v>
      </c>
      <c r="B712" s="276" t="s">
        <v>1405</v>
      </c>
      <c r="C712" s="81">
        <v>3</v>
      </c>
      <c r="D712" s="23" t="s">
        <v>1406</v>
      </c>
      <c r="H712" s="346">
        <v>119.9</v>
      </c>
      <c r="I712" s="21">
        <v>113.40967000000001</v>
      </c>
      <c r="J712" s="23" t="s">
        <v>1096</v>
      </c>
      <c r="K712" s="21" t="s">
        <v>1407</v>
      </c>
      <c r="O712" s="347"/>
      <c r="R712" s="84" t="s">
        <v>1007</v>
      </c>
      <c r="Y712" s="20">
        <f t="shared" si="33"/>
        <v>1</v>
      </c>
      <c r="AA712" s="98">
        <f t="shared" si="31"/>
        <v>6.4903300000000002</v>
      </c>
      <c r="AB712" s="98" t="e">
        <f t="shared" si="32"/>
        <v>#VALUE!</v>
      </c>
    </row>
    <row r="713" spans="1:29" ht="22.15" customHeight="1" x14ac:dyDescent="0.25">
      <c r="A713" s="21" t="s">
        <v>103</v>
      </c>
      <c r="B713" s="276" t="s">
        <v>1408</v>
      </c>
      <c r="C713" s="81">
        <v>3</v>
      </c>
      <c r="D713" s="23" t="s">
        <v>1409</v>
      </c>
      <c r="H713" s="346">
        <v>119.9</v>
      </c>
      <c r="I713" s="21">
        <v>110.00957</v>
      </c>
      <c r="J713" s="23" t="s">
        <v>1096</v>
      </c>
      <c r="K713" s="21" t="s">
        <v>1410</v>
      </c>
      <c r="O713" s="347"/>
      <c r="R713" s="84" t="s">
        <v>1007</v>
      </c>
      <c r="Y713" s="20">
        <f t="shared" si="33"/>
        <v>1</v>
      </c>
      <c r="AA713" s="98">
        <f t="shared" si="31"/>
        <v>9.8904300000000092</v>
      </c>
      <c r="AB713" s="98" t="e">
        <f t="shared" si="32"/>
        <v>#VALUE!</v>
      </c>
    </row>
    <row r="714" spans="1:29" ht="22.15" customHeight="1" x14ac:dyDescent="0.25">
      <c r="A714" s="21" t="s">
        <v>965</v>
      </c>
      <c r="B714" s="276" t="s">
        <v>1411</v>
      </c>
      <c r="C714" s="81">
        <v>24</v>
      </c>
      <c r="D714" s="23" t="s">
        <v>1412</v>
      </c>
      <c r="H714" s="346">
        <v>25.5</v>
      </c>
      <c r="I714" s="21">
        <v>24.139500000000002</v>
      </c>
      <c r="J714" s="23" t="s">
        <v>1087</v>
      </c>
      <c r="K714" s="21" t="s">
        <v>1413</v>
      </c>
      <c r="O714" s="347"/>
      <c r="R714" s="84" t="s">
        <v>938</v>
      </c>
      <c r="Y714" s="20">
        <f t="shared" si="33"/>
        <v>1</v>
      </c>
      <c r="AA714" s="98">
        <f t="shared" si="31"/>
        <v>1.3604999999999983</v>
      </c>
      <c r="AB714" s="98" t="e">
        <f t="shared" si="32"/>
        <v>#VALUE!</v>
      </c>
    </row>
    <row r="715" spans="1:29" ht="22.15" customHeight="1" x14ac:dyDescent="0.25">
      <c r="A715" s="21" t="s">
        <v>965</v>
      </c>
      <c r="B715" s="276" t="s">
        <v>1414</v>
      </c>
      <c r="C715" s="81">
        <v>24</v>
      </c>
      <c r="D715" s="23" t="s">
        <v>1415</v>
      </c>
      <c r="H715" s="346">
        <v>23.9</v>
      </c>
      <c r="I715" s="21">
        <v>22.830280000000002</v>
      </c>
      <c r="J715" s="23" t="s">
        <v>1087</v>
      </c>
      <c r="K715" s="21" t="s">
        <v>1416</v>
      </c>
      <c r="O715" s="347"/>
      <c r="R715" s="84" t="s">
        <v>448</v>
      </c>
      <c r="Y715" s="20">
        <f t="shared" si="33"/>
        <v>1</v>
      </c>
      <c r="AA715" s="98">
        <f t="shared" si="31"/>
        <v>1.0697199999999967</v>
      </c>
      <c r="AB715" s="98" t="e">
        <f t="shared" si="32"/>
        <v>#VALUE!</v>
      </c>
    </row>
    <row r="716" spans="1:29" ht="22.15" customHeight="1" x14ac:dyDescent="0.25">
      <c r="A716" s="21" t="s">
        <v>210</v>
      </c>
      <c r="B716" s="80" t="s">
        <v>1417</v>
      </c>
      <c r="C716" s="81">
        <v>36</v>
      </c>
      <c r="D716" s="23" t="s">
        <v>1418</v>
      </c>
      <c r="F716" s="82" t="s">
        <v>65</v>
      </c>
      <c r="H716" s="346">
        <v>29.9</v>
      </c>
      <c r="I716" s="21">
        <v>24.26032</v>
      </c>
      <c r="J716" s="23" t="s">
        <v>215</v>
      </c>
      <c r="K716" s="86" t="s">
        <v>1419</v>
      </c>
      <c r="L716" s="86"/>
      <c r="M716" s="86"/>
      <c r="O716" s="347"/>
      <c r="P716" s="87">
        <v>1</v>
      </c>
      <c r="Q716" s="87">
        <v>1</v>
      </c>
      <c r="R716" s="84">
        <v>32.9</v>
      </c>
      <c r="Y716" s="20">
        <f t="shared" si="33"/>
        <v>1</v>
      </c>
      <c r="AA716" s="98">
        <f t="shared" si="31"/>
        <v>5.6396799999999985</v>
      </c>
      <c r="AB716" s="98">
        <f t="shared" si="32"/>
        <v>3</v>
      </c>
    </row>
    <row r="717" spans="1:29" ht="22.15" customHeight="1" x14ac:dyDescent="0.25">
      <c r="A717" s="21" t="s">
        <v>210</v>
      </c>
      <c r="B717" s="80" t="s">
        <v>1420</v>
      </c>
      <c r="C717" s="81">
        <v>36</v>
      </c>
      <c r="D717" s="23" t="s">
        <v>1421</v>
      </c>
      <c r="F717" s="82" t="s">
        <v>65</v>
      </c>
      <c r="H717" s="346">
        <v>29.9</v>
      </c>
      <c r="I717" s="21">
        <v>29.570240000000002</v>
      </c>
      <c r="J717" s="23" t="s">
        <v>215</v>
      </c>
      <c r="K717" s="86" t="s">
        <v>1422</v>
      </c>
      <c r="L717" s="86"/>
      <c r="M717" s="86"/>
      <c r="O717" s="347"/>
      <c r="P717" s="87">
        <v>1</v>
      </c>
      <c r="Q717" s="87">
        <v>1</v>
      </c>
      <c r="R717" s="84">
        <v>32.9</v>
      </c>
      <c r="Y717" s="20">
        <f t="shared" si="33"/>
        <v>1</v>
      </c>
      <c r="AA717" s="98">
        <f t="shared" si="31"/>
        <v>0.32975999999999672</v>
      </c>
      <c r="AB717" s="98">
        <f t="shared" si="32"/>
        <v>3</v>
      </c>
    </row>
    <row r="718" spans="1:29" ht="22.15" customHeight="1" x14ac:dyDescent="0.25">
      <c r="A718" s="21" t="s">
        <v>210</v>
      </c>
      <c r="B718" s="80" t="s">
        <v>1423</v>
      </c>
      <c r="C718" s="81">
        <v>36</v>
      </c>
      <c r="D718" s="23" t="s">
        <v>1424</v>
      </c>
      <c r="F718" s="82" t="s">
        <v>65</v>
      </c>
      <c r="H718" s="346">
        <v>29.9</v>
      </c>
      <c r="I718" s="21">
        <v>34.360480000000003</v>
      </c>
      <c r="J718" s="23" t="s">
        <v>215</v>
      </c>
      <c r="K718" s="86" t="s">
        <v>1425</v>
      </c>
      <c r="L718" s="86"/>
      <c r="M718" s="86"/>
      <c r="O718" s="347"/>
      <c r="P718" s="87">
        <v>1</v>
      </c>
      <c r="Q718" s="87">
        <v>1</v>
      </c>
      <c r="R718" s="84">
        <v>32.9</v>
      </c>
      <c r="Y718" s="20">
        <f t="shared" si="33"/>
        <v>1</v>
      </c>
      <c r="AA718" s="98">
        <f t="shared" si="31"/>
        <v>-4.460480000000004</v>
      </c>
      <c r="AB718" s="98">
        <f t="shared" si="32"/>
        <v>3</v>
      </c>
      <c r="AC718" s="23" t="s">
        <v>1426</v>
      </c>
    </row>
    <row r="719" spans="1:29" ht="22.15" customHeight="1" x14ac:dyDescent="0.25">
      <c r="A719" s="21" t="s">
        <v>210</v>
      </c>
      <c r="B719" s="80" t="s">
        <v>1427</v>
      </c>
      <c r="C719" s="81">
        <v>36</v>
      </c>
      <c r="D719" s="23" t="s">
        <v>1428</v>
      </c>
      <c r="F719" s="82" t="s">
        <v>65</v>
      </c>
      <c r="H719" s="346">
        <v>29.9</v>
      </c>
      <c r="I719" s="21">
        <v>29.570240000000002</v>
      </c>
      <c r="J719" s="23" t="s">
        <v>215</v>
      </c>
      <c r="K719" s="86" t="s">
        <v>1429</v>
      </c>
      <c r="L719" s="86"/>
      <c r="M719" s="86"/>
      <c r="O719" s="347"/>
      <c r="P719" s="87">
        <v>1</v>
      </c>
      <c r="Q719" s="87">
        <v>1</v>
      </c>
      <c r="R719" s="84">
        <v>32.9</v>
      </c>
      <c r="Y719" s="20">
        <f t="shared" si="33"/>
        <v>1</v>
      </c>
      <c r="AA719" s="98">
        <f t="shared" si="31"/>
        <v>0.32975999999999672</v>
      </c>
      <c r="AB719" s="98">
        <f t="shared" si="32"/>
        <v>3</v>
      </c>
    </row>
    <row r="720" spans="1:29" ht="22.15" customHeight="1" x14ac:dyDescent="0.25">
      <c r="A720" s="21" t="s">
        <v>210</v>
      </c>
      <c r="B720" s="80" t="s">
        <v>1430</v>
      </c>
      <c r="C720" s="81">
        <v>36</v>
      </c>
      <c r="D720" s="23" t="s">
        <v>1431</v>
      </c>
      <c r="F720" s="82" t="s">
        <v>65</v>
      </c>
      <c r="H720" s="346">
        <v>29.9</v>
      </c>
      <c r="I720" s="21">
        <v>29.570240000000002</v>
      </c>
      <c r="J720" s="23" t="s">
        <v>215</v>
      </c>
      <c r="K720" s="86" t="s">
        <v>1432</v>
      </c>
      <c r="L720" s="86"/>
      <c r="M720" s="86"/>
      <c r="O720" s="347"/>
      <c r="P720" s="87">
        <v>1</v>
      </c>
      <c r="Q720" s="87">
        <v>1</v>
      </c>
      <c r="R720" s="84">
        <v>32.9</v>
      </c>
      <c r="Y720" s="20">
        <f t="shared" si="33"/>
        <v>1</v>
      </c>
      <c r="AA720" s="98">
        <f t="shared" si="31"/>
        <v>0.32975999999999672</v>
      </c>
      <c r="AB720" s="98">
        <f t="shared" si="32"/>
        <v>3</v>
      </c>
    </row>
    <row r="721" spans="1:28" ht="22.15" customHeight="1" x14ac:dyDescent="0.25">
      <c r="A721" s="21" t="s">
        <v>965</v>
      </c>
      <c r="B721" s="80" t="s">
        <v>1433</v>
      </c>
      <c r="C721" s="81">
        <v>30</v>
      </c>
      <c r="D721" s="23" t="s">
        <v>1434</v>
      </c>
      <c r="H721" s="346">
        <v>21.9</v>
      </c>
      <c r="I721" s="21">
        <v>21.419419999999999</v>
      </c>
      <c r="J721" s="23" t="s">
        <v>1081</v>
      </c>
      <c r="K721" s="86" t="s">
        <v>1435</v>
      </c>
      <c r="L721" s="86"/>
      <c r="M721" s="86"/>
      <c r="O721" s="347"/>
      <c r="R721" s="84" t="s">
        <v>970</v>
      </c>
      <c r="Y721" s="20">
        <f t="shared" si="33"/>
        <v>1</v>
      </c>
      <c r="AA721" s="98">
        <f t="shared" si="31"/>
        <v>0.48057999999999979</v>
      </c>
      <c r="AB721" s="98" t="e">
        <f t="shared" si="32"/>
        <v>#VALUE!</v>
      </c>
    </row>
    <row r="722" spans="1:28" ht="22.15" customHeight="1" x14ac:dyDescent="0.25">
      <c r="A722" s="21" t="s">
        <v>965</v>
      </c>
      <c r="B722" s="80" t="s">
        <v>1436</v>
      </c>
      <c r="C722" s="81">
        <v>30</v>
      </c>
      <c r="D722" s="23" t="s">
        <v>1437</v>
      </c>
      <c r="H722" s="346">
        <v>21.9</v>
      </c>
      <c r="I722" s="21">
        <v>21.419419999999999</v>
      </c>
      <c r="J722" s="23" t="s">
        <v>1081</v>
      </c>
      <c r="K722" s="86" t="s">
        <v>1438</v>
      </c>
      <c r="L722" s="86"/>
      <c r="M722" s="86"/>
      <c r="O722" s="347"/>
      <c r="R722" s="84" t="s">
        <v>970</v>
      </c>
      <c r="Y722" s="20">
        <f t="shared" si="33"/>
        <v>1</v>
      </c>
      <c r="AA722" s="98">
        <f t="shared" si="31"/>
        <v>0.48057999999999979</v>
      </c>
      <c r="AB722" s="98" t="e">
        <f t="shared" si="32"/>
        <v>#VALUE!</v>
      </c>
    </row>
    <row r="723" spans="1:28" ht="22.15" customHeight="1" x14ac:dyDescent="0.25">
      <c r="A723" s="21" t="s">
        <v>297</v>
      </c>
      <c r="B723" s="276" t="s">
        <v>1439</v>
      </c>
      <c r="C723" s="81">
        <v>6</v>
      </c>
      <c r="D723" s="23" t="s">
        <v>1440</v>
      </c>
      <c r="H723" s="346">
        <v>49.9</v>
      </c>
      <c r="I723" s="21">
        <v>49.089599999999997</v>
      </c>
      <c r="J723" s="23" t="s">
        <v>302</v>
      </c>
      <c r="K723" s="21" t="s">
        <v>1441</v>
      </c>
      <c r="O723" s="347"/>
      <c r="R723" s="84" t="s">
        <v>304</v>
      </c>
      <c r="Y723" s="20">
        <f t="shared" si="33"/>
        <v>1</v>
      </c>
      <c r="AA723" s="98">
        <f t="shared" si="31"/>
        <v>0.81040000000000134</v>
      </c>
      <c r="AB723" s="98" t="e">
        <f t="shared" si="32"/>
        <v>#VALUE!</v>
      </c>
    </row>
    <row r="724" spans="1:28" ht="22.15" customHeight="1" x14ac:dyDescent="0.25">
      <c r="A724" s="21" t="s">
        <v>103</v>
      </c>
      <c r="B724" s="276" t="s">
        <v>1442</v>
      </c>
      <c r="C724" s="81">
        <v>6</v>
      </c>
      <c r="D724" s="23" t="s">
        <v>1443</v>
      </c>
      <c r="H724" s="346">
        <v>49.9</v>
      </c>
      <c r="I724" s="21">
        <v>49.089599999999997</v>
      </c>
      <c r="J724" s="23" t="s">
        <v>302</v>
      </c>
      <c r="K724" s="21" t="s">
        <v>1444</v>
      </c>
      <c r="O724" s="347"/>
      <c r="R724" s="84" t="s">
        <v>304</v>
      </c>
      <c r="Y724" s="20">
        <f t="shared" si="33"/>
        <v>1</v>
      </c>
      <c r="AA724" s="98">
        <f t="shared" si="31"/>
        <v>0.81040000000000134</v>
      </c>
      <c r="AB724" s="98" t="e">
        <f t="shared" si="32"/>
        <v>#VALUE!</v>
      </c>
    </row>
    <row r="725" spans="1:28" ht="22.15" customHeight="1" x14ac:dyDescent="0.25">
      <c r="A725" s="21" t="s">
        <v>103</v>
      </c>
      <c r="B725" s="276" t="s">
        <v>1445</v>
      </c>
      <c r="C725" s="81">
        <v>6</v>
      </c>
      <c r="D725" s="23" t="s">
        <v>1446</v>
      </c>
      <c r="H725" s="346">
        <v>49.9</v>
      </c>
      <c r="I725" s="21">
        <v>49.089599999999997</v>
      </c>
      <c r="J725" s="23" t="s">
        <v>302</v>
      </c>
      <c r="K725" s="21" t="s">
        <v>1447</v>
      </c>
      <c r="O725" s="347"/>
      <c r="R725" s="84" t="s">
        <v>304</v>
      </c>
      <c r="Y725" s="20">
        <f t="shared" si="33"/>
        <v>1</v>
      </c>
      <c r="AA725" s="98">
        <f t="shared" si="31"/>
        <v>0.81040000000000134</v>
      </c>
      <c r="AB725" s="98" t="e">
        <f t="shared" si="32"/>
        <v>#VALUE!</v>
      </c>
    </row>
    <row r="726" spans="1:28" ht="22.15" customHeight="1" x14ac:dyDescent="0.25">
      <c r="A726" s="21" t="s">
        <v>103</v>
      </c>
      <c r="B726" s="276" t="s">
        <v>1448</v>
      </c>
      <c r="C726" s="81">
        <v>12</v>
      </c>
      <c r="D726" s="23" t="s">
        <v>1449</v>
      </c>
      <c r="H726" s="346">
        <v>29.9</v>
      </c>
      <c r="I726" s="21">
        <v>28.224</v>
      </c>
      <c r="J726" s="23" t="s">
        <v>312</v>
      </c>
      <c r="K726" s="21" t="s">
        <v>1450</v>
      </c>
      <c r="O726" s="347"/>
      <c r="R726" s="84" t="s">
        <v>314</v>
      </c>
      <c r="Y726" s="20">
        <f t="shared" si="33"/>
        <v>1</v>
      </c>
      <c r="AA726" s="98">
        <f t="shared" si="31"/>
        <v>1.6759999999999984</v>
      </c>
      <c r="AB726" s="98" t="e">
        <f t="shared" si="32"/>
        <v>#VALUE!</v>
      </c>
    </row>
    <row r="727" spans="1:28" ht="22.15" customHeight="1" x14ac:dyDescent="0.25">
      <c r="A727" s="21" t="s">
        <v>103</v>
      </c>
      <c r="B727" s="276" t="s">
        <v>1451</v>
      </c>
      <c r="C727" s="81">
        <v>12</v>
      </c>
      <c r="D727" s="23" t="s">
        <v>1452</v>
      </c>
      <c r="H727" s="346">
        <v>29.9</v>
      </c>
      <c r="I727" s="21">
        <v>28.224</v>
      </c>
      <c r="J727" s="23" t="s">
        <v>312</v>
      </c>
      <c r="K727" s="21" t="s">
        <v>1453</v>
      </c>
      <c r="O727" s="347"/>
      <c r="R727" s="84" t="s">
        <v>314</v>
      </c>
      <c r="Y727" s="20">
        <f t="shared" si="33"/>
        <v>1</v>
      </c>
      <c r="AA727" s="98">
        <f t="shared" si="31"/>
        <v>1.6759999999999984</v>
      </c>
      <c r="AB727" s="98" t="e">
        <f t="shared" si="32"/>
        <v>#VALUE!</v>
      </c>
    </row>
    <row r="728" spans="1:28" ht="22.15" customHeight="1" x14ac:dyDescent="0.25">
      <c r="A728" s="21" t="s">
        <v>103</v>
      </c>
      <c r="B728" s="276" t="s">
        <v>1454</v>
      </c>
      <c r="C728" s="81">
        <v>12</v>
      </c>
      <c r="D728" s="23" t="s">
        <v>1455</v>
      </c>
      <c r="H728" s="346">
        <v>29.9</v>
      </c>
      <c r="I728" s="21">
        <v>28.224</v>
      </c>
      <c r="J728" s="23" t="s">
        <v>312</v>
      </c>
      <c r="K728" s="21" t="s">
        <v>1456</v>
      </c>
      <c r="O728" s="347"/>
      <c r="R728" s="84" t="s">
        <v>314</v>
      </c>
      <c r="Y728" s="20">
        <f t="shared" si="33"/>
        <v>1</v>
      </c>
      <c r="AA728" s="98">
        <f t="shared" si="31"/>
        <v>1.6759999999999984</v>
      </c>
      <c r="AB728" s="98" t="e">
        <f t="shared" si="32"/>
        <v>#VALUE!</v>
      </c>
    </row>
    <row r="729" spans="1:28" ht="22.15" customHeight="1" x14ac:dyDescent="0.25">
      <c r="A729" s="21" t="s">
        <v>103</v>
      </c>
      <c r="B729" s="276" t="s">
        <v>1457</v>
      </c>
      <c r="C729" s="81">
        <v>12</v>
      </c>
      <c r="D729" s="23" t="s">
        <v>1458</v>
      </c>
      <c r="H729" s="346">
        <v>29.9</v>
      </c>
      <c r="I729" s="21">
        <v>28.224</v>
      </c>
      <c r="J729" s="23" t="s">
        <v>312</v>
      </c>
      <c r="K729" s="21" t="s">
        <v>1459</v>
      </c>
      <c r="O729" s="347"/>
      <c r="R729" s="84" t="s">
        <v>314</v>
      </c>
      <c r="Y729" s="20">
        <f t="shared" si="33"/>
        <v>1</v>
      </c>
      <c r="AA729" s="98">
        <f t="shared" si="31"/>
        <v>1.6759999999999984</v>
      </c>
      <c r="AB729" s="98" t="e">
        <f t="shared" si="32"/>
        <v>#VALUE!</v>
      </c>
    </row>
    <row r="730" spans="1:28" ht="22.15" customHeight="1" x14ac:dyDescent="0.25">
      <c r="A730" s="21" t="s">
        <v>103</v>
      </c>
      <c r="B730" s="276" t="s">
        <v>1460</v>
      </c>
      <c r="C730" s="81">
        <v>12</v>
      </c>
      <c r="D730" s="23" t="s">
        <v>1461</v>
      </c>
      <c r="H730" s="346">
        <v>29.9</v>
      </c>
      <c r="I730" s="21">
        <v>28.224</v>
      </c>
      <c r="J730" s="23" t="s">
        <v>312</v>
      </c>
      <c r="K730" s="21" t="s">
        <v>1462</v>
      </c>
      <c r="O730" s="347"/>
      <c r="R730" s="84" t="s">
        <v>314</v>
      </c>
      <c r="Y730" s="20">
        <f t="shared" si="33"/>
        <v>1</v>
      </c>
      <c r="AA730" s="98">
        <f t="shared" si="31"/>
        <v>1.6759999999999984</v>
      </c>
      <c r="AB730" s="98" t="e">
        <f t="shared" si="32"/>
        <v>#VALUE!</v>
      </c>
    </row>
    <row r="731" spans="1:28" ht="22.15" customHeight="1" x14ac:dyDescent="0.25">
      <c r="A731" s="21" t="s">
        <v>103</v>
      </c>
      <c r="B731" s="276" t="s">
        <v>1463</v>
      </c>
      <c r="C731" s="81">
        <v>12</v>
      </c>
      <c r="D731" s="23" t="s">
        <v>1464</v>
      </c>
      <c r="H731" s="346">
        <v>29.9</v>
      </c>
      <c r="I731" s="21">
        <v>28.224</v>
      </c>
      <c r="J731" s="23" t="s">
        <v>312</v>
      </c>
      <c r="K731" s="21" t="s">
        <v>1465</v>
      </c>
      <c r="O731" s="347"/>
      <c r="R731" s="84" t="s">
        <v>314</v>
      </c>
      <c r="Y731" s="20">
        <f t="shared" si="33"/>
        <v>1</v>
      </c>
      <c r="AA731" s="98">
        <f t="shared" si="31"/>
        <v>1.6759999999999984</v>
      </c>
      <c r="AB731" s="98" t="e">
        <f t="shared" si="32"/>
        <v>#VALUE!</v>
      </c>
    </row>
    <row r="732" spans="1:28" ht="22.15" customHeight="1" x14ac:dyDescent="0.25">
      <c r="A732" s="21" t="s">
        <v>103</v>
      </c>
      <c r="B732" s="276" t="s">
        <v>1466</v>
      </c>
      <c r="C732" s="81">
        <v>12</v>
      </c>
      <c r="D732" s="23" t="s">
        <v>1467</v>
      </c>
      <c r="H732" s="346">
        <v>29.9</v>
      </c>
      <c r="I732" s="21">
        <v>28.224</v>
      </c>
      <c r="J732" s="23" t="s">
        <v>312</v>
      </c>
      <c r="K732" s="21" t="s">
        <v>1468</v>
      </c>
      <c r="O732" s="347"/>
      <c r="R732" s="84" t="s">
        <v>314</v>
      </c>
      <c r="Y732" s="20">
        <f t="shared" si="33"/>
        <v>1</v>
      </c>
      <c r="AA732" s="98">
        <f t="shared" si="31"/>
        <v>1.6759999999999984</v>
      </c>
      <c r="AB732" s="98" t="e">
        <f t="shared" si="32"/>
        <v>#VALUE!</v>
      </c>
    </row>
    <row r="733" spans="1:28" ht="22.15" customHeight="1" x14ac:dyDescent="0.25">
      <c r="A733" s="21" t="s">
        <v>103</v>
      </c>
      <c r="B733" s="276" t="s">
        <v>1469</v>
      </c>
      <c r="C733" s="81">
        <v>12</v>
      </c>
      <c r="D733" s="23" t="s">
        <v>1470</v>
      </c>
      <c r="H733" s="346">
        <v>29.9</v>
      </c>
      <c r="I733" s="21">
        <v>28.224</v>
      </c>
      <c r="J733" s="23" t="s">
        <v>312</v>
      </c>
      <c r="K733" s="21" t="s">
        <v>1471</v>
      </c>
      <c r="O733" s="347"/>
      <c r="R733" s="84" t="s">
        <v>314</v>
      </c>
      <c r="Y733" s="20">
        <f t="shared" si="33"/>
        <v>1</v>
      </c>
      <c r="AA733" s="98">
        <f t="shared" si="31"/>
        <v>1.6759999999999984</v>
      </c>
      <c r="AB733" s="98" t="e">
        <f t="shared" si="32"/>
        <v>#VALUE!</v>
      </c>
    </row>
    <row r="734" spans="1:28" ht="22.15" customHeight="1" x14ac:dyDescent="0.25">
      <c r="A734" s="21" t="s">
        <v>103</v>
      </c>
      <c r="B734" s="276" t="s">
        <v>1472</v>
      </c>
      <c r="C734" s="81">
        <v>12</v>
      </c>
      <c r="D734" s="23" t="s">
        <v>1473</v>
      </c>
      <c r="H734" s="346">
        <v>29.9</v>
      </c>
      <c r="I734" s="21">
        <v>28.224</v>
      </c>
      <c r="J734" s="23" t="s">
        <v>312</v>
      </c>
      <c r="K734" s="21" t="s">
        <v>1474</v>
      </c>
      <c r="O734" s="347"/>
      <c r="R734" s="84" t="s">
        <v>314</v>
      </c>
      <c r="Y734" s="20">
        <f t="shared" si="33"/>
        <v>1</v>
      </c>
      <c r="AA734" s="98">
        <f t="shared" si="31"/>
        <v>1.6759999999999984</v>
      </c>
      <c r="AB734" s="98" t="e">
        <f t="shared" si="32"/>
        <v>#VALUE!</v>
      </c>
    </row>
    <row r="735" spans="1:28" ht="22.15" customHeight="1" x14ac:dyDescent="0.25">
      <c r="A735" s="21" t="s">
        <v>103</v>
      </c>
      <c r="B735" s="276" t="s">
        <v>1475</v>
      </c>
      <c r="C735" s="81">
        <v>12</v>
      </c>
      <c r="D735" s="23" t="s">
        <v>1476</v>
      </c>
      <c r="H735" s="346">
        <v>29.9</v>
      </c>
      <c r="I735" s="21">
        <v>28.224</v>
      </c>
      <c r="J735" s="23" t="s">
        <v>312</v>
      </c>
      <c r="K735" s="21" t="s">
        <v>1477</v>
      </c>
      <c r="O735" s="347"/>
      <c r="R735" s="84" t="s">
        <v>314</v>
      </c>
      <c r="Y735" s="20">
        <f t="shared" si="33"/>
        <v>1</v>
      </c>
      <c r="AA735" s="98">
        <f t="shared" si="31"/>
        <v>1.6759999999999984</v>
      </c>
      <c r="AB735" s="98" t="e">
        <f t="shared" si="32"/>
        <v>#VALUE!</v>
      </c>
    </row>
    <row r="736" spans="1:28" ht="22.15" customHeight="1" x14ac:dyDescent="0.25">
      <c r="A736" s="21" t="s">
        <v>103</v>
      </c>
      <c r="B736" s="276" t="s">
        <v>1478</v>
      </c>
      <c r="C736" s="81">
        <v>12</v>
      </c>
      <c r="D736" s="23" t="s">
        <v>1479</v>
      </c>
      <c r="H736" s="346">
        <v>29.9</v>
      </c>
      <c r="I736" s="21">
        <v>28.224</v>
      </c>
      <c r="J736" s="23" t="s">
        <v>312</v>
      </c>
      <c r="K736" s="21" t="s">
        <v>1480</v>
      </c>
      <c r="O736" s="347"/>
      <c r="R736" s="84" t="s">
        <v>314</v>
      </c>
      <c r="Y736" s="20">
        <f t="shared" si="33"/>
        <v>1</v>
      </c>
      <c r="AA736" s="98">
        <f t="shared" si="31"/>
        <v>1.6759999999999984</v>
      </c>
      <c r="AB736" s="98" t="e">
        <f t="shared" si="32"/>
        <v>#VALUE!</v>
      </c>
    </row>
    <row r="737" spans="1:28" ht="22.15" customHeight="1" x14ac:dyDescent="0.25">
      <c r="A737" s="21" t="s">
        <v>103</v>
      </c>
      <c r="B737" s="276" t="s">
        <v>1481</v>
      </c>
      <c r="C737" s="81">
        <v>12</v>
      </c>
      <c r="D737" s="23" t="s">
        <v>1482</v>
      </c>
      <c r="H737" s="346">
        <v>29.9</v>
      </c>
      <c r="I737" s="21">
        <v>28.224</v>
      </c>
      <c r="J737" s="23" t="s">
        <v>312</v>
      </c>
      <c r="K737" s="21" t="s">
        <v>1483</v>
      </c>
      <c r="O737" s="347"/>
      <c r="R737" s="84" t="s">
        <v>314</v>
      </c>
      <c r="Y737" s="20">
        <f t="shared" si="33"/>
        <v>1</v>
      </c>
      <c r="AA737" s="98">
        <f t="shared" si="31"/>
        <v>1.6759999999999984</v>
      </c>
      <c r="AB737" s="98" t="e">
        <f t="shared" si="32"/>
        <v>#VALUE!</v>
      </c>
    </row>
    <row r="738" spans="1:28" ht="22.15" customHeight="1" x14ac:dyDescent="0.25">
      <c r="A738" s="21" t="s">
        <v>103</v>
      </c>
      <c r="B738" s="276" t="s">
        <v>1484</v>
      </c>
      <c r="C738" s="81">
        <v>12</v>
      </c>
      <c r="D738" s="23" t="s">
        <v>1485</v>
      </c>
      <c r="H738" s="346">
        <v>29.9</v>
      </c>
      <c r="I738" s="21">
        <v>28.224</v>
      </c>
      <c r="J738" s="23" t="s">
        <v>312</v>
      </c>
      <c r="K738" s="21" t="s">
        <v>1486</v>
      </c>
      <c r="O738" s="347"/>
      <c r="R738" s="84" t="s">
        <v>314</v>
      </c>
      <c r="Y738" s="20">
        <f t="shared" si="33"/>
        <v>1</v>
      </c>
      <c r="AA738" s="98">
        <f t="shared" si="31"/>
        <v>1.6759999999999984</v>
      </c>
      <c r="AB738" s="98" t="e">
        <f t="shared" si="32"/>
        <v>#VALUE!</v>
      </c>
    </row>
    <row r="739" spans="1:28" ht="22.15" customHeight="1" x14ac:dyDescent="0.25">
      <c r="A739" s="21" t="s">
        <v>1487</v>
      </c>
      <c r="B739" s="276" t="s">
        <v>1488</v>
      </c>
      <c r="C739" s="81">
        <v>12</v>
      </c>
      <c r="D739" s="23" t="s">
        <v>1489</v>
      </c>
      <c r="H739" s="346">
        <v>29.9</v>
      </c>
      <c r="I739" s="21">
        <v>28.224</v>
      </c>
      <c r="J739" s="23" t="s">
        <v>312</v>
      </c>
      <c r="K739" s="21" t="s">
        <v>1490</v>
      </c>
      <c r="O739" s="347"/>
      <c r="R739" s="84" t="s">
        <v>314</v>
      </c>
      <c r="Y739" s="20">
        <f t="shared" si="33"/>
        <v>1</v>
      </c>
      <c r="AA739" s="98">
        <f t="shared" si="31"/>
        <v>1.6759999999999984</v>
      </c>
      <c r="AB739" s="98" t="e">
        <f t="shared" si="32"/>
        <v>#VALUE!</v>
      </c>
    </row>
    <row r="740" spans="1:28" ht="22.15" customHeight="1" x14ac:dyDescent="0.25">
      <c r="A740" s="21" t="s">
        <v>103</v>
      </c>
      <c r="B740" s="276" t="s">
        <v>1491</v>
      </c>
      <c r="C740" s="81">
        <v>12</v>
      </c>
      <c r="D740" s="23" t="s">
        <v>1492</v>
      </c>
      <c r="H740" s="346">
        <v>29.9</v>
      </c>
      <c r="I740" s="21">
        <v>28.224</v>
      </c>
      <c r="J740" s="23" t="s">
        <v>312</v>
      </c>
      <c r="K740" s="21" t="s">
        <v>1493</v>
      </c>
      <c r="O740" s="347"/>
      <c r="R740" s="84" t="s">
        <v>314</v>
      </c>
      <c r="Y740" s="20">
        <f t="shared" si="33"/>
        <v>1</v>
      </c>
      <c r="AA740" s="98">
        <f t="shared" si="31"/>
        <v>1.6759999999999984</v>
      </c>
      <c r="AB740" s="98" t="e">
        <f t="shared" si="32"/>
        <v>#VALUE!</v>
      </c>
    </row>
    <row r="741" spans="1:28" ht="22.15" customHeight="1" x14ac:dyDescent="0.25">
      <c r="A741" s="21" t="s">
        <v>815</v>
      </c>
      <c r="B741" s="276" t="s">
        <v>1494</v>
      </c>
      <c r="C741" s="81">
        <v>12</v>
      </c>
      <c r="D741" s="23" t="s">
        <v>1495</v>
      </c>
      <c r="H741" s="346">
        <v>29.9</v>
      </c>
      <c r="I741" s="21">
        <v>28.224</v>
      </c>
      <c r="J741" s="23" t="s">
        <v>312</v>
      </c>
      <c r="K741" s="21" t="s">
        <v>1496</v>
      </c>
      <c r="O741" s="347"/>
      <c r="R741" s="84" t="s">
        <v>314</v>
      </c>
      <c r="Y741" s="20">
        <f t="shared" si="33"/>
        <v>1</v>
      </c>
      <c r="AA741" s="98">
        <f t="shared" si="31"/>
        <v>1.6759999999999984</v>
      </c>
      <c r="AB741" s="98" t="e">
        <f t="shared" si="32"/>
        <v>#VALUE!</v>
      </c>
    </row>
    <row r="742" spans="1:28" ht="22.15" customHeight="1" x14ac:dyDescent="0.25">
      <c r="A742" s="21" t="s">
        <v>103</v>
      </c>
      <c r="B742" s="276" t="s">
        <v>1497</v>
      </c>
      <c r="C742" s="81">
        <v>12</v>
      </c>
      <c r="D742" s="23" t="s">
        <v>1498</v>
      </c>
      <c r="H742" s="346">
        <v>33.9</v>
      </c>
      <c r="I742" s="21">
        <v>33.08032</v>
      </c>
      <c r="J742" s="23" t="s">
        <v>109</v>
      </c>
      <c r="K742" s="21" t="s">
        <v>1499</v>
      </c>
      <c r="O742" s="347"/>
      <c r="R742" s="84" t="s">
        <v>320</v>
      </c>
      <c r="Y742" s="20">
        <f t="shared" si="33"/>
        <v>1</v>
      </c>
      <c r="AA742" s="98">
        <f t="shared" si="31"/>
        <v>0.81967999999999819</v>
      </c>
      <c r="AB742" s="98" t="e">
        <f t="shared" si="32"/>
        <v>#VALUE!</v>
      </c>
    </row>
    <row r="743" spans="1:28" ht="22.15" customHeight="1" x14ac:dyDescent="0.25">
      <c r="A743" s="21" t="s">
        <v>103</v>
      </c>
      <c r="B743" s="276" t="s">
        <v>1500</v>
      </c>
      <c r="C743" s="81">
        <v>12</v>
      </c>
      <c r="D743" s="23" t="s">
        <v>1501</v>
      </c>
      <c r="H743" s="346">
        <v>33.9</v>
      </c>
      <c r="I743" s="21">
        <v>33.08032</v>
      </c>
      <c r="J743" s="23" t="s">
        <v>109</v>
      </c>
      <c r="K743" s="21" t="s">
        <v>1502</v>
      </c>
      <c r="O743" s="347"/>
      <c r="R743" s="84" t="s">
        <v>320</v>
      </c>
      <c r="Y743" s="20">
        <f t="shared" si="33"/>
        <v>1</v>
      </c>
      <c r="AA743" s="98">
        <f t="shared" si="31"/>
        <v>0.81967999999999819</v>
      </c>
      <c r="AB743" s="98" t="e">
        <f t="shared" si="32"/>
        <v>#VALUE!</v>
      </c>
    </row>
    <row r="744" spans="1:28" ht="22.15" customHeight="1" x14ac:dyDescent="0.25">
      <c r="A744" s="21" t="s">
        <v>103</v>
      </c>
      <c r="B744" s="276" t="s">
        <v>1503</v>
      </c>
      <c r="C744" s="81">
        <v>12</v>
      </c>
      <c r="D744" s="23" t="s">
        <v>1504</v>
      </c>
      <c r="H744" s="346">
        <v>33.9</v>
      </c>
      <c r="I744" s="21">
        <v>33.08032</v>
      </c>
      <c r="J744" s="23" t="s">
        <v>109</v>
      </c>
      <c r="K744" s="21" t="s">
        <v>1505</v>
      </c>
      <c r="O744" s="347"/>
      <c r="R744" s="84" t="s">
        <v>320</v>
      </c>
      <c r="Y744" s="20">
        <f t="shared" si="33"/>
        <v>1</v>
      </c>
      <c r="AA744" s="98">
        <f t="shared" si="31"/>
        <v>0.81967999999999819</v>
      </c>
      <c r="AB744" s="98" t="e">
        <f t="shared" si="32"/>
        <v>#VALUE!</v>
      </c>
    </row>
    <row r="745" spans="1:28" ht="22.15" customHeight="1" x14ac:dyDescent="0.25">
      <c r="A745" s="21" t="s">
        <v>103</v>
      </c>
      <c r="B745" s="276" t="s">
        <v>1506</v>
      </c>
      <c r="C745" s="81">
        <v>12</v>
      </c>
      <c r="D745" s="23" t="s">
        <v>1507</v>
      </c>
      <c r="H745" s="346">
        <v>33.9</v>
      </c>
      <c r="I745" s="21">
        <v>33.08032</v>
      </c>
      <c r="J745" s="23" t="s">
        <v>109</v>
      </c>
      <c r="K745" s="21" t="s">
        <v>1508</v>
      </c>
      <c r="O745" s="347"/>
      <c r="R745" s="84" t="s">
        <v>320</v>
      </c>
      <c r="Y745" s="20">
        <f t="shared" si="33"/>
        <v>1</v>
      </c>
      <c r="AA745" s="98">
        <f t="shared" si="31"/>
        <v>0.81967999999999819</v>
      </c>
      <c r="AB745" s="98" t="e">
        <f t="shared" si="32"/>
        <v>#VALUE!</v>
      </c>
    </row>
    <row r="746" spans="1:28" ht="22.15" customHeight="1" x14ac:dyDescent="0.25">
      <c r="A746" s="21" t="s">
        <v>328</v>
      </c>
      <c r="B746" s="276" t="s">
        <v>1509</v>
      </c>
      <c r="C746" s="81">
        <v>12</v>
      </c>
      <c r="D746" s="23" t="s">
        <v>1510</v>
      </c>
      <c r="H746" s="346">
        <v>34.9</v>
      </c>
      <c r="I746" s="21">
        <v>34.500480000000003</v>
      </c>
      <c r="J746" s="23" t="s">
        <v>332</v>
      </c>
      <c r="K746" s="21" t="s">
        <v>1511</v>
      </c>
      <c r="O746" s="347"/>
      <c r="R746" s="84" t="s">
        <v>334</v>
      </c>
      <c r="Y746" s="20">
        <f t="shared" si="33"/>
        <v>1</v>
      </c>
      <c r="AA746" s="98">
        <f t="shared" si="31"/>
        <v>0.39951999999999543</v>
      </c>
      <c r="AB746" s="98" t="e">
        <f t="shared" si="32"/>
        <v>#VALUE!</v>
      </c>
    </row>
    <row r="747" spans="1:28" ht="22.15" customHeight="1" x14ac:dyDescent="0.25">
      <c r="A747" s="21" t="s">
        <v>328</v>
      </c>
      <c r="B747" s="276" t="s">
        <v>1512</v>
      </c>
      <c r="C747" s="81">
        <v>12</v>
      </c>
      <c r="D747" s="23" t="s">
        <v>1513</v>
      </c>
      <c r="H747" s="346">
        <v>34.9</v>
      </c>
      <c r="I747" s="21">
        <v>34.500480000000003</v>
      </c>
      <c r="J747" s="23" t="s">
        <v>332</v>
      </c>
      <c r="K747" s="21" t="s">
        <v>1514</v>
      </c>
      <c r="O747" s="347"/>
      <c r="R747" s="84" t="s">
        <v>334</v>
      </c>
      <c r="Y747" s="20">
        <f t="shared" si="33"/>
        <v>1</v>
      </c>
      <c r="AA747" s="98">
        <f t="shared" si="31"/>
        <v>0.39951999999999543</v>
      </c>
      <c r="AB747" s="98" t="e">
        <f t="shared" si="32"/>
        <v>#VALUE!</v>
      </c>
    </row>
    <row r="748" spans="1:28" ht="22.15" customHeight="1" x14ac:dyDescent="0.25">
      <c r="A748" s="21" t="s">
        <v>449</v>
      </c>
      <c r="B748" s="276" t="s">
        <v>1515</v>
      </c>
      <c r="C748" s="81">
        <v>12</v>
      </c>
      <c r="D748" s="23" t="s">
        <v>1516</v>
      </c>
      <c r="H748" s="346">
        <v>34.9</v>
      </c>
      <c r="I748" s="21">
        <v>34.496000000000002</v>
      </c>
      <c r="J748" s="23" t="s">
        <v>332</v>
      </c>
      <c r="K748" s="21" t="s">
        <v>1517</v>
      </c>
      <c r="O748" s="347"/>
      <c r="R748" s="84" t="s">
        <v>334</v>
      </c>
      <c r="Y748" s="20">
        <f t="shared" si="33"/>
        <v>1</v>
      </c>
      <c r="AA748" s="98">
        <f t="shared" si="31"/>
        <v>0.40399999999999636</v>
      </c>
      <c r="AB748" s="98" t="e">
        <f t="shared" si="32"/>
        <v>#VALUE!</v>
      </c>
    </row>
    <row r="749" spans="1:28" ht="22.15" customHeight="1" x14ac:dyDescent="0.25">
      <c r="A749" s="21" t="s">
        <v>103</v>
      </c>
      <c r="B749" s="276" t="s">
        <v>1518</v>
      </c>
      <c r="C749" s="81">
        <v>18</v>
      </c>
      <c r="D749" s="23" t="s">
        <v>1519</v>
      </c>
      <c r="H749" s="346">
        <v>17.899999999999999</v>
      </c>
      <c r="I749" s="21">
        <v>17.584</v>
      </c>
      <c r="J749" s="23" t="s">
        <v>332</v>
      </c>
      <c r="K749" s="21" t="s">
        <v>1520</v>
      </c>
      <c r="O749" s="347"/>
      <c r="R749" s="84" t="s">
        <v>340</v>
      </c>
      <c r="Y749" s="20">
        <f t="shared" si="33"/>
        <v>1</v>
      </c>
      <c r="AA749" s="98">
        <f t="shared" si="31"/>
        <v>0.31599999999999895</v>
      </c>
      <c r="AB749" s="98" t="e">
        <f t="shared" si="32"/>
        <v>#VALUE!</v>
      </c>
    </row>
    <row r="750" spans="1:28" ht="22.15" customHeight="1" x14ac:dyDescent="0.25">
      <c r="A750" s="21" t="s">
        <v>103</v>
      </c>
      <c r="B750" s="276" t="s">
        <v>1521</v>
      </c>
      <c r="C750" s="81">
        <v>18</v>
      </c>
      <c r="D750" s="23" t="s">
        <v>1522</v>
      </c>
      <c r="H750" s="346">
        <v>18.899999999999999</v>
      </c>
      <c r="I750" s="21">
        <v>18.260480000000001</v>
      </c>
      <c r="J750" s="23" t="s">
        <v>332</v>
      </c>
      <c r="K750" s="21" t="s">
        <v>1523</v>
      </c>
      <c r="O750" s="347"/>
      <c r="R750" s="84" t="s">
        <v>645</v>
      </c>
      <c r="Y750" s="20">
        <f t="shared" si="33"/>
        <v>1</v>
      </c>
      <c r="AA750" s="98">
        <f t="shared" ref="AA750:AA813" si="34">H750-I750</f>
        <v>0.63951999999999742</v>
      </c>
      <c r="AB750" s="98" t="e">
        <f t="shared" ref="AB750:AB813" si="35">R750-H750</f>
        <v>#VALUE!</v>
      </c>
    </row>
    <row r="751" spans="1:28" ht="22.15" customHeight="1" x14ac:dyDescent="0.25">
      <c r="A751" s="21" t="s">
        <v>255</v>
      </c>
      <c r="B751" s="276" t="s">
        <v>1524</v>
      </c>
      <c r="C751" s="81">
        <v>18</v>
      </c>
      <c r="D751" s="23" t="s">
        <v>1525</v>
      </c>
      <c r="H751" s="346">
        <v>17.899999999999999</v>
      </c>
      <c r="I751" s="21">
        <v>17.579519999999999</v>
      </c>
      <c r="J751" s="23" t="s">
        <v>332</v>
      </c>
      <c r="K751" s="21" t="s">
        <v>1526</v>
      </c>
      <c r="O751" s="347"/>
      <c r="R751" s="84" t="s">
        <v>340</v>
      </c>
      <c r="Y751" s="20">
        <f t="shared" si="33"/>
        <v>1</v>
      </c>
      <c r="AA751" s="98">
        <f t="shared" si="34"/>
        <v>0.32047999999999988</v>
      </c>
      <c r="AB751" s="98" t="e">
        <f t="shared" si="35"/>
        <v>#VALUE!</v>
      </c>
    </row>
    <row r="752" spans="1:28" ht="22.15" customHeight="1" x14ac:dyDescent="0.25">
      <c r="A752" s="21" t="s">
        <v>328</v>
      </c>
      <c r="B752" s="276" t="s">
        <v>1527</v>
      </c>
      <c r="C752" s="81">
        <v>10</v>
      </c>
      <c r="D752" s="23" t="s">
        <v>1528</v>
      </c>
      <c r="H752" s="346">
        <v>82.9</v>
      </c>
      <c r="I752" s="21">
        <v>81.2</v>
      </c>
      <c r="J752" s="23" t="s">
        <v>344</v>
      </c>
      <c r="K752" s="21" t="s">
        <v>1529</v>
      </c>
      <c r="O752" s="347"/>
      <c r="R752" s="84" t="s">
        <v>346</v>
      </c>
      <c r="Y752" s="20">
        <f t="shared" si="33"/>
        <v>1</v>
      </c>
      <c r="AA752" s="98">
        <f t="shared" si="34"/>
        <v>1.7000000000000028</v>
      </c>
      <c r="AB752" s="98" t="e">
        <f t="shared" si="35"/>
        <v>#VALUE!</v>
      </c>
    </row>
    <row r="753" spans="1:28" ht="22.15" customHeight="1" x14ac:dyDescent="0.25">
      <c r="A753" s="21" t="s">
        <v>328</v>
      </c>
      <c r="B753" s="276" t="s">
        <v>1530</v>
      </c>
      <c r="C753" s="81">
        <v>10</v>
      </c>
      <c r="D753" s="23" t="s">
        <v>1531</v>
      </c>
      <c r="H753" s="346">
        <v>82.9</v>
      </c>
      <c r="I753" s="21">
        <v>81.2</v>
      </c>
      <c r="J753" s="23" t="s">
        <v>344</v>
      </c>
      <c r="K753" s="21" t="s">
        <v>1532</v>
      </c>
      <c r="O753" s="347"/>
      <c r="R753" s="84" t="s">
        <v>346</v>
      </c>
      <c r="Y753" s="20">
        <f t="shared" si="33"/>
        <v>1</v>
      </c>
      <c r="AA753" s="98">
        <f t="shared" si="34"/>
        <v>1.7000000000000028</v>
      </c>
      <c r="AB753" s="98" t="e">
        <f t="shared" si="35"/>
        <v>#VALUE!</v>
      </c>
    </row>
    <row r="754" spans="1:28" ht="22.15" customHeight="1" x14ac:dyDescent="0.25">
      <c r="A754" s="21" t="s">
        <v>1533</v>
      </c>
      <c r="B754" s="276" t="s">
        <v>1534</v>
      </c>
      <c r="C754" s="81">
        <v>10</v>
      </c>
      <c r="D754" s="23" t="s">
        <v>1535</v>
      </c>
      <c r="H754" s="346">
        <v>82.9</v>
      </c>
      <c r="I754" s="21">
        <v>81.2</v>
      </c>
      <c r="J754" s="23" t="s">
        <v>344</v>
      </c>
      <c r="K754" s="21" t="s">
        <v>1536</v>
      </c>
      <c r="O754" s="347"/>
      <c r="R754" s="84" t="s">
        <v>346</v>
      </c>
      <c r="Y754" s="20">
        <f t="shared" si="33"/>
        <v>1</v>
      </c>
      <c r="AA754" s="98">
        <f t="shared" si="34"/>
        <v>1.7000000000000028</v>
      </c>
      <c r="AB754" s="98" t="e">
        <f t="shared" si="35"/>
        <v>#VALUE!</v>
      </c>
    </row>
    <row r="755" spans="1:28" ht="22.15" customHeight="1" x14ac:dyDescent="0.25">
      <c r="A755" s="21" t="s">
        <v>1533</v>
      </c>
      <c r="B755" s="276" t="s">
        <v>1537</v>
      </c>
      <c r="C755" s="81">
        <v>10</v>
      </c>
      <c r="D755" s="23" t="s">
        <v>1538</v>
      </c>
      <c r="H755" s="346">
        <v>82.9</v>
      </c>
      <c r="I755" s="21">
        <v>81.2</v>
      </c>
      <c r="J755" s="23" t="s">
        <v>344</v>
      </c>
      <c r="K755" s="21" t="s">
        <v>1539</v>
      </c>
      <c r="O755" s="347"/>
      <c r="R755" s="84" t="s">
        <v>346</v>
      </c>
      <c r="Y755" s="20">
        <f t="shared" si="33"/>
        <v>1</v>
      </c>
      <c r="AA755" s="98">
        <f t="shared" si="34"/>
        <v>1.7000000000000028</v>
      </c>
      <c r="AB755" s="98" t="e">
        <f t="shared" si="35"/>
        <v>#VALUE!</v>
      </c>
    </row>
    <row r="756" spans="1:28" ht="22.15" customHeight="1" x14ac:dyDescent="0.25">
      <c r="A756" s="21" t="s">
        <v>328</v>
      </c>
      <c r="B756" s="276" t="s">
        <v>1540</v>
      </c>
      <c r="C756" s="81">
        <v>8</v>
      </c>
      <c r="D756" s="23" t="s">
        <v>1541</v>
      </c>
      <c r="H756" s="346">
        <v>76.900000000000006</v>
      </c>
      <c r="I756" s="21">
        <v>74.48</v>
      </c>
      <c r="J756" s="23" t="s">
        <v>344</v>
      </c>
      <c r="K756" s="21" t="s">
        <v>1542</v>
      </c>
      <c r="O756" s="347"/>
      <c r="R756" s="84" t="s">
        <v>395</v>
      </c>
      <c r="Y756" s="20">
        <f t="shared" si="33"/>
        <v>1</v>
      </c>
      <c r="AA756" s="98">
        <f t="shared" si="34"/>
        <v>2.4200000000000017</v>
      </c>
      <c r="AB756" s="98" t="e">
        <f t="shared" si="35"/>
        <v>#VALUE!</v>
      </c>
    </row>
    <row r="757" spans="1:28" ht="22.15" customHeight="1" x14ac:dyDescent="0.25">
      <c r="A757" s="21" t="s">
        <v>297</v>
      </c>
      <c r="B757" s="276" t="s">
        <v>1543</v>
      </c>
      <c r="C757" s="81">
        <v>8</v>
      </c>
      <c r="D757" s="23" t="s">
        <v>1544</v>
      </c>
      <c r="H757" s="346">
        <v>55.9</v>
      </c>
      <c r="I757" s="21">
        <v>54.32</v>
      </c>
      <c r="J757" s="23" t="s">
        <v>344</v>
      </c>
      <c r="K757" s="21" t="s">
        <v>1545</v>
      </c>
      <c r="O757" s="347"/>
      <c r="R757" s="84" t="s">
        <v>1546</v>
      </c>
      <c r="Y757" s="20">
        <f t="shared" si="33"/>
        <v>1</v>
      </c>
      <c r="AA757" s="98">
        <f t="shared" si="34"/>
        <v>1.5799999999999983</v>
      </c>
      <c r="AB757" s="98" t="e">
        <f t="shared" si="35"/>
        <v>#VALUE!</v>
      </c>
    </row>
    <row r="758" spans="1:28" ht="22.15" customHeight="1" x14ac:dyDescent="0.25">
      <c r="A758" s="21" t="s">
        <v>103</v>
      </c>
      <c r="B758" s="276" t="s">
        <v>1547</v>
      </c>
      <c r="C758" s="81">
        <v>8</v>
      </c>
      <c r="D758" s="23" t="s">
        <v>1548</v>
      </c>
      <c r="G758" s="21">
        <v>12</v>
      </c>
      <c r="H758" s="346">
        <v>132</v>
      </c>
      <c r="I758" s="21">
        <v>129.81</v>
      </c>
      <c r="J758" s="23" t="s">
        <v>355</v>
      </c>
      <c r="K758" s="21" t="s">
        <v>1549</v>
      </c>
      <c r="O758" s="347"/>
      <c r="R758" s="84" t="s">
        <v>357</v>
      </c>
      <c r="Y758" s="20">
        <f t="shared" si="33"/>
        <v>1</v>
      </c>
      <c r="AA758" s="98">
        <f t="shared" si="34"/>
        <v>2.1899999999999977</v>
      </c>
      <c r="AB758" s="98" t="e">
        <f t="shared" si="35"/>
        <v>#VALUE!</v>
      </c>
    </row>
    <row r="759" spans="1:28" ht="22.15" customHeight="1" x14ac:dyDescent="0.25">
      <c r="A759" s="21" t="s">
        <v>374</v>
      </c>
      <c r="B759" s="276" t="s">
        <v>1550</v>
      </c>
      <c r="C759" s="81">
        <v>20</v>
      </c>
      <c r="D759" s="23" t="s">
        <v>1551</v>
      </c>
      <c r="H759" s="346">
        <v>22.9</v>
      </c>
      <c r="I759" s="21">
        <v>22.4</v>
      </c>
      <c r="J759" s="23" t="s">
        <v>369</v>
      </c>
      <c r="K759" s="21" t="s">
        <v>1552</v>
      </c>
      <c r="O759" s="347"/>
      <c r="R759" s="84" t="s">
        <v>371</v>
      </c>
      <c r="Y759" s="20">
        <f t="shared" si="33"/>
        <v>1</v>
      </c>
      <c r="AA759" s="98">
        <f t="shared" si="34"/>
        <v>0.5</v>
      </c>
      <c r="AB759" s="98" t="e">
        <f t="shared" si="35"/>
        <v>#VALUE!</v>
      </c>
    </row>
    <row r="760" spans="1:28" ht="22.15" customHeight="1" x14ac:dyDescent="0.25">
      <c r="A760" s="21" t="s">
        <v>328</v>
      </c>
      <c r="B760" s="276" t="s">
        <v>1553</v>
      </c>
      <c r="C760" s="81">
        <v>20</v>
      </c>
      <c r="D760" s="23" t="s">
        <v>1554</v>
      </c>
      <c r="H760" s="346">
        <v>22.9</v>
      </c>
      <c r="I760" s="21">
        <v>22.4</v>
      </c>
      <c r="J760" s="23" t="s">
        <v>369</v>
      </c>
      <c r="K760" s="21" t="s">
        <v>1555</v>
      </c>
      <c r="O760" s="347"/>
      <c r="R760" s="84" t="s">
        <v>371</v>
      </c>
      <c r="Y760" s="20">
        <f t="shared" si="33"/>
        <v>1</v>
      </c>
      <c r="AA760" s="98">
        <f t="shared" si="34"/>
        <v>0.5</v>
      </c>
      <c r="AB760" s="98" t="e">
        <f t="shared" si="35"/>
        <v>#VALUE!</v>
      </c>
    </row>
    <row r="761" spans="1:28" ht="22.15" customHeight="1" x14ac:dyDescent="0.25">
      <c r="A761" s="21" t="s">
        <v>328</v>
      </c>
      <c r="B761" s="276" t="s">
        <v>1556</v>
      </c>
      <c r="C761" s="81">
        <v>20</v>
      </c>
      <c r="D761" s="23" t="s">
        <v>1557</v>
      </c>
      <c r="H761" s="346">
        <v>22.9</v>
      </c>
      <c r="I761" s="21">
        <v>22.4</v>
      </c>
      <c r="J761" s="23" t="s">
        <v>369</v>
      </c>
      <c r="K761" s="21" t="s">
        <v>1558</v>
      </c>
      <c r="O761" s="347"/>
      <c r="R761" s="84" t="s">
        <v>371</v>
      </c>
      <c r="Y761" s="20">
        <f t="shared" si="33"/>
        <v>1</v>
      </c>
      <c r="AA761" s="98">
        <f t="shared" si="34"/>
        <v>0.5</v>
      </c>
      <c r="AB761" s="98" t="e">
        <f t="shared" si="35"/>
        <v>#VALUE!</v>
      </c>
    </row>
    <row r="762" spans="1:28" ht="22.15" customHeight="1" x14ac:dyDescent="0.25">
      <c r="A762" s="21" t="s">
        <v>374</v>
      </c>
      <c r="B762" s="276" t="s">
        <v>1559</v>
      </c>
      <c r="C762" s="81">
        <v>20</v>
      </c>
      <c r="D762" s="23" t="s">
        <v>1560</v>
      </c>
      <c r="H762" s="346">
        <v>22.9</v>
      </c>
      <c r="I762" s="21">
        <v>22.4</v>
      </c>
      <c r="J762" s="23" t="s">
        <v>369</v>
      </c>
      <c r="K762" s="21" t="s">
        <v>1561</v>
      </c>
      <c r="O762" s="347"/>
      <c r="R762" s="84" t="s">
        <v>371</v>
      </c>
      <c r="Y762" s="20">
        <f t="shared" si="33"/>
        <v>1</v>
      </c>
      <c r="AA762" s="98">
        <f t="shared" si="34"/>
        <v>0.5</v>
      </c>
      <c r="AB762" s="98" t="e">
        <f t="shared" si="35"/>
        <v>#VALUE!</v>
      </c>
    </row>
    <row r="763" spans="1:28" ht="22.15" customHeight="1" x14ac:dyDescent="0.25">
      <c r="A763" s="21" t="s">
        <v>374</v>
      </c>
      <c r="B763" s="276" t="s">
        <v>1562</v>
      </c>
      <c r="C763" s="81">
        <v>22</v>
      </c>
      <c r="D763" s="23" t="s">
        <v>1563</v>
      </c>
      <c r="H763" s="346">
        <v>24.9</v>
      </c>
      <c r="I763" s="21">
        <v>24.494399999999999</v>
      </c>
      <c r="J763" s="23" t="s">
        <v>378</v>
      </c>
      <c r="K763" s="21" t="s">
        <v>1564</v>
      </c>
      <c r="O763" s="347"/>
      <c r="R763" s="84" t="s">
        <v>448</v>
      </c>
      <c r="Y763" s="20">
        <f t="shared" si="33"/>
        <v>1</v>
      </c>
      <c r="AA763" s="98">
        <f t="shared" si="34"/>
        <v>0.40559999999999974</v>
      </c>
      <c r="AB763" s="98" t="e">
        <f t="shared" si="35"/>
        <v>#VALUE!</v>
      </c>
    </row>
    <row r="764" spans="1:28" ht="22.15" customHeight="1" x14ac:dyDescent="0.25">
      <c r="A764" s="21" t="s">
        <v>374</v>
      </c>
      <c r="B764" s="276" t="s">
        <v>1565</v>
      </c>
      <c r="C764" s="81">
        <v>22</v>
      </c>
      <c r="D764" s="23" t="s">
        <v>1566</v>
      </c>
      <c r="H764" s="346">
        <v>27.9</v>
      </c>
      <c r="I764" s="21">
        <v>27.220479999999998</v>
      </c>
      <c r="J764" s="23" t="s">
        <v>378</v>
      </c>
      <c r="K764" s="21" t="s">
        <v>1567</v>
      </c>
      <c r="O764" s="347"/>
      <c r="R764" s="84" t="s">
        <v>499</v>
      </c>
      <c r="Y764" s="20">
        <f t="shared" si="33"/>
        <v>1</v>
      </c>
      <c r="AA764" s="98">
        <f t="shared" si="34"/>
        <v>0.67952000000000012</v>
      </c>
      <c r="AB764" s="98" t="e">
        <f t="shared" si="35"/>
        <v>#VALUE!</v>
      </c>
    </row>
    <row r="765" spans="1:28" ht="22.15" customHeight="1" x14ac:dyDescent="0.25">
      <c r="A765" s="21" t="s">
        <v>381</v>
      </c>
      <c r="B765" s="276" t="s">
        <v>1568</v>
      </c>
      <c r="C765" s="81">
        <v>25</v>
      </c>
      <c r="D765" s="23" t="s">
        <v>1569</v>
      </c>
      <c r="H765" s="346">
        <v>12.9</v>
      </c>
      <c r="I765" s="21">
        <v>12.50032</v>
      </c>
      <c r="J765" s="23" t="s">
        <v>386</v>
      </c>
      <c r="K765" s="21" t="s">
        <v>1570</v>
      </c>
      <c r="O765" s="347"/>
      <c r="R765" s="84" t="s">
        <v>388</v>
      </c>
      <c r="Y765" s="20">
        <f t="shared" si="33"/>
        <v>1</v>
      </c>
      <c r="AA765" s="98">
        <f t="shared" si="34"/>
        <v>0.39968000000000004</v>
      </c>
      <c r="AB765" s="98" t="e">
        <f t="shared" si="35"/>
        <v>#VALUE!</v>
      </c>
    </row>
    <row r="766" spans="1:28" ht="22.15" customHeight="1" x14ac:dyDescent="0.25">
      <c r="A766" s="21" t="s">
        <v>381</v>
      </c>
      <c r="B766" s="276" t="s">
        <v>1571</v>
      </c>
      <c r="C766" s="81">
        <v>25</v>
      </c>
      <c r="D766" s="23" t="s">
        <v>1572</v>
      </c>
      <c r="H766" s="346">
        <v>12.9</v>
      </c>
      <c r="I766" s="21">
        <v>12.50032</v>
      </c>
      <c r="J766" s="23" t="s">
        <v>386</v>
      </c>
      <c r="K766" s="21" t="s">
        <v>1573</v>
      </c>
      <c r="O766" s="347"/>
      <c r="R766" s="84" t="s">
        <v>388</v>
      </c>
      <c r="Y766" s="20">
        <f t="shared" si="33"/>
        <v>1</v>
      </c>
      <c r="AA766" s="98">
        <f t="shared" si="34"/>
        <v>0.39968000000000004</v>
      </c>
      <c r="AB766" s="98" t="e">
        <f t="shared" si="35"/>
        <v>#VALUE!</v>
      </c>
    </row>
    <row r="767" spans="1:28" ht="22.15" customHeight="1" x14ac:dyDescent="0.25">
      <c r="A767" s="21" t="s">
        <v>328</v>
      </c>
      <c r="B767" s="276" t="s">
        <v>1574</v>
      </c>
      <c r="C767" s="81">
        <v>12</v>
      </c>
      <c r="D767" s="23" t="s">
        <v>1575</v>
      </c>
      <c r="H767" s="346">
        <v>74.900000000000006</v>
      </c>
      <c r="I767" s="21">
        <v>73.280479999999997</v>
      </c>
      <c r="J767" s="23" t="s">
        <v>393</v>
      </c>
      <c r="K767" s="21" t="s">
        <v>1576</v>
      </c>
      <c r="O767" s="347"/>
      <c r="R767" s="84" t="s">
        <v>395</v>
      </c>
      <c r="Y767" s="20">
        <f t="shared" si="33"/>
        <v>1</v>
      </c>
      <c r="AA767" s="98">
        <f t="shared" si="34"/>
        <v>1.6195200000000085</v>
      </c>
      <c r="AB767" s="98" t="e">
        <f t="shared" si="35"/>
        <v>#VALUE!</v>
      </c>
    </row>
    <row r="768" spans="1:28" ht="22.15" customHeight="1" x14ac:dyDescent="0.25">
      <c r="A768" s="21" t="s">
        <v>255</v>
      </c>
      <c r="B768" s="276" t="s">
        <v>1577</v>
      </c>
      <c r="C768" s="81">
        <v>12</v>
      </c>
      <c r="D768" s="23" t="s">
        <v>1578</v>
      </c>
      <c r="H768" s="346">
        <v>74.900000000000006</v>
      </c>
      <c r="I768" s="21">
        <v>73.280479999999997</v>
      </c>
      <c r="J768" s="23" t="s">
        <v>393</v>
      </c>
      <c r="K768" s="21" t="s">
        <v>1579</v>
      </c>
      <c r="O768" s="347"/>
      <c r="R768" s="84" t="s">
        <v>395</v>
      </c>
      <c r="Y768" s="20">
        <f t="shared" si="33"/>
        <v>1</v>
      </c>
      <c r="AA768" s="98">
        <f t="shared" si="34"/>
        <v>1.6195200000000085</v>
      </c>
      <c r="AB768" s="98" t="e">
        <f t="shared" si="35"/>
        <v>#VALUE!</v>
      </c>
    </row>
    <row r="769" spans="1:28" ht="22.15" customHeight="1" x14ac:dyDescent="0.25">
      <c r="A769" s="21" t="s">
        <v>328</v>
      </c>
      <c r="B769" s="276" t="s">
        <v>1580</v>
      </c>
      <c r="C769" s="81">
        <v>12</v>
      </c>
      <c r="D769" s="23" t="s">
        <v>1581</v>
      </c>
      <c r="H769" s="346">
        <v>74.900000000000006</v>
      </c>
      <c r="I769" s="21">
        <v>70.54992</v>
      </c>
      <c r="J769" s="23" t="s">
        <v>435</v>
      </c>
      <c r="K769" s="21" t="s">
        <v>1582</v>
      </c>
      <c r="O769" s="347"/>
      <c r="R769" s="84" t="s">
        <v>395</v>
      </c>
      <c r="Y769" s="20">
        <f t="shared" si="33"/>
        <v>1</v>
      </c>
      <c r="AA769" s="98">
        <f t="shared" si="34"/>
        <v>4.3500800000000055</v>
      </c>
      <c r="AB769" s="98" t="e">
        <f t="shared" si="35"/>
        <v>#VALUE!</v>
      </c>
    </row>
    <row r="770" spans="1:28" ht="22.15" customHeight="1" x14ac:dyDescent="0.25">
      <c r="A770" s="21" t="s">
        <v>328</v>
      </c>
      <c r="B770" s="276" t="s">
        <v>1583</v>
      </c>
      <c r="C770" s="81">
        <v>12</v>
      </c>
      <c r="D770" s="23" t="s">
        <v>1584</v>
      </c>
      <c r="H770" s="346">
        <v>74.900000000000006</v>
      </c>
      <c r="I770" s="21">
        <v>73.280479999999997</v>
      </c>
      <c r="J770" s="23" t="s">
        <v>393</v>
      </c>
      <c r="K770" s="21" t="s">
        <v>1585</v>
      </c>
      <c r="O770" s="347"/>
      <c r="R770" s="84" t="s">
        <v>395</v>
      </c>
      <c r="Y770" s="20">
        <f t="shared" si="33"/>
        <v>1</v>
      </c>
      <c r="AA770" s="98">
        <f t="shared" si="34"/>
        <v>1.6195200000000085</v>
      </c>
      <c r="AB770" s="98" t="e">
        <f t="shared" si="35"/>
        <v>#VALUE!</v>
      </c>
    </row>
    <row r="771" spans="1:28" ht="22.15" customHeight="1" x14ac:dyDescent="0.25">
      <c r="A771" s="21" t="s">
        <v>255</v>
      </c>
      <c r="B771" s="276" t="s">
        <v>1586</v>
      </c>
      <c r="C771" s="81">
        <v>12</v>
      </c>
      <c r="D771" s="23" t="s">
        <v>1587</v>
      </c>
      <c r="H771" s="346">
        <v>74.900000000000006</v>
      </c>
      <c r="I771" s="21">
        <v>73.280479999999997</v>
      </c>
      <c r="J771" s="23" t="s">
        <v>393</v>
      </c>
      <c r="K771" s="21" t="s">
        <v>1588</v>
      </c>
      <c r="O771" s="347"/>
      <c r="R771" s="84" t="s">
        <v>395</v>
      </c>
      <c r="Y771" s="20">
        <f t="shared" si="33"/>
        <v>1</v>
      </c>
      <c r="AA771" s="98">
        <f t="shared" si="34"/>
        <v>1.6195200000000085</v>
      </c>
      <c r="AB771" s="98" t="e">
        <f t="shared" si="35"/>
        <v>#VALUE!</v>
      </c>
    </row>
    <row r="772" spans="1:28" ht="22.15" customHeight="1" x14ac:dyDescent="0.25">
      <c r="A772" s="21" t="s">
        <v>255</v>
      </c>
      <c r="B772" s="276" t="s">
        <v>1589</v>
      </c>
      <c r="C772" s="81">
        <v>12</v>
      </c>
      <c r="D772" s="23" t="s">
        <v>1590</v>
      </c>
      <c r="H772" s="346">
        <v>74.900000000000006</v>
      </c>
      <c r="I772" s="21">
        <v>73.280479999999997</v>
      </c>
      <c r="J772" s="23" t="s">
        <v>393</v>
      </c>
      <c r="K772" s="21" t="s">
        <v>1591</v>
      </c>
      <c r="O772" s="347"/>
      <c r="R772" s="84" t="s">
        <v>395</v>
      </c>
      <c r="Y772" s="20">
        <f t="shared" si="33"/>
        <v>1</v>
      </c>
      <c r="AA772" s="98">
        <f t="shared" si="34"/>
        <v>1.6195200000000085</v>
      </c>
      <c r="AB772" s="98" t="e">
        <f t="shared" si="35"/>
        <v>#VALUE!</v>
      </c>
    </row>
    <row r="773" spans="1:28" ht="22.15" customHeight="1" x14ac:dyDescent="0.25">
      <c r="A773" s="21" t="s">
        <v>255</v>
      </c>
      <c r="B773" s="276" t="s">
        <v>1592</v>
      </c>
      <c r="C773" s="81">
        <v>12</v>
      </c>
      <c r="D773" s="23" t="s">
        <v>1593</v>
      </c>
      <c r="H773" s="346">
        <v>74.900000000000006</v>
      </c>
      <c r="I773" s="21">
        <v>73.280479999999997</v>
      </c>
      <c r="J773" s="23" t="s">
        <v>393</v>
      </c>
      <c r="K773" s="21" t="s">
        <v>1594</v>
      </c>
      <c r="O773" s="347"/>
      <c r="R773" s="84" t="s">
        <v>395</v>
      </c>
      <c r="Y773" s="20">
        <f t="shared" si="33"/>
        <v>1</v>
      </c>
      <c r="AA773" s="98">
        <f t="shared" si="34"/>
        <v>1.6195200000000085</v>
      </c>
      <c r="AB773" s="98" t="e">
        <f t="shared" si="35"/>
        <v>#VALUE!</v>
      </c>
    </row>
    <row r="774" spans="1:28" ht="22.15" customHeight="1" x14ac:dyDescent="0.25">
      <c r="A774" s="21" t="s">
        <v>255</v>
      </c>
      <c r="B774" s="276" t="s">
        <v>1595</v>
      </c>
      <c r="C774" s="81">
        <v>12</v>
      </c>
      <c r="D774" s="23" t="s">
        <v>1596</v>
      </c>
      <c r="H774" s="346">
        <v>74.900000000000006</v>
      </c>
      <c r="I774" s="21">
        <v>73.280479999999997</v>
      </c>
      <c r="J774" s="23" t="s">
        <v>393</v>
      </c>
      <c r="K774" s="21" t="s">
        <v>1597</v>
      </c>
      <c r="O774" s="347"/>
      <c r="R774" s="84" t="s">
        <v>395</v>
      </c>
      <c r="Y774" s="20">
        <f t="shared" si="33"/>
        <v>1</v>
      </c>
      <c r="AA774" s="98">
        <f t="shared" si="34"/>
        <v>1.6195200000000085</v>
      </c>
      <c r="AB774" s="98" t="e">
        <f t="shared" si="35"/>
        <v>#VALUE!</v>
      </c>
    </row>
    <row r="775" spans="1:28" ht="22.15" customHeight="1" x14ac:dyDescent="0.25">
      <c r="A775" s="21" t="s">
        <v>255</v>
      </c>
      <c r="B775" s="276" t="s">
        <v>1598</v>
      </c>
      <c r="C775" s="81">
        <v>12</v>
      </c>
      <c r="D775" s="23" t="s">
        <v>1599</v>
      </c>
      <c r="H775" s="346">
        <v>74.900000000000006</v>
      </c>
      <c r="I775" s="21">
        <v>70.54992</v>
      </c>
      <c r="J775" s="23" t="s">
        <v>435</v>
      </c>
      <c r="K775" s="21" t="s">
        <v>1600</v>
      </c>
      <c r="O775" s="347"/>
      <c r="R775" s="84" t="s">
        <v>395</v>
      </c>
      <c r="Y775" s="20">
        <f t="shared" ref="Y775:Y838" si="36">COUNTIF(K:K,K775)</f>
        <v>1</v>
      </c>
      <c r="AA775" s="98">
        <f t="shared" si="34"/>
        <v>4.3500800000000055</v>
      </c>
      <c r="AB775" s="98" t="e">
        <f t="shared" si="35"/>
        <v>#VALUE!</v>
      </c>
    </row>
    <row r="776" spans="1:28" ht="22.15" customHeight="1" x14ac:dyDescent="0.25">
      <c r="A776" s="21" t="s">
        <v>255</v>
      </c>
      <c r="B776" s="276" t="s">
        <v>1601</v>
      </c>
      <c r="C776" s="81">
        <v>12</v>
      </c>
      <c r="D776" s="23" t="s">
        <v>1602</v>
      </c>
      <c r="H776" s="346">
        <v>74.900000000000006</v>
      </c>
      <c r="I776" s="21">
        <v>73.280479999999997</v>
      </c>
      <c r="J776" s="23" t="s">
        <v>393</v>
      </c>
      <c r="K776" s="21" t="s">
        <v>1603</v>
      </c>
      <c r="O776" s="347"/>
      <c r="R776" s="84" t="s">
        <v>395</v>
      </c>
      <c r="Y776" s="20">
        <f t="shared" si="36"/>
        <v>1</v>
      </c>
      <c r="AA776" s="98">
        <f t="shared" si="34"/>
        <v>1.6195200000000085</v>
      </c>
      <c r="AB776" s="98" t="e">
        <f t="shared" si="35"/>
        <v>#VALUE!</v>
      </c>
    </row>
    <row r="777" spans="1:28" ht="22.15" customHeight="1" x14ac:dyDescent="0.25">
      <c r="A777" s="21" t="s">
        <v>328</v>
      </c>
      <c r="B777" s="276" t="s">
        <v>1604</v>
      </c>
      <c r="C777" s="81">
        <v>18</v>
      </c>
      <c r="D777" s="23" t="s">
        <v>1605</v>
      </c>
      <c r="H777" s="346">
        <v>16.899999999999999</v>
      </c>
      <c r="I777" s="21">
        <v>16.509920000000001</v>
      </c>
      <c r="J777" s="23" t="s">
        <v>400</v>
      </c>
      <c r="K777" s="21" t="s">
        <v>1606</v>
      </c>
      <c r="O777" s="347"/>
      <c r="R777" s="84" t="s">
        <v>402</v>
      </c>
      <c r="Y777" s="20">
        <f t="shared" si="36"/>
        <v>1</v>
      </c>
      <c r="AA777" s="98">
        <f t="shared" si="34"/>
        <v>0.39007999999999754</v>
      </c>
      <c r="AB777" s="98" t="e">
        <f t="shared" si="35"/>
        <v>#VALUE!</v>
      </c>
    </row>
    <row r="778" spans="1:28" ht="22.15" customHeight="1" x14ac:dyDescent="0.25">
      <c r="A778" s="21" t="s">
        <v>328</v>
      </c>
      <c r="B778" s="276" t="s">
        <v>1607</v>
      </c>
      <c r="C778" s="81">
        <v>18</v>
      </c>
      <c r="D778" s="23" t="s">
        <v>1608</v>
      </c>
      <c r="H778" s="346">
        <v>16.899999999999999</v>
      </c>
      <c r="I778" s="21">
        <v>16.509920000000001</v>
      </c>
      <c r="J778" s="23" t="s">
        <v>400</v>
      </c>
      <c r="K778" s="21" t="s">
        <v>1609</v>
      </c>
      <c r="O778" s="347"/>
      <c r="R778" s="84" t="s">
        <v>402</v>
      </c>
      <c r="Y778" s="20">
        <f t="shared" si="36"/>
        <v>1</v>
      </c>
      <c r="AA778" s="98">
        <f t="shared" si="34"/>
        <v>0.39007999999999754</v>
      </c>
      <c r="AB778" s="98" t="e">
        <f t="shared" si="35"/>
        <v>#VALUE!</v>
      </c>
    </row>
    <row r="779" spans="1:28" ht="22.15" customHeight="1" x14ac:dyDescent="0.25">
      <c r="A779" s="21" t="s">
        <v>328</v>
      </c>
      <c r="B779" s="276" t="s">
        <v>1610</v>
      </c>
      <c r="C779" s="81">
        <v>18</v>
      </c>
      <c r="D779" s="23" t="s">
        <v>1611</v>
      </c>
      <c r="H779" s="346">
        <v>16.899999999999999</v>
      </c>
      <c r="I779" s="21">
        <v>16.509920000000001</v>
      </c>
      <c r="J779" s="23" t="s">
        <v>400</v>
      </c>
      <c r="K779" s="21" t="s">
        <v>1612</v>
      </c>
      <c r="O779" s="347"/>
      <c r="R779" s="84" t="s">
        <v>402</v>
      </c>
      <c r="Y779" s="20">
        <f t="shared" si="36"/>
        <v>1</v>
      </c>
      <c r="AA779" s="98">
        <f t="shared" si="34"/>
        <v>0.39007999999999754</v>
      </c>
      <c r="AB779" s="98" t="e">
        <f t="shared" si="35"/>
        <v>#VALUE!</v>
      </c>
    </row>
    <row r="780" spans="1:28" ht="22.15" customHeight="1" x14ac:dyDescent="0.25">
      <c r="A780" s="21" t="s">
        <v>328</v>
      </c>
      <c r="B780" s="276" t="s">
        <v>1613</v>
      </c>
      <c r="C780" s="81">
        <v>18</v>
      </c>
      <c r="D780" s="23" t="s">
        <v>1614</v>
      </c>
      <c r="H780" s="346">
        <v>16.899999999999999</v>
      </c>
      <c r="I780" s="21">
        <v>16.509920000000001</v>
      </c>
      <c r="J780" s="23" t="s">
        <v>400</v>
      </c>
      <c r="K780" s="21" t="s">
        <v>1615</v>
      </c>
      <c r="O780" s="347"/>
      <c r="R780" s="84" t="s">
        <v>402</v>
      </c>
      <c r="Y780" s="20">
        <f t="shared" si="36"/>
        <v>1</v>
      </c>
      <c r="AA780" s="98">
        <f t="shared" si="34"/>
        <v>0.39007999999999754</v>
      </c>
      <c r="AB780" s="98" t="e">
        <f t="shared" si="35"/>
        <v>#VALUE!</v>
      </c>
    </row>
    <row r="781" spans="1:28" ht="22.15" customHeight="1" x14ac:dyDescent="0.25">
      <c r="A781" s="21" t="s">
        <v>328</v>
      </c>
      <c r="B781" s="276" t="s">
        <v>1616</v>
      </c>
      <c r="C781" s="81">
        <v>18</v>
      </c>
      <c r="D781" s="23" t="s">
        <v>1617</v>
      </c>
      <c r="H781" s="346">
        <v>16.899999999999999</v>
      </c>
      <c r="I781" s="21">
        <v>16.509920000000001</v>
      </c>
      <c r="J781" s="23" t="s">
        <v>400</v>
      </c>
      <c r="K781" s="21" t="s">
        <v>1618</v>
      </c>
      <c r="O781" s="347"/>
      <c r="R781" s="84" t="s">
        <v>402</v>
      </c>
      <c r="Y781" s="20">
        <f t="shared" si="36"/>
        <v>1</v>
      </c>
      <c r="AA781" s="98">
        <f t="shared" si="34"/>
        <v>0.39007999999999754</v>
      </c>
      <c r="AB781" s="98" t="e">
        <f t="shared" si="35"/>
        <v>#VALUE!</v>
      </c>
    </row>
    <row r="782" spans="1:28" ht="22.15" customHeight="1" x14ac:dyDescent="0.25">
      <c r="A782" s="21" t="s">
        <v>328</v>
      </c>
      <c r="B782" s="276" t="s">
        <v>1619</v>
      </c>
      <c r="C782" s="81">
        <v>15</v>
      </c>
      <c r="D782" s="23" t="s">
        <v>1620</v>
      </c>
      <c r="H782" s="346">
        <v>9.5</v>
      </c>
      <c r="I782" s="21">
        <v>9.0719999999999992</v>
      </c>
      <c r="J782" s="23" t="s">
        <v>407</v>
      </c>
      <c r="K782" s="21" t="s">
        <v>1621</v>
      </c>
      <c r="O782" s="347"/>
      <c r="R782" s="84" t="s">
        <v>409</v>
      </c>
      <c r="Y782" s="20">
        <f t="shared" si="36"/>
        <v>1</v>
      </c>
      <c r="AA782" s="98">
        <f t="shared" si="34"/>
        <v>0.42800000000000082</v>
      </c>
      <c r="AB782" s="98" t="e">
        <f t="shared" si="35"/>
        <v>#VALUE!</v>
      </c>
    </row>
    <row r="783" spans="1:28" ht="22.15" customHeight="1" x14ac:dyDescent="0.25">
      <c r="A783" s="21" t="s">
        <v>449</v>
      </c>
      <c r="B783" s="276" t="s">
        <v>1622</v>
      </c>
      <c r="C783" s="81">
        <v>6</v>
      </c>
      <c r="D783" s="23" t="s">
        <v>1623</v>
      </c>
      <c r="H783" s="346">
        <v>47.9</v>
      </c>
      <c r="I783" s="21">
        <v>45.859520000000003</v>
      </c>
      <c r="J783" s="23" t="s">
        <v>453</v>
      </c>
      <c r="K783" s="21" t="s">
        <v>1624</v>
      </c>
      <c r="O783" s="347"/>
      <c r="R783" s="84" t="s">
        <v>455</v>
      </c>
      <c r="Y783" s="20">
        <f t="shared" si="36"/>
        <v>1</v>
      </c>
      <c r="AA783" s="98">
        <f t="shared" si="34"/>
        <v>2.0404799999999952</v>
      </c>
      <c r="AB783" s="98" t="e">
        <f t="shared" si="35"/>
        <v>#VALUE!</v>
      </c>
    </row>
    <row r="784" spans="1:28" ht="22.15" customHeight="1" x14ac:dyDescent="0.25">
      <c r="A784" s="21" t="s">
        <v>449</v>
      </c>
      <c r="B784" s="276" t="s">
        <v>1625</v>
      </c>
      <c r="C784" s="81">
        <v>6</v>
      </c>
      <c r="D784" s="23" t="s">
        <v>1626</v>
      </c>
      <c r="H784" s="346">
        <v>47.9</v>
      </c>
      <c r="I784" s="21">
        <v>45.859520000000003</v>
      </c>
      <c r="J784" s="23" t="s">
        <v>453</v>
      </c>
      <c r="K784" s="21" t="s">
        <v>1627</v>
      </c>
      <c r="O784" s="347"/>
      <c r="R784" s="84" t="s">
        <v>455</v>
      </c>
      <c r="Y784" s="20">
        <f t="shared" si="36"/>
        <v>1</v>
      </c>
      <c r="AA784" s="98">
        <f t="shared" si="34"/>
        <v>2.0404799999999952</v>
      </c>
      <c r="AB784" s="98" t="e">
        <f t="shared" si="35"/>
        <v>#VALUE!</v>
      </c>
    </row>
    <row r="785" spans="1:28" ht="22.15" customHeight="1" x14ac:dyDescent="0.25">
      <c r="A785" s="21" t="s">
        <v>449</v>
      </c>
      <c r="B785" s="276" t="s">
        <v>1628</v>
      </c>
      <c r="C785" s="81">
        <v>6</v>
      </c>
      <c r="D785" s="23" t="s">
        <v>1629</v>
      </c>
      <c r="H785" s="346">
        <v>47.9</v>
      </c>
      <c r="I785" s="21">
        <v>45.859520000000003</v>
      </c>
      <c r="J785" s="23" t="s">
        <v>453</v>
      </c>
      <c r="K785" s="21" t="s">
        <v>1630</v>
      </c>
      <c r="O785" s="347"/>
      <c r="R785" s="84" t="s">
        <v>455</v>
      </c>
      <c r="Y785" s="20">
        <f t="shared" si="36"/>
        <v>1</v>
      </c>
      <c r="AA785" s="98">
        <f t="shared" si="34"/>
        <v>2.0404799999999952</v>
      </c>
      <c r="AB785" s="98" t="e">
        <f t="shared" si="35"/>
        <v>#VALUE!</v>
      </c>
    </row>
    <row r="786" spans="1:28" ht="22.15" customHeight="1" x14ac:dyDescent="0.25">
      <c r="A786" s="21" t="s">
        <v>217</v>
      </c>
      <c r="B786" s="276" t="s">
        <v>1631</v>
      </c>
      <c r="C786" s="81">
        <v>8</v>
      </c>
      <c r="D786" s="23" t="s">
        <v>1632</v>
      </c>
      <c r="H786" s="346">
        <v>20.9</v>
      </c>
      <c r="I786" s="21">
        <v>20.3</v>
      </c>
      <c r="J786" s="23" t="s">
        <v>493</v>
      </c>
      <c r="K786" s="21" t="s">
        <v>1633</v>
      </c>
      <c r="O786" s="347"/>
      <c r="R786" s="84" t="s">
        <v>380</v>
      </c>
      <c r="Y786" s="20">
        <f t="shared" si="36"/>
        <v>1</v>
      </c>
      <c r="AA786" s="98">
        <f t="shared" si="34"/>
        <v>0.59999999999999787</v>
      </c>
      <c r="AB786" s="98" t="e">
        <f t="shared" si="35"/>
        <v>#VALUE!</v>
      </c>
    </row>
    <row r="787" spans="1:28" ht="22.15" customHeight="1" x14ac:dyDescent="0.25">
      <c r="A787" s="21" t="s">
        <v>465</v>
      </c>
      <c r="B787" s="276" t="s">
        <v>1634</v>
      </c>
      <c r="C787" s="81">
        <v>26</v>
      </c>
      <c r="D787" s="23" t="s">
        <v>1635</v>
      </c>
      <c r="H787" s="346">
        <v>21.9</v>
      </c>
      <c r="I787" s="21">
        <v>21.200479999999999</v>
      </c>
      <c r="J787" s="23" t="s">
        <v>470</v>
      </c>
      <c r="K787" s="21" t="s">
        <v>1636</v>
      </c>
      <c r="O787" s="347"/>
      <c r="R787" s="84" t="s">
        <v>970</v>
      </c>
      <c r="Y787" s="20">
        <f t="shared" si="36"/>
        <v>1</v>
      </c>
      <c r="AA787" s="98">
        <f t="shared" si="34"/>
        <v>0.6995199999999997</v>
      </c>
      <c r="AB787" s="98" t="e">
        <f t="shared" si="35"/>
        <v>#VALUE!</v>
      </c>
    </row>
    <row r="788" spans="1:28" ht="22.15" customHeight="1" x14ac:dyDescent="0.25">
      <c r="A788" s="21" t="s">
        <v>449</v>
      </c>
      <c r="B788" s="276" t="s">
        <v>1637</v>
      </c>
      <c r="C788" s="81">
        <v>10</v>
      </c>
      <c r="D788" s="23" t="s">
        <v>1638</v>
      </c>
      <c r="H788" s="346">
        <v>29.9</v>
      </c>
      <c r="I788" s="21">
        <v>29.229759999999999</v>
      </c>
      <c r="J788" s="23" t="s">
        <v>475</v>
      </c>
      <c r="K788" s="21" t="s">
        <v>1639</v>
      </c>
      <c r="O788" s="347"/>
      <c r="R788" s="84" t="s">
        <v>477</v>
      </c>
      <c r="Y788" s="20">
        <f t="shared" si="36"/>
        <v>1</v>
      </c>
      <c r="AA788" s="98">
        <f t="shared" si="34"/>
        <v>0.67023999999999972</v>
      </c>
      <c r="AB788" s="98" t="e">
        <f t="shared" si="35"/>
        <v>#VALUE!</v>
      </c>
    </row>
    <row r="789" spans="1:28" ht="22.15" customHeight="1" x14ac:dyDescent="0.25">
      <c r="A789" s="21" t="s">
        <v>449</v>
      </c>
      <c r="B789" s="276" t="s">
        <v>1640</v>
      </c>
      <c r="C789" s="81">
        <v>10</v>
      </c>
      <c r="D789" s="23" t="s">
        <v>1641</v>
      </c>
      <c r="H789" s="346">
        <v>29.9</v>
      </c>
      <c r="I789" s="21">
        <v>29.229759999999999</v>
      </c>
      <c r="J789" s="23" t="s">
        <v>475</v>
      </c>
      <c r="K789" s="21" t="s">
        <v>1642</v>
      </c>
      <c r="O789" s="347"/>
      <c r="R789" s="84" t="s">
        <v>477</v>
      </c>
      <c r="Y789" s="20">
        <f t="shared" si="36"/>
        <v>1</v>
      </c>
      <c r="AA789" s="98">
        <f t="shared" si="34"/>
        <v>0.67023999999999972</v>
      </c>
      <c r="AB789" s="98" t="e">
        <f t="shared" si="35"/>
        <v>#VALUE!</v>
      </c>
    </row>
    <row r="790" spans="1:28" ht="22.15" customHeight="1" x14ac:dyDescent="0.25">
      <c r="A790" s="21" t="s">
        <v>449</v>
      </c>
      <c r="B790" s="276" t="s">
        <v>1643</v>
      </c>
      <c r="C790" s="81">
        <v>10</v>
      </c>
      <c r="D790" s="23" t="s">
        <v>1644</v>
      </c>
      <c r="H790" s="346">
        <v>29.9</v>
      </c>
      <c r="I790" s="21">
        <v>29.229759999999999</v>
      </c>
      <c r="J790" s="23" t="s">
        <v>475</v>
      </c>
      <c r="K790" s="21" t="s">
        <v>1645</v>
      </c>
      <c r="O790" s="347"/>
      <c r="R790" s="84" t="s">
        <v>477</v>
      </c>
      <c r="Y790" s="20">
        <f t="shared" si="36"/>
        <v>1</v>
      </c>
      <c r="AA790" s="98">
        <f t="shared" si="34"/>
        <v>0.67023999999999972</v>
      </c>
      <c r="AB790" s="98" t="e">
        <f t="shared" si="35"/>
        <v>#VALUE!</v>
      </c>
    </row>
    <row r="791" spans="1:28" ht="22.15" customHeight="1" x14ac:dyDescent="0.25">
      <c r="A791" s="21" t="s">
        <v>449</v>
      </c>
      <c r="B791" s="276" t="s">
        <v>1646</v>
      </c>
      <c r="C791" s="81">
        <v>10</v>
      </c>
      <c r="D791" s="23" t="s">
        <v>1647</v>
      </c>
      <c r="H791" s="346">
        <v>29.9</v>
      </c>
      <c r="I791" s="21">
        <v>29.229759999999999</v>
      </c>
      <c r="J791" s="23" t="s">
        <v>475</v>
      </c>
      <c r="K791" s="21" t="s">
        <v>1648</v>
      </c>
      <c r="O791" s="347"/>
      <c r="R791" s="84" t="s">
        <v>477</v>
      </c>
      <c r="Y791" s="20">
        <f t="shared" si="36"/>
        <v>1</v>
      </c>
      <c r="AA791" s="98">
        <f t="shared" si="34"/>
        <v>0.67023999999999972</v>
      </c>
      <c r="AB791" s="98" t="e">
        <f t="shared" si="35"/>
        <v>#VALUE!</v>
      </c>
    </row>
    <row r="792" spans="1:28" ht="22.15" customHeight="1" x14ac:dyDescent="0.25">
      <c r="A792" s="21" t="s">
        <v>449</v>
      </c>
      <c r="B792" s="276" t="s">
        <v>1649</v>
      </c>
      <c r="C792" s="81">
        <v>10</v>
      </c>
      <c r="D792" s="23" t="s">
        <v>1650</v>
      </c>
      <c r="H792" s="346">
        <v>29.9</v>
      </c>
      <c r="I792" s="21">
        <v>29.229759999999999</v>
      </c>
      <c r="J792" s="23" t="s">
        <v>475</v>
      </c>
      <c r="K792" s="21" t="s">
        <v>1651</v>
      </c>
      <c r="O792" s="347"/>
      <c r="R792" s="84" t="s">
        <v>477</v>
      </c>
      <c r="Y792" s="20">
        <f t="shared" si="36"/>
        <v>1</v>
      </c>
      <c r="AA792" s="98">
        <f t="shared" si="34"/>
        <v>0.67023999999999972</v>
      </c>
      <c r="AB792" s="98" t="e">
        <f t="shared" si="35"/>
        <v>#VALUE!</v>
      </c>
    </row>
    <row r="793" spans="1:28" ht="22.15" customHeight="1" x14ac:dyDescent="0.25">
      <c r="A793" s="21" t="s">
        <v>449</v>
      </c>
      <c r="B793" s="276" t="s">
        <v>1652</v>
      </c>
      <c r="C793" s="81">
        <v>10</v>
      </c>
      <c r="D793" s="23" t="s">
        <v>1653</v>
      </c>
      <c r="H793" s="346">
        <v>29.9</v>
      </c>
      <c r="I793" s="21">
        <v>29.229759999999999</v>
      </c>
      <c r="J793" s="23" t="s">
        <v>475</v>
      </c>
      <c r="K793" s="21" t="s">
        <v>1654</v>
      </c>
      <c r="O793" s="347"/>
      <c r="R793" s="84" t="s">
        <v>477</v>
      </c>
      <c r="Y793" s="20">
        <f t="shared" si="36"/>
        <v>1</v>
      </c>
      <c r="AA793" s="98">
        <f t="shared" si="34"/>
        <v>0.67023999999999972</v>
      </c>
      <c r="AB793" s="98" t="e">
        <f t="shared" si="35"/>
        <v>#VALUE!</v>
      </c>
    </row>
    <row r="794" spans="1:28" ht="22.15" customHeight="1" x14ac:dyDescent="0.25">
      <c r="A794" s="21" t="s">
        <v>449</v>
      </c>
      <c r="B794" s="276" t="s">
        <v>1655</v>
      </c>
      <c r="C794" s="81">
        <v>10</v>
      </c>
      <c r="D794" s="23" t="s">
        <v>1656</v>
      </c>
      <c r="H794" s="346">
        <v>29.9</v>
      </c>
      <c r="I794" s="21">
        <v>29.229759999999999</v>
      </c>
      <c r="J794" s="23" t="s">
        <v>475</v>
      </c>
      <c r="K794" s="21" t="s">
        <v>1657</v>
      </c>
      <c r="O794" s="347"/>
      <c r="R794" s="84" t="s">
        <v>477</v>
      </c>
      <c r="Y794" s="20">
        <f t="shared" si="36"/>
        <v>1</v>
      </c>
      <c r="AA794" s="98">
        <f t="shared" si="34"/>
        <v>0.67023999999999972</v>
      </c>
      <c r="AB794" s="98" t="e">
        <f t="shared" si="35"/>
        <v>#VALUE!</v>
      </c>
    </row>
    <row r="795" spans="1:28" ht="22.15" customHeight="1" x14ac:dyDescent="0.25">
      <c r="A795" s="21" t="s">
        <v>449</v>
      </c>
      <c r="B795" s="276" t="s">
        <v>1658</v>
      </c>
      <c r="C795" s="81">
        <v>10</v>
      </c>
      <c r="D795" s="23" t="s">
        <v>1659</v>
      </c>
      <c r="H795" s="346">
        <v>29.9</v>
      </c>
      <c r="I795" s="21">
        <v>29.229759999999999</v>
      </c>
      <c r="J795" s="23" t="s">
        <v>475</v>
      </c>
      <c r="K795" s="21" t="s">
        <v>1660</v>
      </c>
      <c r="O795" s="347"/>
      <c r="R795" s="84" t="s">
        <v>477</v>
      </c>
      <c r="Y795" s="20">
        <f t="shared" si="36"/>
        <v>1</v>
      </c>
      <c r="AA795" s="98">
        <f t="shared" si="34"/>
        <v>0.67023999999999972</v>
      </c>
      <c r="AB795" s="98" t="e">
        <f t="shared" si="35"/>
        <v>#VALUE!</v>
      </c>
    </row>
    <row r="796" spans="1:28" ht="22.15" customHeight="1" x14ac:dyDescent="0.25">
      <c r="A796" s="21" t="s">
        <v>465</v>
      </c>
      <c r="B796" s="276" t="s">
        <v>1661</v>
      </c>
      <c r="C796" s="81">
        <v>10</v>
      </c>
      <c r="D796" s="23" t="s">
        <v>1662</v>
      </c>
      <c r="H796" s="346">
        <v>39.9</v>
      </c>
      <c r="I796" s="21">
        <v>39.690559999999998</v>
      </c>
      <c r="J796" s="23" t="s">
        <v>487</v>
      </c>
      <c r="K796" s="21" t="s">
        <v>1663</v>
      </c>
      <c r="O796" s="347"/>
      <c r="R796" s="84" t="s">
        <v>489</v>
      </c>
      <c r="Y796" s="20">
        <f t="shared" si="36"/>
        <v>1</v>
      </c>
      <c r="AA796" s="98">
        <f t="shared" si="34"/>
        <v>0.20944000000000074</v>
      </c>
      <c r="AB796" s="98" t="e">
        <f t="shared" si="35"/>
        <v>#VALUE!</v>
      </c>
    </row>
    <row r="797" spans="1:28" ht="22.15" customHeight="1" x14ac:dyDescent="0.25">
      <c r="A797" s="21" t="s">
        <v>449</v>
      </c>
      <c r="B797" s="276" t="s">
        <v>1664</v>
      </c>
      <c r="C797" s="81">
        <v>18</v>
      </c>
      <c r="D797" s="23" t="s">
        <v>1665</v>
      </c>
      <c r="H797" s="346">
        <v>13.5</v>
      </c>
      <c r="I797" s="21">
        <v>12.940480000000001</v>
      </c>
      <c r="J797" s="23" t="s">
        <v>581</v>
      </c>
      <c r="K797" s="21" t="s">
        <v>1666</v>
      </c>
      <c r="O797" s="347"/>
      <c r="R797" s="84" t="s">
        <v>583</v>
      </c>
      <c r="Y797" s="20">
        <f t="shared" si="36"/>
        <v>1</v>
      </c>
      <c r="AA797" s="98">
        <f t="shared" si="34"/>
        <v>0.55951999999999913</v>
      </c>
      <c r="AB797" s="98" t="e">
        <f t="shared" si="35"/>
        <v>#VALUE!</v>
      </c>
    </row>
    <row r="798" spans="1:28" ht="22.15" customHeight="1" x14ac:dyDescent="0.25">
      <c r="A798" s="21" t="s">
        <v>449</v>
      </c>
      <c r="B798" s="276" t="s">
        <v>1667</v>
      </c>
      <c r="C798" s="81">
        <v>18</v>
      </c>
      <c r="D798" s="23" t="s">
        <v>1668</v>
      </c>
      <c r="H798" s="346">
        <v>13.5</v>
      </c>
      <c r="I798" s="21">
        <v>12.940480000000001</v>
      </c>
      <c r="J798" s="23" t="s">
        <v>581</v>
      </c>
      <c r="K798" s="21" t="s">
        <v>1669</v>
      </c>
      <c r="O798" s="347"/>
      <c r="R798" s="84" t="s">
        <v>583</v>
      </c>
      <c r="Y798" s="20">
        <f t="shared" si="36"/>
        <v>1</v>
      </c>
      <c r="AA798" s="98">
        <f t="shared" si="34"/>
        <v>0.55951999999999913</v>
      </c>
      <c r="AB798" s="98" t="e">
        <f t="shared" si="35"/>
        <v>#VALUE!</v>
      </c>
    </row>
    <row r="799" spans="1:28" ht="22.15" customHeight="1" x14ac:dyDescent="0.25">
      <c r="A799" s="21" t="s">
        <v>449</v>
      </c>
      <c r="B799" s="276" t="s">
        <v>1670</v>
      </c>
      <c r="C799" s="81">
        <v>18</v>
      </c>
      <c r="D799" s="23" t="s">
        <v>1671</v>
      </c>
      <c r="H799" s="346">
        <v>13.5</v>
      </c>
      <c r="I799" s="21">
        <v>12.940480000000001</v>
      </c>
      <c r="J799" s="23" t="s">
        <v>581</v>
      </c>
      <c r="K799" s="21" t="s">
        <v>1672</v>
      </c>
      <c r="O799" s="347"/>
      <c r="R799" s="84" t="s">
        <v>583</v>
      </c>
      <c r="Y799" s="20">
        <f t="shared" si="36"/>
        <v>1</v>
      </c>
      <c r="AA799" s="98">
        <f t="shared" si="34"/>
        <v>0.55951999999999913</v>
      </c>
      <c r="AB799" s="98" t="e">
        <f t="shared" si="35"/>
        <v>#VALUE!</v>
      </c>
    </row>
    <row r="800" spans="1:28" ht="22.15" customHeight="1" x14ac:dyDescent="0.25">
      <c r="A800" s="21" t="s">
        <v>449</v>
      </c>
      <c r="B800" s="276" t="s">
        <v>1673</v>
      </c>
      <c r="C800" s="81">
        <v>18</v>
      </c>
      <c r="D800" s="23" t="s">
        <v>1674</v>
      </c>
      <c r="H800" s="346">
        <v>13.5</v>
      </c>
      <c r="I800" s="21">
        <v>12.940480000000001</v>
      </c>
      <c r="J800" s="23" t="s">
        <v>581</v>
      </c>
      <c r="K800" s="21" t="s">
        <v>1675</v>
      </c>
      <c r="O800" s="347"/>
      <c r="R800" s="84" t="s">
        <v>583</v>
      </c>
      <c r="Y800" s="20">
        <f t="shared" si="36"/>
        <v>1</v>
      </c>
      <c r="AA800" s="98">
        <f t="shared" si="34"/>
        <v>0.55951999999999913</v>
      </c>
      <c r="AB800" s="98" t="e">
        <f t="shared" si="35"/>
        <v>#VALUE!</v>
      </c>
    </row>
    <row r="801" spans="1:28" ht="22.15" customHeight="1" x14ac:dyDescent="0.25">
      <c r="A801" s="21" t="s">
        <v>255</v>
      </c>
      <c r="B801" s="276" t="s">
        <v>1676</v>
      </c>
      <c r="C801" s="81">
        <v>16</v>
      </c>
      <c r="D801" s="23" t="s">
        <v>1677</v>
      </c>
      <c r="H801" s="346">
        <v>12.9</v>
      </c>
      <c r="I801" s="21">
        <v>12.42976</v>
      </c>
      <c r="J801" s="23" t="s">
        <v>588</v>
      </c>
      <c r="K801" s="21" t="s">
        <v>1678</v>
      </c>
      <c r="O801" s="347"/>
      <c r="R801" s="84" t="s">
        <v>590</v>
      </c>
      <c r="Y801" s="20">
        <f t="shared" si="36"/>
        <v>1</v>
      </c>
      <c r="AA801" s="98">
        <f t="shared" si="34"/>
        <v>0.47024000000000044</v>
      </c>
      <c r="AB801" s="98" t="e">
        <f t="shared" si="35"/>
        <v>#VALUE!</v>
      </c>
    </row>
    <row r="802" spans="1:28" ht="22.15" customHeight="1" x14ac:dyDescent="0.25">
      <c r="A802" s="21" t="s">
        <v>255</v>
      </c>
      <c r="B802" s="276" t="s">
        <v>1679</v>
      </c>
      <c r="C802" s="81">
        <v>16</v>
      </c>
      <c r="D802" s="23" t="s">
        <v>1680</v>
      </c>
      <c r="H802" s="346">
        <v>12.9</v>
      </c>
      <c r="I802" s="21">
        <v>12.42976</v>
      </c>
      <c r="J802" s="23" t="s">
        <v>588</v>
      </c>
      <c r="K802" s="21" t="s">
        <v>1681</v>
      </c>
      <c r="O802" s="347"/>
      <c r="R802" s="84" t="s">
        <v>590</v>
      </c>
      <c r="Y802" s="20">
        <f t="shared" si="36"/>
        <v>1</v>
      </c>
      <c r="AA802" s="98">
        <f t="shared" si="34"/>
        <v>0.47024000000000044</v>
      </c>
      <c r="AB802" s="98" t="e">
        <f t="shared" si="35"/>
        <v>#VALUE!</v>
      </c>
    </row>
    <row r="803" spans="1:28" ht="22.15" customHeight="1" x14ac:dyDescent="0.25">
      <c r="A803" s="21" t="s">
        <v>255</v>
      </c>
      <c r="B803" s="276" t="s">
        <v>1682</v>
      </c>
      <c r="C803" s="81">
        <v>16</v>
      </c>
      <c r="D803" s="23" t="s">
        <v>1683</v>
      </c>
      <c r="H803" s="346">
        <v>12.9</v>
      </c>
      <c r="I803" s="21">
        <v>12.42976</v>
      </c>
      <c r="J803" s="23" t="s">
        <v>588</v>
      </c>
      <c r="K803" s="21" t="s">
        <v>1684</v>
      </c>
      <c r="O803" s="347"/>
      <c r="R803" s="84" t="s">
        <v>590</v>
      </c>
      <c r="Y803" s="20">
        <f t="shared" si="36"/>
        <v>1</v>
      </c>
      <c r="AA803" s="98">
        <f t="shared" si="34"/>
        <v>0.47024000000000044</v>
      </c>
      <c r="AB803" s="98" t="e">
        <f t="shared" si="35"/>
        <v>#VALUE!</v>
      </c>
    </row>
    <row r="804" spans="1:28" ht="22.15" customHeight="1" x14ac:dyDescent="0.25">
      <c r="A804" s="21" t="s">
        <v>255</v>
      </c>
      <c r="B804" s="276" t="s">
        <v>1685</v>
      </c>
      <c r="C804" s="81">
        <v>16</v>
      </c>
      <c r="D804" s="23" t="s">
        <v>1686</v>
      </c>
      <c r="H804" s="346">
        <v>12.9</v>
      </c>
      <c r="I804" s="21">
        <v>12.42976</v>
      </c>
      <c r="J804" s="23" t="s">
        <v>588</v>
      </c>
      <c r="K804" s="21" t="s">
        <v>1687</v>
      </c>
      <c r="O804" s="347"/>
      <c r="R804" s="84" t="s">
        <v>590</v>
      </c>
      <c r="Y804" s="20">
        <f t="shared" si="36"/>
        <v>1</v>
      </c>
      <c r="AA804" s="98">
        <f t="shared" si="34"/>
        <v>0.47024000000000044</v>
      </c>
      <c r="AB804" s="98" t="e">
        <f t="shared" si="35"/>
        <v>#VALUE!</v>
      </c>
    </row>
    <row r="805" spans="1:28" ht="22.15" customHeight="1" x14ac:dyDescent="0.25">
      <c r="A805" s="21" t="s">
        <v>381</v>
      </c>
      <c r="B805" s="276" t="s">
        <v>1688</v>
      </c>
      <c r="C805" s="81">
        <v>15</v>
      </c>
      <c r="D805" s="23" t="s">
        <v>1689</v>
      </c>
      <c r="H805" s="346">
        <v>12.9</v>
      </c>
      <c r="I805" s="21">
        <v>12.6896</v>
      </c>
      <c r="J805" s="23" t="s">
        <v>109</v>
      </c>
      <c r="K805" s="21" t="s">
        <v>1690</v>
      </c>
      <c r="O805" s="347"/>
      <c r="R805" s="84" t="s">
        <v>596</v>
      </c>
      <c r="Y805" s="20">
        <f t="shared" si="36"/>
        <v>1</v>
      </c>
      <c r="AA805" s="98">
        <f t="shared" si="34"/>
        <v>0.21039999999999992</v>
      </c>
      <c r="AB805" s="98" t="e">
        <f t="shared" si="35"/>
        <v>#VALUE!</v>
      </c>
    </row>
    <row r="806" spans="1:28" ht="22.15" customHeight="1" x14ac:dyDescent="0.25">
      <c r="A806" s="21" t="s">
        <v>381</v>
      </c>
      <c r="B806" s="276" t="s">
        <v>1691</v>
      </c>
      <c r="C806" s="81">
        <v>15</v>
      </c>
      <c r="D806" s="23" t="s">
        <v>1692</v>
      </c>
      <c r="H806" s="346">
        <v>12.9</v>
      </c>
      <c r="I806" s="21">
        <v>12.6896</v>
      </c>
      <c r="J806" s="23" t="s">
        <v>109</v>
      </c>
      <c r="K806" s="21" t="s">
        <v>1693</v>
      </c>
      <c r="O806" s="347"/>
      <c r="R806" s="84" t="s">
        <v>596</v>
      </c>
      <c r="Y806" s="20">
        <f t="shared" si="36"/>
        <v>1</v>
      </c>
      <c r="AA806" s="98">
        <f t="shared" si="34"/>
        <v>0.21039999999999992</v>
      </c>
      <c r="AB806" s="98" t="e">
        <f t="shared" si="35"/>
        <v>#VALUE!</v>
      </c>
    </row>
    <row r="807" spans="1:28" ht="22.15" customHeight="1" x14ac:dyDescent="0.25">
      <c r="A807" s="21" t="s">
        <v>381</v>
      </c>
      <c r="B807" s="276" t="s">
        <v>1694</v>
      </c>
      <c r="C807" s="81">
        <v>15</v>
      </c>
      <c r="D807" s="23" t="s">
        <v>1695</v>
      </c>
      <c r="H807" s="346">
        <v>12.9</v>
      </c>
      <c r="I807" s="21">
        <v>12.6896</v>
      </c>
      <c r="J807" s="23" t="s">
        <v>109</v>
      </c>
      <c r="K807" s="21" t="s">
        <v>1696</v>
      </c>
      <c r="O807" s="347"/>
      <c r="R807" s="84" t="s">
        <v>596</v>
      </c>
      <c r="Y807" s="20">
        <f t="shared" si="36"/>
        <v>1</v>
      </c>
      <c r="AA807" s="98">
        <f t="shared" si="34"/>
        <v>0.21039999999999992</v>
      </c>
      <c r="AB807" s="98" t="e">
        <f t="shared" si="35"/>
        <v>#VALUE!</v>
      </c>
    </row>
    <row r="808" spans="1:28" ht="22.15" customHeight="1" x14ac:dyDescent="0.25">
      <c r="A808" s="21" t="s">
        <v>381</v>
      </c>
      <c r="B808" s="276" t="s">
        <v>1697</v>
      </c>
      <c r="C808" s="81">
        <v>15</v>
      </c>
      <c r="D808" s="23" t="s">
        <v>1698</v>
      </c>
      <c r="H808" s="346">
        <v>12.9</v>
      </c>
      <c r="I808" s="21">
        <v>12.6896</v>
      </c>
      <c r="J808" s="23" t="s">
        <v>109</v>
      </c>
      <c r="K808" s="21" t="s">
        <v>1699</v>
      </c>
      <c r="O808" s="347"/>
      <c r="R808" s="84" t="s">
        <v>596</v>
      </c>
      <c r="Y808" s="20">
        <f t="shared" si="36"/>
        <v>1</v>
      </c>
      <c r="AA808" s="98">
        <f t="shared" si="34"/>
        <v>0.21039999999999992</v>
      </c>
      <c r="AB808" s="98" t="e">
        <f t="shared" si="35"/>
        <v>#VALUE!</v>
      </c>
    </row>
    <row r="809" spans="1:28" ht="22.15" customHeight="1" x14ac:dyDescent="0.25">
      <c r="A809" s="21" t="s">
        <v>381</v>
      </c>
      <c r="B809" s="276" t="s">
        <v>1700</v>
      </c>
      <c r="C809" s="81">
        <v>15</v>
      </c>
      <c r="D809" s="23" t="s">
        <v>1701</v>
      </c>
      <c r="H809" s="346">
        <v>12.9</v>
      </c>
      <c r="I809" s="21">
        <v>12.6896</v>
      </c>
      <c r="J809" s="23" t="s">
        <v>109</v>
      </c>
      <c r="K809" s="21" t="s">
        <v>1702</v>
      </c>
      <c r="O809" s="347"/>
      <c r="R809" s="84" t="s">
        <v>596</v>
      </c>
      <c r="Y809" s="20">
        <f t="shared" si="36"/>
        <v>1</v>
      </c>
      <c r="AA809" s="98">
        <f t="shared" si="34"/>
        <v>0.21039999999999992</v>
      </c>
      <c r="AB809" s="98" t="e">
        <f t="shared" si="35"/>
        <v>#VALUE!</v>
      </c>
    </row>
    <row r="810" spans="1:28" ht="22.15" customHeight="1" x14ac:dyDescent="0.25">
      <c r="A810" s="21" t="s">
        <v>381</v>
      </c>
      <c r="B810" s="276" t="s">
        <v>1703</v>
      </c>
      <c r="C810" s="81">
        <v>15</v>
      </c>
      <c r="D810" s="23" t="s">
        <v>1704</v>
      </c>
      <c r="H810" s="346">
        <v>12.9</v>
      </c>
      <c r="I810" s="21">
        <v>12.6896</v>
      </c>
      <c r="J810" s="23" t="s">
        <v>109</v>
      </c>
      <c r="K810" s="21" t="s">
        <v>1705</v>
      </c>
      <c r="O810" s="347"/>
      <c r="R810" s="84" t="s">
        <v>596</v>
      </c>
      <c r="Y810" s="20">
        <f t="shared" si="36"/>
        <v>1</v>
      </c>
      <c r="AA810" s="98">
        <f t="shared" si="34"/>
        <v>0.21039999999999992</v>
      </c>
      <c r="AB810" s="98" t="e">
        <f t="shared" si="35"/>
        <v>#VALUE!</v>
      </c>
    </row>
    <row r="811" spans="1:28" ht="22.15" customHeight="1" x14ac:dyDescent="0.25">
      <c r="A811" s="21" t="s">
        <v>381</v>
      </c>
      <c r="B811" s="276" t="s">
        <v>1706</v>
      </c>
      <c r="C811" s="81">
        <v>14</v>
      </c>
      <c r="D811" s="23" t="s">
        <v>1707</v>
      </c>
      <c r="H811" s="346">
        <v>22.9</v>
      </c>
      <c r="I811" s="21">
        <v>25.780159999999999</v>
      </c>
      <c r="J811" s="23" t="s">
        <v>830</v>
      </c>
      <c r="K811" s="21" t="s">
        <v>1708</v>
      </c>
      <c r="O811" s="347"/>
      <c r="R811" s="84" t="s">
        <v>448</v>
      </c>
      <c r="Y811" s="20">
        <f t="shared" si="36"/>
        <v>1</v>
      </c>
      <c r="AA811" s="98">
        <f t="shared" si="34"/>
        <v>-2.8801600000000001</v>
      </c>
      <c r="AB811" s="98" t="e">
        <f t="shared" si="35"/>
        <v>#VALUE!</v>
      </c>
    </row>
    <row r="812" spans="1:28" ht="22.15" customHeight="1" x14ac:dyDescent="0.25">
      <c r="A812" s="21" t="s">
        <v>381</v>
      </c>
      <c r="B812" s="276" t="s">
        <v>1709</v>
      </c>
      <c r="C812" s="81">
        <v>14</v>
      </c>
      <c r="D812" s="23" t="s">
        <v>1710</v>
      </c>
      <c r="H812" s="346">
        <v>22.9</v>
      </c>
      <c r="I812" s="21">
        <v>21.28</v>
      </c>
      <c r="J812" s="23" t="s">
        <v>109</v>
      </c>
      <c r="K812" s="21" t="s">
        <v>1711</v>
      </c>
      <c r="O812" s="347"/>
      <c r="R812" s="84" t="s">
        <v>448</v>
      </c>
      <c r="Y812" s="20">
        <f t="shared" si="36"/>
        <v>1</v>
      </c>
      <c r="AA812" s="98">
        <f t="shared" si="34"/>
        <v>1.6199999999999974</v>
      </c>
      <c r="AB812" s="98" t="e">
        <f t="shared" si="35"/>
        <v>#VALUE!</v>
      </c>
    </row>
    <row r="813" spans="1:28" ht="22.15" customHeight="1" x14ac:dyDescent="0.25">
      <c r="A813" s="21" t="s">
        <v>381</v>
      </c>
      <c r="B813" s="276" t="s">
        <v>1712</v>
      </c>
      <c r="C813" s="81">
        <v>14</v>
      </c>
      <c r="D813" s="23" t="s">
        <v>1713</v>
      </c>
      <c r="H813" s="346">
        <v>22.9</v>
      </c>
      <c r="I813" s="21">
        <v>21.28</v>
      </c>
      <c r="J813" s="23" t="s">
        <v>109</v>
      </c>
      <c r="K813" s="21" t="s">
        <v>1714</v>
      </c>
      <c r="O813" s="347"/>
      <c r="R813" s="84" t="s">
        <v>448</v>
      </c>
      <c r="Y813" s="20">
        <f t="shared" si="36"/>
        <v>1</v>
      </c>
      <c r="AA813" s="98">
        <f t="shared" si="34"/>
        <v>1.6199999999999974</v>
      </c>
      <c r="AB813" s="98" t="e">
        <f t="shared" si="35"/>
        <v>#VALUE!</v>
      </c>
    </row>
    <row r="814" spans="1:28" ht="22.15" customHeight="1" x14ac:dyDescent="0.25">
      <c r="A814" s="21" t="s">
        <v>381</v>
      </c>
      <c r="B814" s="276" t="s">
        <v>1715</v>
      </c>
      <c r="C814" s="81">
        <v>14</v>
      </c>
      <c r="D814" s="23" t="s">
        <v>1716</v>
      </c>
      <c r="H814" s="346">
        <v>22.9</v>
      </c>
      <c r="I814" s="21">
        <v>25.780159999999999</v>
      </c>
      <c r="J814" s="23" t="s">
        <v>830</v>
      </c>
      <c r="K814" s="21" t="s">
        <v>1717</v>
      </c>
      <c r="O814" s="347"/>
      <c r="R814" s="84" t="s">
        <v>448</v>
      </c>
      <c r="Y814" s="20">
        <f t="shared" si="36"/>
        <v>1</v>
      </c>
      <c r="AA814" s="98">
        <f t="shared" ref="AA814:AA877" si="37">H814-I814</f>
        <v>-2.8801600000000001</v>
      </c>
      <c r="AB814" s="98" t="e">
        <f t="shared" ref="AB814:AB877" si="38">R814-H814</f>
        <v>#VALUE!</v>
      </c>
    </row>
    <row r="815" spans="1:28" ht="22.15" customHeight="1" x14ac:dyDescent="0.25">
      <c r="A815" s="21" t="s">
        <v>381</v>
      </c>
      <c r="B815" s="276" t="s">
        <v>1718</v>
      </c>
      <c r="C815" s="81">
        <v>14</v>
      </c>
      <c r="D815" s="23" t="s">
        <v>1719</v>
      </c>
      <c r="H815" s="346">
        <v>22.9</v>
      </c>
      <c r="I815" s="21">
        <v>21.28</v>
      </c>
      <c r="J815" s="23" t="s">
        <v>109</v>
      </c>
      <c r="K815" s="21" t="s">
        <v>1720</v>
      </c>
      <c r="O815" s="347"/>
      <c r="R815" s="84" t="s">
        <v>448</v>
      </c>
      <c r="Y815" s="20">
        <f t="shared" si="36"/>
        <v>1</v>
      </c>
      <c r="AA815" s="98">
        <f t="shared" si="37"/>
        <v>1.6199999999999974</v>
      </c>
      <c r="AB815" s="98" t="e">
        <f t="shared" si="38"/>
        <v>#VALUE!</v>
      </c>
    </row>
    <row r="816" spans="1:28" ht="22.15" customHeight="1" x14ac:dyDescent="0.25">
      <c r="A816" s="21" t="s">
        <v>381</v>
      </c>
      <c r="B816" s="276" t="s">
        <v>1721</v>
      </c>
      <c r="C816" s="81">
        <v>14</v>
      </c>
      <c r="D816" s="23" t="s">
        <v>1722</v>
      </c>
      <c r="H816" s="346">
        <v>22.9</v>
      </c>
      <c r="I816" s="21">
        <v>25.780159999999999</v>
      </c>
      <c r="J816" s="23" t="s">
        <v>830</v>
      </c>
      <c r="K816" s="21" t="s">
        <v>1723</v>
      </c>
      <c r="O816" s="347"/>
      <c r="R816" s="84" t="s">
        <v>448</v>
      </c>
      <c r="Y816" s="20">
        <f t="shared" si="36"/>
        <v>1</v>
      </c>
      <c r="AA816" s="98">
        <f t="shared" si="37"/>
        <v>-2.8801600000000001</v>
      </c>
      <c r="AB816" s="98" t="e">
        <f t="shared" si="38"/>
        <v>#VALUE!</v>
      </c>
    </row>
    <row r="817" spans="1:28" ht="22.15" customHeight="1" x14ac:dyDescent="0.25">
      <c r="A817" s="21" t="s">
        <v>478</v>
      </c>
      <c r="B817" s="276" t="s">
        <v>1724</v>
      </c>
      <c r="C817" s="81">
        <v>12</v>
      </c>
      <c r="D817" s="23" t="s">
        <v>1725</v>
      </c>
      <c r="H817" s="346">
        <v>25.9</v>
      </c>
      <c r="I817" s="21">
        <v>25.2</v>
      </c>
      <c r="J817" s="23" t="s">
        <v>604</v>
      </c>
      <c r="K817" s="21" t="s">
        <v>1726</v>
      </c>
      <c r="O817" s="347"/>
      <c r="R817" s="84" t="s">
        <v>606</v>
      </c>
      <c r="Y817" s="20">
        <f t="shared" si="36"/>
        <v>1</v>
      </c>
      <c r="AA817" s="98">
        <f t="shared" si="37"/>
        <v>0.69999999999999929</v>
      </c>
      <c r="AB817" s="98" t="e">
        <f t="shared" si="38"/>
        <v>#VALUE!</v>
      </c>
    </row>
    <row r="818" spans="1:28" ht="22.15" customHeight="1" x14ac:dyDescent="0.25">
      <c r="A818" s="21" t="s">
        <v>478</v>
      </c>
      <c r="B818" s="276" t="s">
        <v>1727</v>
      </c>
      <c r="C818" s="81">
        <v>12</v>
      </c>
      <c r="D818" s="23" t="s">
        <v>1728</v>
      </c>
      <c r="H818" s="346">
        <v>25.9</v>
      </c>
      <c r="I818" s="21">
        <v>25.2</v>
      </c>
      <c r="J818" s="23" t="s">
        <v>604</v>
      </c>
      <c r="K818" s="21" t="s">
        <v>1729</v>
      </c>
      <c r="O818" s="347"/>
      <c r="R818" s="84" t="s">
        <v>606</v>
      </c>
      <c r="Y818" s="20">
        <f t="shared" si="36"/>
        <v>1</v>
      </c>
      <c r="AA818" s="98">
        <f t="shared" si="37"/>
        <v>0.69999999999999929</v>
      </c>
      <c r="AB818" s="98" t="e">
        <f t="shared" si="38"/>
        <v>#VALUE!</v>
      </c>
    </row>
    <row r="819" spans="1:28" ht="22.15" customHeight="1" x14ac:dyDescent="0.25">
      <c r="A819" s="21" t="s">
        <v>478</v>
      </c>
      <c r="B819" s="276" t="s">
        <v>1730</v>
      </c>
      <c r="C819" s="81">
        <v>12</v>
      </c>
      <c r="D819" s="23" t="s">
        <v>1731</v>
      </c>
      <c r="H819" s="346">
        <v>25.9</v>
      </c>
      <c r="I819" s="21">
        <v>25.2</v>
      </c>
      <c r="J819" s="23" t="s">
        <v>604</v>
      </c>
      <c r="K819" s="21" t="s">
        <v>1732</v>
      </c>
      <c r="O819" s="347"/>
      <c r="R819" s="84" t="s">
        <v>606</v>
      </c>
      <c r="Y819" s="20">
        <f t="shared" si="36"/>
        <v>1</v>
      </c>
      <c r="AA819" s="98">
        <f t="shared" si="37"/>
        <v>0.69999999999999929</v>
      </c>
      <c r="AB819" s="98" t="e">
        <f t="shared" si="38"/>
        <v>#VALUE!</v>
      </c>
    </row>
    <row r="820" spans="1:28" ht="22.15" customHeight="1" x14ac:dyDescent="0.25">
      <c r="A820" s="21" t="s">
        <v>478</v>
      </c>
      <c r="B820" s="276" t="s">
        <v>1733</v>
      </c>
      <c r="C820" s="81">
        <v>12</v>
      </c>
      <c r="D820" s="23" t="s">
        <v>1734</v>
      </c>
      <c r="H820" s="346">
        <v>25.9</v>
      </c>
      <c r="I820" s="21">
        <v>25.2</v>
      </c>
      <c r="J820" s="23" t="s">
        <v>604</v>
      </c>
      <c r="K820" s="21" t="s">
        <v>1735</v>
      </c>
      <c r="O820" s="347"/>
      <c r="R820" s="84" t="s">
        <v>606</v>
      </c>
      <c r="Y820" s="20">
        <f t="shared" si="36"/>
        <v>1</v>
      </c>
      <c r="AA820" s="98">
        <f t="shared" si="37"/>
        <v>0.69999999999999929</v>
      </c>
      <c r="AB820" s="98" t="e">
        <f t="shared" si="38"/>
        <v>#VALUE!</v>
      </c>
    </row>
    <row r="821" spans="1:28" ht="22.15" customHeight="1" x14ac:dyDescent="0.25">
      <c r="A821" s="21" t="s">
        <v>607</v>
      </c>
      <c r="B821" s="276" t="s">
        <v>1736</v>
      </c>
      <c r="C821" s="81">
        <v>15</v>
      </c>
      <c r="D821" s="23" t="s">
        <v>1737</v>
      </c>
      <c r="H821" s="346">
        <v>49.9</v>
      </c>
      <c r="I821" s="21">
        <v>49.17024</v>
      </c>
      <c r="J821" s="23" t="s">
        <v>612</v>
      </c>
      <c r="K821" s="21" t="s">
        <v>1738</v>
      </c>
      <c r="O821" s="347"/>
      <c r="R821" s="84" t="s">
        <v>614</v>
      </c>
      <c r="Y821" s="20">
        <f t="shared" si="36"/>
        <v>1</v>
      </c>
      <c r="AA821" s="98">
        <f t="shared" si="37"/>
        <v>0.72975999999999885</v>
      </c>
      <c r="AB821" s="98" t="e">
        <f t="shared" si="38"/>
        <v>#VALUE!</v>
      </c>
    </row>
    <row r="822" spans="1:28" ht="22.15" customHeight="1" x14ac:dyDescent="0.25">
      <c r="A822" s="21" t="s">
        <v>607</v>
      </c>
      <c r="B822" s="276" t="s">
        <v>1739</v>
      </c>
      <c r="C822" s="81">
        <v>15</v>
      </c>
      <c r="D822" s="23" t="s">
        <v>1740</v>
      </c>
      <c r="H822" s="346">
        <v>49.9</v>
      </c>
      <c r="I822" s="21">
        <v>49.17024</v>
      </c>
      <c r="J822" s="23" t="s">
        <v>612</v>
      </c>
      <c r="K822" s="21" t="s">
        <v>1741</v>
      </c>
      <c r="O822" s="347"/>
      <c r="R822" s="84" t="s">
        <v>614</v>
      </c>
      <c r="Y822" s="20">
        <f t="shared" si="36"/>
        <v>1</v>
      </c>
      <c r="AA822" s="98">
        <f t="shared" si="37"/>
        <v>0.72975999999999885</v>
      </c>
      <c r="AB822" s="98" t="e">
        <f t="shared" si="38"/>
        <v>#VALUE!</v>
      </c>
    </row>
    <row r="823" spans="1:28" ht="22.15" customHeight="1" x14ac:dyDescent="0.25">
      <c r="A823" s="21" t="s">
        <v>607</v>
      </c>
      <c r="B823" s="276" t="s">
        <v>1742</v>
      </c>
      <c r="C823" s="81">
        <v>15</v>
      </c>
      <c r="D823" s="23" t="s">
        <v>1743</v>
      </c>
      <c r="H823" s="346">
        <v>49.9</v>
      </c>
      <c r="I823" s="21">
        <v>49.17024</v>
      </c>
      <c r="J823" s="23" t="s">
        <v>612</v>
      </c>
      <c r="K823" s="21" t="s">
        <v>1744</v>
      </c>
      <c r="O823" s="347"/>
      <c r="R823" s="84" t="s">
        <v>614</v>
      </c>
      <c r="Y823" s="20">
        <f t="shared" si="36"/>
        <v>1</v>
      </c>
      <c r="AA823" s="98">
        <f t="shared" si="37"/>
        <v>0.72975999999999885</v>
      </c>
      <c r="AB823" s="98" t="e">
        <f t="shared" si="38"/>
        <v>#VALUE!</v>
      </c>
    </row>
    <row r="824" spans="1:28" ht="22.15" customHeight="1" x14ac:dyDescent="0.25">
      <c r="A824" s="21" t="s">
        <v>607</v>
      </c>
      <c r="B824" s="276" t="s">
        <v>1745</v>
      </c>
      <c r="C824" s="81">
        <v>15</v>
      </c>
      <c r="D824" s="23" t="s">
        <v>1746</v>
      </c>
      <c r="H824" s="346">
        <v>49.9</v>
      </c>
      <c r="I824" s="21">
        <v>49.17024</v>
      </c>
      <c r="J824" s="23" t="s">
        <v>612</v>
      </c>
      <c r="K824" s="21" t="s">
        <v>1747</v>
      </c>
      <c r="O824" s="347"/>
      <c r="R824" s="84" t="s">
        <v>614</v>
      </c>
      <c r="Y824" s="20">
        <f t="shared" si="36"/>
        <v>1</v>
      </c>
      <c r="AA824" s="98">
        <f t="shared" si="37"/>
        <v>0.72975999999999885</v>
      </c>
      <c r="AB824" s="98" t="e">
        <f t="shared" si="38"/>
        <v>#VALUE!</v>
      </c>
    </row>
    <row r="825" spans="1:28" ht="22.15" customHeight="1" x14ac:dyDescent="0.25">
      <c r="A825" s="21" t="s">
        <v>607</v>
      </c>
      <c r="B825" s="276" t="s">
        <v>1748</v>
      </c>
      <c r="C825" s="81">
        <v>15</v>
      </c>
      <c r="D825" s="23" t="s">
        <v>1749</v>
      </c>
      <c r="H825" s="346">
        <v>49.9</v>
      </c>
      <c r="I825" s="21">
        <v>49.17024</v>
      </c>
      <c r="J825" s="23" t="s">
        <v>612</v>
      </c>
      <c r="K825" s="21" t="s">
        <v>1750</v>
      </c>
      <c r="O825" s="347"/>
      <c r="R825" s="84" t="s">
        <v>614</v>
      </c>
      <c r="Y825" s="20">
        <f t="shared" si="36"/>
        <v>1</v>
      </c>
      <c r="AA825" s="98">
        <f t="shared" si="37"/>
        <v>0.72975999999999885</v>
      </c>
      <c r="AB825" s="98" t="e">
        <f t="shared" si="38"/>
        <v>#VALUE!</v>
      </c>
    </row>
    <row r="826" spans="1:28" ht="22.15" customHeight="1" x14ac:dyDescent="0.25">
      <c r="A826" s="21" t="s">
        <v>103</v>
      </c>
      <c r="B826" s="276" t="s">
        <v>1751</v>
      </c>
      <c r="C826" s="81">
        <v>16</v>
      </c>
      <c r="D826" s="23" t="s">
        <v>1752</v>
      </c>
      <c r="G826" s="21">
        <v>12</v>
      </c>
      <c r="H826" s="346">
        <v>18.899999999999999</v>
      </c>
      <c r="I826" s="21">
        <v>17.86</v>
      </c>
      <c r="J826" s="23" t="s">
        <v>693</v>
      </c>
      <c r="K826" s="21" t="s">
        <v>1753</v>
      </c>
      <c r="O826" s="347"/>
      <c r="R826" s="84" t="s">
        <v>645</v>
      </c>
      <c r="Y826" s="20">
        <f t="shared" si="36"/>
        <v>1</v>
      </c>
      <c r="AA826" s="98">
        <f t="shared" si="37"/>
        <v>1.0399999999999991</v>
      </c>
      <c r="AB826" s="98" t="e">
        <f t="shared" si="38"/>
        <v>#VALUE!</v>
      </c>
    </row>
    <row r="827" spans="1:28" ht="22.15" customHeight="1" x14ac:dyDescent="0.25">
      <c r="A827" s="21" t="s">
        <v>328</v>
      </c>
      <c r="B827" s="276" t="s">
        <v>1754</v>
      </c>
      <c r="C827" s="81">
        <v>10</v>
      </c>
      <c r="D827" s="23" t="s">
        <v>1755</v>
      </c>
      <c r="H827" s="346">
        <v>12.5</v>
      </c>
      <c r="I827" s="21">
        <v>12.210240000000001</v>
      </c>
      <c r="J827" s="23" t="s">
        <v>704</v>
      </c>
      <c r="K827" s="21" t="s">
        <v>1756</v>
      </c>
      <c r="O827" s="347"/>
      <c r="R827" s="84">
        <v>13.5</v>
      </c>
      <c r="Y827" s="20">
        <f t="shared" si="36"/>
        <v>1</v>
      </c>
      <c r="AA827" s="98">
        <f t="shared" si="37"/>
        <v>0.28975999999999935</v>
      </c>
      <c r="AB827" s="98">
        <f t="shared" si="38"/>
        <v>1</v>
      </c>
    </row>
    <row r="828" spans="1:28" ht="22.15" customHeight="1" x14ac:dyDescent="0.25">
      <c r="A828" s="21" t="s">
        <v>328</v>
      </c>
      <c r="B828" s="276" t="s">
        <v>1757</v>
      </c>
      <c r="C828" s="81">
        <v>10</v>
      </c>
      <c r="D828" s="23" t="s">
        <v>1758</v>
      </c>
      <c r="H828" s="346">
        <v>12.5</v>
      </c>
      <c r="I828" s="21">
        <v>12.210240000000001</v>
      </c>
      <c r="J828" s="23" t="s">
        <v>704</v>
      </c>
      <c r="K828" s="21" t="s">
        <v>1759</v>
      </c>
      <c r="O828" s="347"/>
      <c r="R828" s="84">
        <v>13.5</v>
      </c>
      <c r="Y828" s="20">
        <f t="shared" si="36"/>
        <v>1</v>
      </c>
      <c r="AA828" s="98">
        <f t="shared" si="37"/>
        <v>0.28975999999999935</v>
      </c>
      <c r="AB828" s="98">
        <f t="shared" si="38"/>
        <v>1</v>
      </c>
    </row>
    <row r="829" spans="1:28" ht="22.15" customHeight="1" x14ac:dyDescent="0.25">
      <c r="A829" s="21" t="s">
        <v>328</v>
      </c>
      <c r="B829" s="276" t="s">
        <v>1760</v>
      </c>
      <c r="C829" s="81">
        <v>10</v>
      </c>
      <c r="D829" s="23" t="s">
        <v>1761</v>
      </c>
      <c r="H829" s="346">
        <v>12.5</v>
      </c>
      <c r="I829" s="21">
        <v>12.210240000000001</v>
      </c>
      <c r="J829" s="23" t="s">
        <v>704</v>
      </c>
      <c r="K829" s="21" t="s">
        <v>1762</v>
      </c>
      <c r="O829" s="347"/>
      <c r="R829" s="84">
        <v>13.5</v>
      </c>
      <c r="Y829" s="20">
        <f t="shared" si="36"/>
        <v>1</v>
      </c>
      <c r="AA829" s="98">
        <f t="shared" si="37"/>
        <v>0.28975999999999935</v>
      </c>
      <c r="AB829" s="98">
        <f t="shared" si="38"/>
        <v>1</v>
      </c>
    </row>
    <row r="830" spans="1:28" ht="22.15" customHeight="1" x14ac:dyDescent="0.25">
      <c r="A830" s="21" t="s">
        <v>103</v>
      </c>
      <c r="B830" s="276" t="s">
        <v>1763</v>
      </c>
      <c r="C830" s="81">
        <v>24</v>
      </c>
      <c r="D830" s="23" t="s">
        <v>1764</v>
      </c>
      <c r="H830" s="346">
        <v>9.5</v>
      </c>
      <c r="I830" s="21">
        <v>9.3004800000000003</v>
      </c>
      <c r="J830" s="23" t="s">
        <v>729</v>
      </c>
      <c r="K830" s="21" t="s">
        <v>1765</v>
      </c>
      <c r="O830" s="347"/>
      <c r="R830" s="84" t="s">
        <v>641</v>
      </c>
      <c r="Y830" s="20">
        <f t="shared" si="36"/>
        <v>1</v>
      </c>
      <c r="AA830" s="98">
        <f t="shared" si="37"/>
        <v>0.1995199999999997</v>
      </c>
      <c r="AB830" s="98" t="e">
        <f t="shared" si="38"/>
        <v>#VALUE!</v>
      </c>
    </row>
    <row r="831" spans="1:28" ht="22.15" customHeight="1" x14ac:dyDescent="0.25">
      <c r="A831" s="21" t="s">
        <v>103</v>
      </c>
      <c r="B831" s="276" t="s">
        <v>1766</v>
      </c>
      <c r="C831" s="81">
        <v>28</v>
      </c>
      <c r="D831" s="23" t="s">
        <v>1767</v>
      </c>
      <c r="H831" s="346">
        <v>9.5</v>
      </c>
      <c r="I831" s="21">
        <v>9.3004800000000003</v>
      </c>
      <c r="J831" s="23" t="s">
        <v>729</v>
      </c>
      <c r="K831" s="21" t="s">
        <v>1768</v>
      </c>
      <c r="O831" s="347"/>
      <c r="R831" s="84" t="s">
        <v>641</v>
      </c>
      <c r="Y831" s="20">
        <f t="shared" si="36"/>
        <v>1</v>
      </c>
      <c r="AA831" s="98">
        <f t="shared" si="37"/>
        <v>0.1995199999999997</v>
      </c>
      <c r="AB831" s="98" t="e">
        <f t="shared" si="38"/>
        <v>#VALUE!</v>
      </c>
    </row>
    <row r="832" spans="1:28" ht="22.15" customHeight="1" x14ac:dyDescent="0.25">
      <c r="A832" s="21" t="s">
        <v>103</v>
      </c>
      <c r="B832" s="276" t="s">
        <v>1769</v>
      </c>
      <c r="C832" s="81">
        <v>28</v>
      </c>
      <c r="D832" s="23" t="s">
        <v>1770</v>
      </c>
      <c r="H832" s="346">
        <v>9.5</v>
      </c>
      <c r="I832" s="21">
        <v>9.3004800000000003</v>
      </c>
      <c r="J832" s="23" t="s">
        <v>729</v>
      </c>
      <c r="K832" s="21" t="s">
        <v>1771</v>
      </c>
      <c r="O832" s="347"/>
      <c r="R832" s="84" t="s">
        <v>641</v>
      </c>
      <c r="Y832" s="20">
        <f t="shared" si="36"/>
        <v>1</v>
      </c>
      <c r="AA832" s="98">
        <f t="shared" si="37"/>
        <v>0.1995199999999997</v>
      </c>
      <c r="AB832" s="98" t="e">
        <f t="shared" si="38"/>
        <v>#VALUE!</v>
      </c>
    </row>
    <row r="833" spans="1:28" ht="22.15" customHeight="1" x14ac:dyDescent="0.25">
      <c r="A833" s="21" t="s">
        <v>769</v>
      </c>
      <c r="B833" s="276" t="s">
        <v>1772</v>
      </c>
      <c r="C833" s="81">
        <v>20</v>
      </c>
      <c r="D833" s="23" t="s">
        <v>1773</v>
      </c>
      <c r="H833" s="346">
        <v>9.5</v>
      </c>
      <c r="I833" s="21">
        <v>9.3004800000000003</v>
      </c>
      <c r="J833" s="23" t="s">
        <v>729</v>
      </c>
      <c r="K833" s="21" t="s">
        <v>1774</v>
      </c>
      <c r="O833" s="347"/>
      <c r="R833" s="84" t="s">
        <v>641</v>
      </c>
      <c r="Y833" s="20">
        <f t="shared" si="36"/>
        <v>1</v>
      </c>
      <c r="AA833" s="98">
        <f t="shared" si="37"/>
        <v>0.1995199999999997</v>
      </c>
      <c r="AB833" s="98" t="e">
        <f t="shared" si="38"/>
        <v>#VALUE!</v>
      </c>
    </row>
    <row r="834" spans="1:28" ht="22.15" customHeight="1" x14ac:dyDescent="0.25">
      <c r="A834" s="21" t="s">
        <v>103</v>
      </c>
      <c r="B834" s="276" t="s">
        <v>1775</v>
      </c>
      <c r="C834" s="81">
        <v>20</v>
      </c>
      <c r="D834" s="23" t="s">
        <v>1776</v>
      </c>
      <c r="H834" s="346">
        <v>9.5</v>
      </c>
      <c r="I834" s="21">
        <v>9.3004800000000003</v>
      </c>
      <c r="J834" s="23" t="s">
        <v>729</v>
      </c>
      <c r="K834" s="21" t="s">
        <v>1777</v>
      </c>
      <c r="O834" s="347"/>
      <c r="R834" s="84" t="s">
        <v>641</v>
      </c>
      <c r="Y834" s="20">
        <f t="shared" si="36"/>
        <v>1</v>
      </c>
      <c r="AA834" s="98">
        <f t="shared" si="37"/>
        <v>0.1995199999999997</v>
      </c>
      <c r="AB834" s="98" t="e">
        <f t="shared" si="38"/>
        <v>#VALUE!</v>
      </c>
    </row>
    <row r="835" spans="1:28" ht="22.15" customHeight="1" x14ac:dyDescent="0.25">
      <c r="A835" s="21" t="s">
        <v>103</v>
      </c>
      <c r="B835" s="276" t="s">
        <v>1778</v>
      </c>
      <c r="C835" s="81">
        <v>30</v>
      </c>
      <c r="D835" s="23" t="s">
        <v>1779</v>
      </c>
      <c r="H835" s="346">
        <v>9.5</v>
      </c>
      <c r="I835" s="21">
        <v>9.3004800000000003</v>
      </c>
      <c r="J835" s="23" t="s">
        <v>729</v>
      </c>
      <c r="K835" s="21" t="s">
        <v>1780</v>
      </c>
      <c r="O835" s="347"/>
      <c r="R835" s="84" t="s">
        <v>641</v>
      </c>
      <c r="Y835" s="20">
        <f t="shared" si="36"/>
        <v>1</v>
      </c>
      <c r="AA835" s="98">
        <f t="shared" si="37"/>
        <v>0.1995199999999997</v>
      </c>
      <c r="AB835" s="98" t="e">
        <f t="shared" si="38"/>
        <v>#VALUE!</v>
      </c>
    </row>
    <row r="836" spans="1:28" ht="22.15" customHeight="1" x14ac:dyDescent="0.25">
      <c r="A836" s="21" t="s">
        <v>103</v>
      </c>
      <c r="B836" s="276" t="s">
        <v>1781</v>
      </c>
      <c r="C836" s="81">
        <v>30</v>
      </c>
      <c r="D836" s="23" t="s">
        <v>1782</v>
      </c>
      <c r="H836" s="346">
        <v>9.5</v>
      </c>
      <c r="I836" s="21">
        <v>9.3004800000000003</v>
      </c>
      <c r="J836" s="23" t="s">
        <v>729</v>
      </c>
      <c r="K836" s="21" t="s">
        <v>1783</v>
      </c>
      <c r="O836" s="347"/>
      <c r="R836" s="84" t="s">
        <v>641</v>
      </c>
      <c r="Y836" s="20">
        <f t="shared" si="36"/>
        <v>1</v>
      </c>
      <c r="AA836" s="98">
        <f t="shared" si="37"/>
        <v>0.1995199999999997</v>
      </c>
      <c r="AB836" s="98" t="e">
        <f t="shared" si="38"/>
        <v>#VALUE!</v>
      </c>
    </row>
    <row r="837" spans="1:28" ht="22.15" customHeight="1" x14ac:dyDescent="0.25">
      <c r="A837" s="21" t="s">
        <v>103</v>
      </c>
      <c r="B837" s="276" t="s">
        <v>1784</v>
      </c>
      <c r="C837" s="81">
        <v>28</v>
      </c>
      <c r="D837" s="23" t="s">
        <v>1785</v>
      </c>
      <c r="H837" s="346">
        <v>9.5</v>
      </c>
      <c r="I837" s="21">
        <v>9.3004800000000003</v>
      </c>
      <c r="J837" s="23" t="s">
        <v>729</v>
      </c>
      <c r="K837" s="21" t="s">
        <v>1786</v>
      </c>
      <c r="O837" s="347"/>
      <c r="R837" s="84" t="s">
        <v>641</v>
      </c>
      <c r="Y837" s="20">
        <f t="shared" si="36"/>
        <v>1</v>
      </c>
      <c r="AA837" s="98">
        <f t="shared" si="37"/>
        <v>0.1995199999999997</v>
      </c>
      <c r="AB837" s="98" t="e">
        <f t="shared" si="38"/>
        <v>#VALUE!</v>
      </c>
    </row>
    <row r="838" spans="1:28" ht="22.15" customHeight="1" x14ac:dyDescent="0.25">
      <c r="A838" s="21" t="s">
        <v>103</v>
      </c>
      <c r="B838" s="276" t="s">
        <v>1787</v>
      </c>
      <c r="C838" s="81">
        <v>22</v>
      </c>
      <c r="D838" s="23" t="s">
        <v>1788</v>
      </c>
      <c r="H838" s="346">
        <v>9.5</v>
      </c>
      <c r="I838" s="21">
        <v>9.3004800000000003</v>
      </c>
      <c r="J838" s="23" t="s">
        <v>729</v>
      </c>
      <c r="K838" s="21" t="s">
        <v>1789</v>
      </c>
      <c r="O838" s="347"/>
      <c r="R838" s="84" t="s">
        <v>641</v>
      </c>
      <c r="Y838" s="20">
        <f t="shared" si="36"/>
        <v>1</v>
      </c>
      <c r="AA838" s="98">
        <f t="shared" si="37"/>
        <v>0.1995199999999997</v>
      </c>
      <c r="AB838" s="98" t="e">
        <f t="shared" si="38"/>
        <v>#VALUE!</v>
      </c>
    </row>
    <row r="839" spans="1:28" ht="22.15" customHeight="1" x14ac:dyDescent="0.25">
      <c r="A839" s="21" t="s">
        <v>731</v>
      </c>
      <c r="B839" s="276" t="s">
        <v>1790</v>
      </c>
      <c r="C839" s="81">
        <v>6</v>
      </c>
      <c r="D839" s="23" t="s">
        <v>1791</v>
      </c>
      <c r="H839" s="346">
        <v>44.9</v>
      </c>
      <c r="I839" s="21">
        <v>41.44</v>
      </c>
      <c r="J839" s="23" t="s">
        <v>736</v>
      </c>
      <c r="K839" s="21" t="s">
        <v>1792</v>
      </c>
      <c r="O839" s="347"/>
      <c r="R839" s="84" t="s">
        <v>738</v>
      </c>
      <c r="Y839" s="20">
        <f t="shared" ref="Y839:Y902" si="39">COUNTIF(K:K,K839)</f>
        <v>1</v>
      </c>
      <c r="AA839" s="98">
        <f t="shared" si="37"/>
        <v>3.4600000000000009</v>
      </c>
      <c r="AB839" s="98" t="e">
        <f t="shared" si="38"/>
        <v>#VALUE!</v>
      </c>
    </row>
    <row r="840" spans="1:28" ht="22.15" customHeight="1" x14ac:dyDescent="0.25">
      <c r="A840" s="21" t="s">
        <v>255</v>
      </c>
      <c r="B840" s="276" t="s">
        <v>1793</v>
      </c>
      <c r="C840" s="81">
        <v>40</v>
      </c>
      <c r="D840" s="23" t="s">
        <v>1794</v>
      </c>
      <c r="H840" s="346">
        <v>5.9</v>
      </c>
      <c r="I840" s="21">
        <v>5.6</v>
      </c>
      <c r="J840" s="23" t="s">
        <v>743</v>
      </c>
      <c r="K840" s="21" t="s">
        <v>1795</v>
      </c>
      <c r="O840" s="347"/>
      <c r="R840" s="84" t="s">
        <v>745</v>
      </c>
      <c r="Y840" s="20">
        <f t="shared" si="39"/>
        <v>1</v>
      </c>
      <c r="AA840" s="98">
        <f t="shared" si="37"/>
        <v>0.30000000000000071</v>
      </c>
      <c r="AB840" s="98" t="e">
        <f t="shared" si="38"/>
        <v>#VALUE!</v>
      </c>
    </row>
    <row r="841" spans="1:28" ht="22.15" customHeight="1" x14ac:dyDescent="0.25">
      <c r="A841" s="21" t="s">
        <v>103</v>
      </c>
      <c r="B841" s="276" t="s">
        <v>1796</v>
      </c>
      <c r="C841" s="81">
        <v>34</v>
      </c>
      <c r="D841" s="23" t="s">
        <v>1797</v>
      </c>
      <c r="H841" s="346">
        <v>5.9</v>
      </c>
      <c r="I841" s="21">
        <v>5.6</v>
      </c>
      <c r="J841" s="23" t="s">
        <v>743</v>
      </c>
      <c r="K841" s="21" t="s">
        <v>1798</v>
      </c>
      <c r="O841" s="347"/>
      <c r="R841" s="84" t="s">
        <v>745</v>
      </c>
      <c r="Y841" s="20">
        <f t="shared" si="39"/>
        <v>1</v>
      </c>
      <c r="AA841" s="98">
        <f t="shared" si="37"/>
        <v>0.30000000000000071</v>
      </c>
      <c r="AB841" s="98" t="e">
        <f t="shared" si="38"/>
        <v>#VALUE!</v>
      </c>
    </row>
    <row r="842" spans="1:28" ht="22.15" customHeight="1" x14ac:dyDescent="0.25">
      <c r="A842" s="21" t="s">
        <v>103</v>
      </c>
      <c r="B842" s="276" t="s">
        <v>1799</v>
      </c>
      <c r="C842" s="81">
        <v>40</v>
      </c>
      <c r="D842" s="23" t="s">
        <v>1800</v>
      </c>
      <c r="H842" s="346">
        <v>5.9</v>
      </c>
      <c r="I842" s="21">
        <v>5.6</v>
      </c>
      <c r="J842" s="23" t="s">
        <v>743</v>
      </c>
      <c r="K842" s="21" t="s">
        <v>1801</v>
      </c>
      <c r="O842" s="347"/>
      <c r="R842" s="84" t="s">
        <v>745</v>
      </c>
      <c r="Y842" s="20">
        <f t="shared" si="39"/>
        <v>1</v>
      </c>
      <c r="AA842" s="98">
        <f t="shared" si="37"/>
        <v>0.30000000000000071</v>
      </c>
      <c r="AB842" s="98" t="e">
        <f t="shared" si="38"/>
        <v>#VALUE!</v>
      </c>
    </row>
    <row r="843" spans="1:28" ht="22.15" customHeight="1" x14ac:dyDescent="0.25">
      <c r="A843" s="21" t="s">
        <v>255</v>
      </c>
      <c r="B843" s="276" t="s">
        <v>1802</v>
      </c>
      <c r="C843" s="81">
        <v>32</v>
      </c>
      <c r="D843" s="23" t="s">
        <v>1803</v>
      </c>
      <c r="H843" s="346">
        <v>5.9</v>
      </c>
      <c r="I843" s="21">
        <v>5.6</v>
      </c>
      <c r="J843" s="23" t="s">
        <v>743</v>
      </c>
      <c r="K843" s="21" t="s">
        <v>1804</v>
      </c>
      <c r="O843" s="347"/>
      <c r="R843" s="84" t="s">
        <v>745</v>
      </c>
      <c r="Y843" s="20">
        <f t="shared" si="39"/>
        <v>1</v>
      </c>
      <c r="AA843" s="98">
        <f t="shared" si="37"/>
        <v>0.30000000000000071</v>
      </c>
      <c r="AB843" s="98" t="e">
        <f t="shared" si="38"/>
        <v>#VALUE!</v>
      </c>
    </row>
    <row r="844" spans="1:28" ht="22.15" customHeight="1" x14ac:dyDescent="0.25">
      <c r="A844" s="21" t="s">
        <v>255</v>
      </c>
      <c r="B844" s="276" t="s">
        <v>1805</v>
      </c>
      <c r="C844" s="81">
        <v>38</v>
      </c>
      <c r="D844" s="23" t="s">
        <v>1806</v>
      </c>
      <c r="H844" s="346">
        <v>5.9</v>
      </c>
      <c r="I844" s="21">
        <v>5.6</v>
      </c>
      <c r="J844" s="23" t="s">
        <v>743</v>
      </c>
      <c r="K844" s="21" t="s">
        <v>1807</v>
      </c>
      <c r="O844" s="347"/>
      <c r="R844" s="84" t="s">
        <v>745</v>
      </c>
      <c r="Y844" s="20">
        <f t="shared" si="39"/>
        <v>1</v>
      </c>
      <c r="AA844" s="98">
        <f t="shared" si="37"/>
        <v>0.30000000000000071</v>
      </c>
      <c r="AB844" s="98" t="e">
        <f t="shared" si="38"/>
        <v>#VALUE!</v>
      </c>
    </row>
    <row r="845" spans="1:28" ht="22.15" customHeight="1" x14ac:dyDescent="0.25">
      <c r="A845" s="21" t="s">
        <v>381</v>
      </c>
      <c r="B845" s="276" t="s">
        <v>1808</v>
      </c>
      <c r="C845" s="81">
        <v>6</v>
      </c>
      <c r="D845" s="23" t="s">
        <v>1809</v>
      </c>
      <c r="H845" s="346">
        <v>77.900000000000006</v>
      </c>
      <c r="I845" s="21">
        <v>74.240319999999997</v>
      </c>
      <c r="J845" s="23" t="s">
        <v>749</v>
      </c>
      <c r="K845" s="21" t="s">
        <v>1810</v>
      </c>
      <c r="O845" s="347"/>
      <c r="R845" s="84" t="s">
        <v>395</v>
      </c>
      <c r="Y845" s="20">
        <f t="shared" si="39"/>
        <v>1</v>
      </c>
      <c r="AA845" s="98">
        <f t="shared" si="37"/>
        <v>3.6596800000000087</v>
      </c>
      <c r="AB845" s="98" t="e">
        <f t="shared" si="38"/>
        <v>#VALUE!</v>
      </c>
    </row>
    <row r="846" spans="1:28" ht="22.15" customHeight="1" x14ac:dyDescent="0.25">
      <c r="A846" s="21" t="s">
        <v>255</v>
      </c>
      <c r="B846" s="276" t="s">
        <v>1811</v>
      </c>
      <c r="C846" s="81">
        <v>8</v>
      </c>
      <c r="D846" s="23" t="s">
        <v>1812</v>
      </c>
      <c r="H846" s="346">
        <v>21.9</v>
      </c>
      <c r="I846" s="21">
        <v>21.84</v>
      </c>
      <c r="J846" s="23" t="s">
        <v>755</v>
      </c>
      <c r="K846" s="21" t="s">
        <v>1813</v>
      </c>
      <c r="O846" s="347"/>
      <c r="R846" s="84">
        <v>24.9</v>
      </c>
      <c r="Y846" s="20">
        <f t="shared" si="39"/>
        <v>1</v>
      </c>
      <c r="AA846" s="98">
        <f t="shared" si="37"/>
        <v>5.9999999999998721E-2</v>
      </c>
      <c r="AB846" s="98">
        <f t="shared" si="38"/>
        <v>3</v>
      </c>
    </row>
    <row r="847" spans="1:28" ht="22.15" customHeight="1" x14ac:dyDescent="0.25">
      <c r="A847" s="21" t="s">
        <v>328</v>
      </c>
      <c r="B847" s="276" t="s">
        <v>1814</v>
      </c>
      <c r="C847" s="81">
        <v>8</v>
      </c>
      <c r="D847" s="23" t="s">
        <v>1815</v>
      </c>
      <c r="H847" s="346">
        <v>21.9</v>
      </c>
      <c r="I847" s="21">
        <v>21.84</v>
      </c>
      <c r="J847" s="23" t="s">
        <v>755</v>
      </c>
      <c r="K847" s="21" t="s">
        <v>1816</v>
      </c>
      <c r="O847" s="347"/>
      <c r="R847" s="84">
        <v>24.9</v>
      </c>
      <c r="Y847" s="20">
        <f t="shared" si="39"/>
        <v>1</v>
      </c>
      <c r="AA847" s="98">
        <f t="shared" si="37"/>
        <v>5.9999999999998721E-2</v>
      </c>
      <c r="AB847" s="98">
        <f t="shared" si="38"/>
        <v>3</v>
      </c>
    </row>
    <row r="848" spans="1:28" ht="22.15" customHeight="1" x14ac:dyDescent="0.25">
      <c r="A848" s="21" t="s">
        <v>255</v>
      </c>
      <c r="B848" s="276" t="s">
        <v>1817</v>
      </c>
      <c r="C848" s="81">
        <v>8</v>
      </c>
      <c r="D848" s="23" t="s">
        <v>1818</v>
      </c>
      <c r="H848" s="346">
        <v>21.9</v>
      </c>
      <c r="I848" s="21">
        <v>21.84</v>
      </c>
      <c r="J848" s="23" t="s">
        <v>755</v>
      </c>
      <c r="K848" s="21" t="s">
        <v>1819</v>
      </c>
      <c r="O848" s="347"/>
      <c r="R848" s="84">
        <v>24.9</v>
      </c>
      <c r="Y848" s="20">
        <f t="shared" si="39"/>
        <v>1</v>
      </c>
      <c r="AA848" s="98">
        <f t="shared" si="37"/>
        <v>5.9999999999998721E-2</v>
      </c>
      <c r="AB848" s="98">
        <f t="shared" si="38"/>
        <v>3</v>
      </c>
    </row>
    <row r="849" spans="1:28" ht="22.15" customHeight="1" x14ac:dyDescent="0.25">
      <c r="A849" s="21" t="s">
        <v>255</v>
      </c>
      <c r="B849" s="276" t="s">
        <v>1820</v>
      </c>
      <c r="C849" s="81">
        <v>8</v>
      </c>
      <c r="D849" s="23" t="s">
        <v>1821</v>
      </c>
      <c r="H849" s="346">
        <v>21.9</v>
      </c>
      <c r="I849" s="21">
        <v>21.84</v>
      </c>
      <c r="J849" s="23" t="s">
        <v>755</v>
      </c>
      <c r="K849" s="21" t="s">
        <v>1822</v>
      </c>
      <c r="O849" s="347"/>
      <c r="R849" s="84">
        <v>24.9</v>
      </c>
      <c r="Y849" s="20">
        <f t="shared" si="39"/>
        <v>1</v>
      </c>
      <c r="AA849" s="98">
        <f t="shared" si="37"/>
        <v>5.9999999999998721E-2</v>
      </c>
      <c r="AB849" s="98">
        <f t="shared" si="38"/>
        <v>3</v>
      </c>
    </row>
    <row r="850" spans="1:28" ht="22.15" customHeight="1" x14ac:dyDescent="0.25">
      <c r="A850" s="21" t="s">
        <v>255</v>
      </c>
      <c r="B850" s="276" t="s">
        <v>1823</v>
      </c>
      <c r="C850" s="81">
        <v>8</v>
      </c>
      <c r="D850" s="23" t="s">
        <v>1824</v>
      </c>
      <c r="H850" s="346">
        <v>21.9</v>
      </c>
      <c r="I850" s="21">
        <v>21.84</v>
      </c>
      <c r="J850" s="23" t="s">
        <v>755</v>
      </c>
      <c r="K850" s="21" t="s">
        <v>1825</v>
      </c>
      <c r="O850" s="347"/>
      <c r="R850" s="84">
        <v>24.9</v>
      </c>
      <c r="Y850" s="20">
        <f t="shared" si="39"/>
        <v>1</v>
      </c>
      <c r="AA850" s="98">
        <f t="shared" si="37"/>
        <v>5.9999999999998721E-2</v>
      </c>
      <c r="AB850" s="98">
        <f t="shared" si="38"/>
        <v>3</v>
      </c>
    </row>
    <row r="851" spans="1:28" ht="22.15" customHeight="1" x14ac:dyDescent="0.25">
      <c r="A851" s="21" t="s">
        <v>103</v>
      </c>
      <c r="B851" s="276" t="s">
        <v>1826</v>
      </c>
      <c r="C851" s="81">
        <v>12</v>
      </c>
      <c r="D851" s="23" t="s">
        <v>1827</v>
      </c>
      <c r="H851" s="346">
        <v>33.9</v>
      </c>
      <c r="I851" s="21">
        <v>32.979520000000001</v>
      </c>
      <c r="J851" s="23" t="s">
        <v>795</v>
      </c>
      <c r="K851" s="21" t="s">
        <v>1828</v>
      </c>
      <c r="O851" s="347"/>
      <c r="R851" s="84" t="s">
        <v>797</v>
      </c>
      <c r="Y851" s="20">
        <f t="shared" si="39"/>
        <v>1</v>
      </c>
      <c r="AA851" s="98">
        <f t="shared" si="37"/>
        <v>0.92047999999999774</v>
      </c>
      <c r="AB851" s="98" t="e">
        <f t="shared" si="38"/>
        <v>#VALUE!</v>
      </c>
    </row>
    <row r="852" spans="1:28" ht="22.15" customHeight="1" x14ac:dyDescent="0.25">
      <c r="A852" s="21" t="s">
        <v>103</v>
      </c>
      <c r="B852" s="276" t="s">
        <v>1829</v>
      </c>
      <c r="C852" s="81">
        <v>12</v>
      </c>
      <c r="D852" s="23" t="s">
        <v>1830</v>
      </c>
      <c r="H852" s="346">
        <v>33.9</v>
      </c>
      <c r="I852" s="21">
        <v>32.979520000000001</v>
      </c>
      <c r="J852" s="23" t="s">
        <v>795</v>
      </c>
      <c r="K852" s="21" t="s">
        <v>1831</v>
      </c>
      <c r="O852" s="347"/>
      <c r="R852" s="84" t="s">
        <v>797</v>
      </c>
      <c r="Y852" s="20">
        <f t="shared" si="39"/>
        <v>1</v>
      </c>
      <c r="AA852" s="98">
        <f t="shared" si="37"/>
        <v>0.92047999999999774</v>
      </c>
      <c r="AB852" s="98" t="e">
        <f t="shared" si="38"/>
        <v>#VALUE!</v>
      </c>
    </row>
    <row r="853" spans="1:28" ht="22.15" customHeight="1" x14ac:dyDescent="0.25">
      <c r="A853" s="21" t="s">
        <v>103</v>
      </c>
      <c r="B853" s="276" t="s">
        <v>1832</v>
      </c>
      <c r="C853" s="81">
        <v>8</v>
      </c>
      <c r="D853" s="23" t="s">
        <v>1833</v>
      </c>
      <c r="H853" s="346">
        <v>23.9</v>
      </c>
      <c r="I853" s="21">
        <v>23.30048</v>
      </c>
      <c r="J853" s="23" t="s">
        <v>802</v>
      </c>
      <c r="K853" s="21" t="s">
        <v>1834</v>
      </c>
      <c r="O853" s="347"/>
      <c r="R853" s="84" t="s">
        <v>938</v>
      </c>
      <c r="Y853" s="20">
        <f t="shared" si="39"/>
        <v>1</v>
      </c>
      <c r="AA853" s="98">
        <f t="shared" si="37"/>
        <v>0.59951999999999828</v>
      </c>
      <c r="AB853" s="98" t="e">
        <f t="shared" si="38"/>
        <v>#VALUE!</v>
      </c>
    </row>
    <row r="854" spans="1:28" ht="22.15" customHeight="1" x14ac:dyDescent="0.25">
      <c r="A854" s="21" t="s">
        <v>103</v>
      </c>
      <c r="B854" s="276" t="s">
        <v>1835</v>
      </c>
      <c r="C854" s="81">
        <v>8</v>
      </c>
      <c r="D854" s="23" t="s">
        <v>1836</v>
      </c>
      <c r="H854" s="346">
        <v>23.9</v>
      </c>
      <c r="I854" s="21">
        <v>22.740480000000002</v>
      </c>
      <c r="J854" s="23" t="s">
        <v>802</v>
      </c>
      <c r="K854" s="21" t="s">
        <v>1837</v>
      </c>
      <c r="O854" s="347"/>
      <c r="R854" s="84" t="s">
        <v>938</v>
      </c>
      <c r="Y854" s="20">
        <f t="shared" si="39"/>
        <v>1</v>
      </c>
      <c r="AA854" s="98">
        <f t="shared" si="37"/>
        <v>1.159519999999997</v>
      </c>
      <c r="AB854" s="98" t="e">
        <f t="shared" si="38"/>
        <v>#VALUE!</v>
      </c>
    </row>
    <row r="855" spans="1:28" ht="22.15" customHeight="1" x14ac:dyDescent="0.25">
      <c r="A855" s="21" t="s">
        <v>255</v>
      </c>
      <c r="B855" s="276" t="s">
        <v>1838</v>
      </c>
      <c r="C855" s="81">
        <v>12</v>
      </c>
      <c r="D855" s="23" t="s">
        <v>1839</v>
      </c>
      <c r="H855" s="346">
        <v>34.9</v>
      </c>
      <c r="I855" s="21">
        <v>33.80048</v>
      </c>
      <c r="J855" s="23" t="s">
        <v>1840</v>
      </c>
      <c r="K855" s="21" t="s">
        <v>1841</v>
      </c>
      <c r="O855" s="347"/>
      <c r="R855" s="84" t="s">
        <v>334</v>
      </c>
      <c r="Y855" s="20">
        <f t="shared" si="39"/>
        <v>1</v>
      </c>
      <c r="AA855" s="98">
        <f t="shared" si="37"/>
        <v>1.0995199999999983</v>
      </c>
      <c r="AB855" s="98" t="e">
        <f t="shared" si="38"/>
        <v>#VALUE!</v>
      </c>
    </row>
    <row r="856" spans="1:28" ht="22.15" customHeight="1" x14ac:dyDescent="0.25">
      <c r="A856" s="21" t="s">
        <v>328</v>
      </c>
      <c r="B856" s="276" t="s">
        <v>1842</v>
      </c>
      <c r="C856" s="81">
        <v>12</v>
      </c>
      <c r="D856" s="23" t="s">
        <v>1843</v>
      </c>
      <c r="H856" s="346">
        <v>34.9</v>
      </c>
      <c r="I856" s="21">
        <v>32.110399999999998</v>
      </c>
      <c r="J856" s="23" t="s">
        <v>1840</v>
      </c>
      <c r="K856" s="21" t="s">
        <v>1844</v>
      </c>
      <c r="O856" s="347"/>
      <c r="R856" s="84" t="s">
        <v>334</v>
      </c>
      <c r="Y856" s="20">
        <f t="shared" si="39"/>
        <v>1</v>
      </c>
      <c r="AA856" s="98">
        <f t="shared" si="37"/>
        <v>2.7896000000000001</v>
      </c>
      <c r="AB856" s="98" t="e">
        <f t="shared" si="38"/>
        <v>#VALUE!</v>
      </c>
    </row>
    <row r="857" spans="1:28" ht="22.15" customHeight="1" x14ac:dyDescent="0.25">
      <c r="A857" s="21" t="s">
        <v>255</v>
      </c>
      <c r="B857" s="276" t="s">
        <v>1845</v>
      </c>
      <c r="C857" s="81">
        <v>12</v>
      </c>
      <c r="D857" s="23" t="s">
        <v>1846</v>
      </c>
      <c r="H857" s="346">
        <v>34.9</v>
      </c>
      <c r="I857" s="21">
        <v>34.68976</v>
      </c>
      <c r="J857" s="23" t="s">
        <v>1840</v>
      </c>
      <c r="K857" s="21" t="s">
        <v>1847</v>
      </c>
      <c r="O857" s="347"/>
      <c r="R857" s="84">
        <v>38.9</v>
      </c>
      <c r="Y857" s="20">
        <f t="shared" si="39"/>
        <v>1</v>
      </c>
      <c r="AA857" s="98">
        <f t="shared" si="37"/>
        <v>0.21023999999999887</v>
      </c>
      <c r="AB857" s="98">
        <f t="shared" si="38"/>
        <v>4</v>
      </c>
    </row>
    <row r="858" spans="1:28" ht="22.15" customHeight="1" x14ac:dyDescent="0.25">
      <c r="A858" s="21" t="s">
        <v>255</v>
      </c>
      <c r="B858" s="276" t="s">
        <v>1848</v>
      </c>
      <c r="C858" s="81">
        <v>12</v>
      </c>
      <c r="D858" s="23" t="s">
        <v>1849</v>
      </c>
      <c r="H858" s="346">
        <v>34.9</v>
      </c>
      <c r="I858" s="21">
        <v>34.68976</v>
      </c>
      <c r="J858" s="23" t="s">
        <v>1840</v>
      </c>
      <c r="K858" s="21" t="s">
        <v>1850</v>
      </c>
      <c r="O858" s="347"/>
      <c r="R858" s="84" t="s">
        <v>334</v>
      </c>
      <c r="Y858" s="20">
        <f t="shared" si="39"/>
        <v>1</v>
      </c>
      <c r="AA858" s="98">
        <f t="shared" si="37"/>
        <v>0.21023999999999887</v>
      </c>
      <c r="AB858" s="98" t="e">
        <f t="shared" si="38"/>
        <v>#VALUE!</v>
      </c>
    </row>
    <row r="859" spans="1:28" ht="22.15" customHeight="1" x14ac:dyDescent="0.25">
      <c r="A859" s="21" t="s">
        <v>255</v>
      </c>
      <c r="B859" s="276" t="s">
        <v>1851</v>
      </c>
      <c r="C859" s="81">
        <v>12</v>
      </c>
      <c r="D859" s="23" t="s">
        <v>1852</v>
      </c>
      <c r="H859" s="346">
        <v>34.9</v>
      </c>
      <c r="I859" s="21">
        <v>34.68976</v>
      </c>
      <c r="J859" s="23" t="s">
        <v>1840</v>
      </c>
      <c r="K859" s="21" t="s">
        <v>1853</v>
      </c>
      <c r="O859" s="347"/>
      <c r="R859" s="84" t="s">
        <v>334</v>
      </c>
      <c r="Y859" s="20">
        <f t="shared" si="39"/>
        <v>1</v>
      </c>
      <c r="AA859" s="98">
        <f t="shared" si="37"/>
        <v>0.21023999999999887</v>
      </c>
      <c r="AB859" s="98" t="e">
        <f t="shared" si="38"/>
        <v>#VALUE!</v>
      </c>
    </row>
    <row r="860" spans="1:28" ht="22.15" customHeight="1" x14ac:dyDescent="0.25">
      <c r="A860" s="21" t="s">
        <v>255</v>
      </c>
      <c r="B860" s="276" t="s">
        <v>1854</v>
      </c>
      <c r="C860" s="81">
        <v>24</v>
      </c>
      <c r="D860" s="23" t="s">
        <v>1855</v>
      </c>
      <c r="H860" s="346">
        <v>10.9</v>
      </c>
      <c r="I860" s="21">
        <v>10.51008</v>
      </c>
      <c r="J860" s="23" t="s">
        <v>393</v>
      </c>
      <c r="K860" s="21" t="s">
        <v>1856</v>
      </c>
      <c r="O860" s="347"/>
      <c r="R860" s="84">
        <v>11.9</v>
      </c>
      <c r="Y860" s="20">
        <f t="shared" si="39"/>
        <v>1</v>
      </c>
      <c r="AA860" s="98">
        <f t="shared" si="37"/>
        <v>0.38992000000000004</v>
      </c>
      <c r="AB860" s="98">
        <f t="shared" si="38"/>
        <v>1</v>
      </c>
    </row>
    <row r="861" spans="1:28" ht="22.15" customHeight="1" x14ac:dyDescent="0.25">
      <c r="A861" s="21" t="s">
        <v>255</v>
      </c>
      <c r="B861" s="276" t="s">
        <v>1857</v>
      </c>
      <c r="C861" s="81">
        <v>24</v>
      </c>
      <c r="D861" s="23" t="s">
        <v>1858</v>
      </c>
      <c r="H861" s="346">
        <v>10.9</v>
      </c>
      <c r="I861" s="21">
        <v>10.51008</v>
      </c>
      <c r="J861" s="23" t="s">
        <v>393</v>
      </c>
      <c r="K861" s="21" t="s">
        <v>1859</v>
      </c>
      <c r="O861" s="347"/>
      <c r="R861" s="84">
        <v>11.9</v>
      </c>
      <c r="Y861" s="20">
        <f t="shared" si="39"/>
        <v>1</v>
      </c>
      <c r="AA861" s="98">
        <f t="shared" si="37"/>
        <v>0.38992000000000004</v>
      </c>
      <c r="AB861" s="98">
        <f t="shared" si="38"/>
        <v>1</v>
      </c>
    </row>
    <row r="862" spans="1:28" ht="22.15" customHeight="1" x14ac:dyDescent="0.25">
      <c r="A862" s="21" t="s">
        <v>255</v>
      </c>
      <c r="B862" s="276" t="s">
        <v>1860</v>
      </c>
      <c r="C862" s="81">
        <v>12</v>
      </c>
      <c r="D862" s="23" t="s">
        <v>1861</v>
      </c>
      <c r="H862" s="346">
        <v>10.9</v>
      </c>
      <c r="I862" s="21">
        <v>10.51008</v>
      </c>
      <c r="J862" s="23" t="s">
        <v>393</v>
      </c>
      <c r="K862" s="21" t="s">
        <v>1862</v>
      </c>
      <c r="O862" s="347"/>
      <c r="R862" s="84">
        <v>11.9</v>
      </c>
      <c r="Y862" s="20">
        <f t="shared" si="39"/>
        <v>1</v>
      </c>
      <c r="AA862" s="98">
        <f t="shared" si="37"/>
        <v>0.38992000000000004</v>
      </c>
      <c r="AB862" s="98">
        <f t="shared" si="38"/>
        <v>1</v>
      </c>
    </row>
    <row r="863" spans="1:28" ht="22.15" customHeight="1" x14ac:dyDescent="0.25">
      <c r="A863" s="21" t="s">
        <v>255</v>
      </c>
      <c r="B863" s="276" t="s">
        <v>1863</v>
      </c>
      <c r="C863" s="81">
        <v>24</v>
      </c>
      <c r="D863" s="23" t="s">
        <v>1864</v>
      </c>
      <c r="H863" s="346">
        <v>10.9</v>
      </c>
      <c r="I863" s="21">
        <v>10.51008</v>
      </c>
      <c r="J863" s="23" t="s">
        <v>393</v>
      </c>
      <c r="K863" s="21" t="s">
        <v>1865</v>
      </c>
      <c r="O863" s="347"/>
      <c r="R863" s="84">
        <v>11.9</v>
      </c>
      <c r="Y863" s="20">
        <f t="shared" si="39"/>
        <v>1</v>
      </c>
      <c r="AA863" s="98">
        <f t="shared" si="37"/>
        <v>0.38992000000000004</v>
      </c>
      <c r="AB863" s="98">
        <f t="shared" si="38"/>
        <v>1</v>
      </c>
    </row>
    <row r="864" spans="1:28" ht="22.15" customHeight="1" x14ac:dyDescent="0.25">
      <c r="A864" s="21" t="s">
        <v>255</v>
      </c>
      <c r="B864" s="276" t="s">
        <v>1866</v>
      </c>
      <c r="C864" s="81">
        <v>24</v>
      </c>
      <c r="D864" s="23" t="s">
        <v>1867</v>
      </c>
      <c r="H864" s="346">
        <v>10.9</v>
      </c>
      <c r="I864" s="21">
        <v>10.51008</v>
      </c>
      <c r="J864" s="23" t="s">
        <v>393</v>
      </c>
      <c r="K864" s="21" t="s">
        <v>1868</v>
      </c>
      <c r="O864" s="347"/>
      <c r="R864" s="84">
        <v>11.9</v>
      </c>
      <c r="Y864" s="20">
        <f t="shared" si="39"/>
        <v>1</v>
      </c>
      <c r="AA864" s="98">
        <f t="shared" si="37"/>
        <v>0.38992000000000004</v>
      </c>
      <c r="AB864" s="98">
        <f t="shared" si="38"/>
        <v>1</v>
      </c>
    </row>
    <row r="865" spans="1:28" ht="22.15" customHeight="1" x14ac:dyDescent="0.25">
      <c r="A865" s="21" t="s">
        <v>255</v>
      </c>
      <c r="B865" s="276" t="s">
        <v>1869</v>
      </c>
      <c r="C865" s="81">
        <v>24</v>
      </c>
      <c r="D865" s="23" t="s">
        <v>1870</v>
      </c>
      <c r="H865" s="346">
        <v>13.9</v>
      </c>
      <c r="I865" s="21">
        <v>13.22048</v>
      </c>
      <c r="J865" s="23" t="s">
        <v>393</v>
      </c>
      <c r="K865" s="21" t="s">
        <v>1871</v>
      </c>
      <c r="O865" s="347"/>
      <c r="R865" s="84">
        <v>14.9</v>
      </c>
      <c r="Y865" s="20">
        <f t="shared" si="39"/>
        <v>1</v>
      </c>
      <c r="AA865" s="98">
        <f t="shared" si="37"/>
        <v>0.67952000000000012</v>
      </c>
      <c r="AB865" s="98">
        <f t="shared" si="38"/>
        <v>1</v>
      </c>
    </row>
    <row r="866" spans="1:28" ht="22.15" customHeight="1" x14ac:dyDescent="0.25">
      <c r="A866" s="21" t="s">
        <v>255</v>
      </c>
      <c r="B866" s="276" t="s">
        <v>1872</v>
      </c>
      <c r="C866" s="81">
        <v>24</v>
      </c>
      <c r="D866" s="23" t="s">
        <v>1873</v>
      </c>
      <c r="H866" s="346">
        <v>13.9</v>
      </c>
      <c r="I866" s="21">
        <v>13.22048</v>
      </c>
      <c r="J866" s="23" t="s">
        <v>393</v>
      </c>
      <c r="K866" s="21" t="s">
        <v>1874</v>
      </c>
      <c r="O866" s="347"/>
      <c r="R866" s="84">
        <v>14.9</v>
      </c>
      <c r="Y866" s="20">
        <f t="shared" si="39"/>
        <v>1</v>
      </c>
      <c r="AA866" s="98">
        <f t="shared" si="37"/>
        <v>0.67952000000000012</v>
      </c>
      <c r="AB866" s="98">
        <f t="shared" si="38"/>
        <v>1</v>
      </c>
    </row>
    <row r="867" spans="1:28" ht="22.15" customHeight="1" x14ac:dyDescent="0.25">
      <c r="A867" s="21" t="s">
        <v>255</v>
      </c>
      <c r="B867" s="276" t="s">
        <v>1875</v>
      </c>
      <c r="C867" s="81">
        <v>24</v>
      </c>
      <c r="D867" s="23" t="s">
        <v>1876</v>
      </c>
      <c r="H867" s="346">
        <v>13.9</v>
      </c>
      <c r="I867" s="21">
        <v>13.22048</v>
      </c>
      <c r="J867" s="23" t="s">
        <v>393</v>
      </c>
      <c r="K867" s="21" t="s">
        <v>1877</v>
      </c>
      <c r="O867" s="347"/>
      <c r="R867" s="84">
        <v>14.9</v>
      </c>
      <c r="Y867" s="20">
        <f t="shared" si="39"/>
        <v>1</v>
      </c>
      <c r="AA867" s="98">
        <f t="shared" si="37"/>
        <v>0.67952000000000012</v>
      </c>
      <c r="AB867" s="98">
        <f t="shared" si="38"/>
        <v>1</v>
      </c>
    </row>
    <row r="868" spans="1:28" ht="22.15" customHeight="1" x14ac:dyDescent="0.25">
      <c r="A868" s="21" t="s">
        <v>328</v>
      </c>
      <c r="B868" s="276" t="s">
        <v>1878</v>
      </c>
      <c r="C868" s="81">
        <v>24</v>
      </c>
      <c r="D868" s="23" t="s">
        <v>1879</v>
      </c>
      <c r="H868" s="346">
        <v>23.9</v>
      </c>
      <c r="I868" s="21">
        <v>23.860479999999999</v>
      </c>
      <c r="J868" s="23" t="s">
        <v>446</v>
      </c>
      <c r="K868" s="21" t="s">
        <v>1880</v>
      </c>
      <c r="O868" s="347"/>
      <c r="R868" s="84" t="s">
        <v>448</v>
      </c>
      <c r="Y868" s="20">
        <f t="shared" si="39"/>
        <v>1</v>
      </c>
      <c r="AA868" s="98">
        <f t="shared" si="37"/>
        <v>3.9519999999999555E-2</v>
      </c>
      <c r="AB868" s="98" t="e">
        <f t="shared" si="38"/>
        <v>#VALUE!</v>
      </c>
    </row>
    <row r="869" spans="1:28" ht="22.15" customHeight="1" x14ac:dyDescent="0.25">
      <c r="A869" s="21" t="s">
        <v>328</v>
      </c>
      <c r="B869" s="276" t="s">
        <v>1881</v>
      </c>
      <c r="C869" s="81">
        <v>24</v>
      </c>
      <c r="D869" s="23" t="s">
        <v>1882</v>
      </c>
      <c r="H869" s="346">
        <v>23.9</v>
      </c>
      <c r="I869" s="21">
        <v>23.860479999999999</v>
      </c>
      <c r="J869" s="23" t="s">
        <v>446</v>
      </c>
      <c r="K869" s="21" t="s">
        <v>1883</v>
      </c>
      <c r="O869" s="347"/>
      <c r="R869" s="84" t="s">
        <v>448</v>
      </c>
      <c r="Y869" s="20">
        <f t="shared" si="39"/>
        <v>1</v>
      </c>
      <c r="AA869" s="98">
        <f t="shared" si="37"/>
        <v>3.9519999999999555E-2</v>
      </c>
      <c r="AB869" s="98" t="e">
        <f t="shared" si="38"/>
        <v>#VALUE!</v>
      </c>
    </row>
    <row r="870" spans="1:28" ht="22.15" customHeight="1" x14ac:dyDescent="0.25">
      <c r="A870" s="21" t="s">
        <v>255</v>
      </c>
      <c r="B870" s="276" t="s">
        <v>1884</v>
      </c>
      <c r="C870" s="81">
        <v>24</v>
      </c>
      <c r="D870" s="23" t="s">
        <v>1885</v>
      </c>
      <c r="H870" s="346">
        <v>23.9</v>
      </c>
      <c r="I870" s="21">
        <v>23.860479999999999</v>
      </c>
      <c r="J870" s="23" t="s">
        <v>446</v>
      </c>
      <c r="K870" s="21" t="s">
        <v>1884</v>
      </c>
      <c r="O870" s="347"/>
      <c r="R870" s="84" t="s">
        <v>448</v>
      </c>
      <c r="Y870" s="20">
        <f t="shared" si="39"/>
        <v>1</v>
      </c>
      <c r="AA870" s="98">
        <f t="shared" si="37"/>
        <v>3.9519999999999555E-2</v>
      </c>
      <c r="AB870" s="98" t="e">
        <f t="shared" si="38"/>
        <v>#VALUE!</v>
      </c>
    </row>
    <row r="871" spans="1:28" ht="22.15" customHeight="1" x14ac:dyDescent="0.25">
      <c r="A871" s="21" t="s">
        <v>255</v>
      </c>
      <c r="B871" s="276" t="s">
        <v>1886</v>
      </c>
      <c r="C871" s="81">
        <v>24</v>
      </c>
      <c r="D871" s="23" t="s">
        <v>1887</v>
      </c>
      <c r="H871" s="346">
        <v>23.9</v>
      </c>
      <c r="I871" s="21">
        <v>23.860479999999999</v>
      </c>
      <c r="J871" s="23" t="s">
        <v>446</v>
      </c>
      <c r="K871" s="21" t="s">
        <v>1886</v>
      </c>
      <c r="O871" s="347"/>
      <c r="R871" s="84" t="s">
        <v>448</v>
      </c>
      <c r="Y871" s="20">
        <f t="shared" si="39"/>
        <v>1</v>
      </c>
      <c r="AA871" s="98">
        <f t="shared" si="37"/>
        <v>3.9519999999999555E-2</v>
      </c>
      <c r="AB871" s="98" t="e">
        <f t="shared" si="38"/>
        <v>#VALUE!</v>
      </c>
    </row>
    <row r="872" spans="1:28" ht="22.15" customHeight="1" x14ac:dyDescent="0.25">
      <c r="A872" s="21" t="s">
        <v>328</v>
      </c>
      <c r="B872" s="276" t="s">
        <v>1888</v>
      </c>
      <c r="C872" s="81">
        <v>24</v>
      </c>
      <c r="D872" s="23" t="s">
        <v>1889</v>
      </c>
      <c r="H872" s="346">
        <v>23.9</v>
      </c>
      <c r="I872" s="21">
        <v>23.860479999999999</v>
      </c>
      <c r="J872" s="23" t="s">
        <v>446</v>
      </c>
      <c r="K872" s="21" t="s">
        <v>1890</v>
      </c>
      <c r="O872" s="347"/>
      <c r="R872" s="84" t="s">
        <v>448</v>
      </c>
      <c r="Y872" s="20">
        <f t="shared" si="39"/>
        <v>1</v>
      </c>
      <c r="AA872" s="98">
        <f t="shared" si="37"/>
        <v>3.9519999999999555E-2</v>
      </c>
      <c r="AB872" s="98" t="e">
        <f t="shared" si="38"/>
        <v>#VALUE!</v>
      </c>
    </row>
    <row r="873" spans="1:28" ht="22.15" customHeight="1" x14ac:dyDescent="0.25">
      <c r="A873" s="21" t="s">
        <v>449</v>
      </c>
      <c r="B873" s="276" t="s">
        <v>1891</v>
      </c>
      <c r="C873" s="81">
        <v>12</v>
      </c>
      <c r="D873" s="23" t="s">
        <v>1892</v>
      </c>
      <c r="H873" s="346">
        <v>23.9</v>
      </c>
      <c r="I873" s="21">
        <v>21.11984</v>
      </c>
      <c r="J873" s="23" t="s">
        <v>453</v>
      </c>
      <c r="K873" s="21" t="s">
        <v>1893</v>
      </c>
      <c r="O873" s="347"/>
      <c r="R873" s="84" t="s">
        <v>499</v>
      </c>
      <c r="Y873" s="20">
        <f t="shared" si="39"/>
        <v>1</v>
      </c>
      <c r="AA873" s="98">
        <f t="shared" si="37"/>
        <v>2.7801599999999986</v>
      </c>
      <c r="AB873" s="98" t="e">
        <f t="shared" si="38"/>
        <v>#VALUE!</v>
      </c>
    </row>
    <row r="874" spans="1:28" ht="22.15" customHeight="1" x14ac:dyDescent="0.25">
      <c r="A874" s="21" t="s">
        <v>1894</v>
      </c>
      <c r="B874" s="276" t="s">
        <v>1895</v>
      </c>
      <c r="C874" s="81">
        <v>12</v>
      </c>
      <c r="D874" s="23" t="s">
        <v>1896</v>
      </c>
      <c r="H874" s="346">
        <v>23.9</v>
      </c>
      <c r="I874" s="21">
        <v>23.459520000000001</v>
      </c>
      <c r="J874" s="23" t="s">
        <v>453</v>
      </c>
      <c r="K874" s="21" t="s">
        <v>1897</v>
      </c>
      <c r="O874" s="347"/>
      <c r="R874" s="84" t="s">
        <v>499</v>
      </c>
      <c r="Y874" s="20">
        <f t="shared" si="39"/>
        <v>1</v>
      </c>
      <c r="AA874" s="98">
        <f t="shared" si="37"/>
        <v>0.44047999999999732</v>
      </c>
      <c r="AB874" s="98" t="e">
        <f t="shared" si="38"/>
        <v>#VALUE!</v>
      </c>
    </row>
    <row r="875" spans="1:28" ht="22.15" customHeight="1" x14ac:dyDescent="0.25">
      <c r="A875" s="21" t="s">
        <v>328</v>
      </c>
      <c r="B875" s="276" t="s">
        <v>1898</v>
      </c>
      <c r="C875" s="81">
        <v>16</v>
      </c>
      <c r="D875" s="23" t="s">
        <v>1899</v>
      </c>
      <c r="H875" s="346">
        <v>20</v>
      </c>
      <c r="I875" s="21">
        <v>18.920159999999999</v>
      </c>
      <c r="J875" s="23" t="s">
        <v>400</v>
      </c>
      <c r="K875" s="21" t="s">
        <v>1900</v>
      </c>
      <c r="O875" s="347"/>
      <c r="R875" s="84" t="s">
        <v>380</v>
      </c>
      <c r="Y875" s="20">
        <f t="shared" si="39"/>
        <v>1</v>
      </c>
      <c r="AA875" s="98">
        <f t="shared" si="37"/>
        <v>1.0798400000000008</v>
      </c>
      <c r="AB875" s="98" t="e">
        <f t="shared" si="38"/>
        <v>#VALUE!</v>
      </c>
    </row>
    <row r="876" spans="1:28" ht="22.15" customHeight="1" x14ac:dyDescent="0.25">
      <c r="A876" s="21" t="s">
        <v>328</v>
      </c>
      <c r="B876" s="276" t="s">
        <v>1901</v>
      </c>
      <c r="C876" s="81">
        <v>16</v>
      </c>
      <c r="D876" s="23" t="s">
        <v>1902</v>
      </c>
      <c r="H876" s="346">
        <v>20</v>
      </c>
      <c r="I876" s="21">
        <v>19.910240000000002</v>
      </c>
      <c r="J876" s="23" t="s">
        <v>400</v>
      </c>
      <c r="K876" s="21" t="s">
        <v>1903</v>
      </c>
      <c r="O876" s="347"/>
      <c r="R876" s="84" t="s">
        <v>380</v>
      </c>
      <c r="Y876" s="20">
        <f t="shared" si="39"/>
        <v>1</v>
      </c>
      <c r="AA876" s="98">
        <f t="shared" si="37"/>
        <v>8.9759999999998286E-2</v>
      </c>
      <c r="AB876" s="98" t="e">
        <f t="shared" si="38"/>
        <v>#VALUE!</v>
      </c>
    </row>
    <row r="877" spans="1:28" ht="22.15" customHeight="1" x14ac:dyDescent="0.25">
      <c r="A877" s="21" t="s">
        <v>328</v>
      </c>
      <c r="B877" s="276" t="s">
        <v>1904</v>
      </c>
      <c r="C877" s="81">
        <v>16</v>
      </c>
      <c r="D877" s="23" t="s">
        <v>1905</v>
      </c>
      <c r="H877" s="346">
        <v>20</v>
      </c>
      <c r="I877" s="21">
        <v>18.920159999999999</v>
      </c>
      <c r="J877" s="23" t="s">
        <v>400</v>
      </c>
      <c r="K877" s="21" t="s">
        <v>1906</v>
      </c>
      <c r="O877" s="347"/>
      <c r="R877" s="84" t="s">
        <v>380</v>
      </c>
      <c r="Y877" s="20">
        <f t="shared" si="39"/>
        <v>1</v>
      </c>
      <c r="AA877" s="98">
        <f t="shared" si="37"/>
        <v>1.0798400000000008</v>
      </c>
      <c r="AB877" s="98" t="e">
        <f t="shared" si="38"/>
        <v>#VALUE!</v>
      </c>
    </row>
    <row r="878" spans="1:28" ht="22.15" customHeight="1" x14ac:dyDescent="0.25">
      <c r="A878" s="21" t="s">
        <v>328</v>
      </c>
      <c r="B878" s="276" t="s">
        <v>1907</v>
      </c>
      <c r="C878" s="81">
        <v>16</v>
      </c>
      <c r="D878" s="23" t="s">
        <v>1908</v>
      </c>
      <c r="H878" s="346">
        <v>20</v>
      </c>
      <c r="I878" s="21">
        <v>18.920159999999999</v>
      </c>
      <c r="J878" s="23" t="s">
        <v>400</v>
      </c>
      <c r="K878" s="21" t="s">
        <v>1909</v>
      </c>
      <c r="O878" s="347"/>
      <c r="R878" s="84" t="s">
        <v>380</v>
      </c>
      <c r="Y878" s="20">
        <f t="shared" si="39"/>
        <v>1</v>
      </c>
      <c r="AA878" s="98">
        <f t="shared" ref="AA878:AA941" si="40">H878-I878</f>
        <v>1.0798400000000008</v>
      </c>
      <c r="AB878" s="98" t="e">
        <f t="shared" ref="AB878:AB941" si="41">R878-H878</f>
        <v>#VALUE!</v>
      </c>
    </row>
    <row r="879" spans="1:28" ht="22.15" customHeight="1" x14ac:dyDescent="0.25">
      <c r="A879" s="21" t="s">
        <v>328</v>
      </c>
      <c r="B879" s="276" t="s">
        <v>1910</v>
      </c>
      <c r="C879" s="81">
        <v>16</v>
      </c>
      <c r="D879" s="23" t="s">
        <v>1911</v>
      </c>
      <c r="H879" s="346">
        <v>20</v>
      </c>
      <c r="I879" s="21">
        <v>18.920159999999999</v>
      </c>
      <c r="J879" s="23" t="s">
        <v>400</v>
      </c>
      <c r="K879" s="21" t="s">
        <v>1912</v>
      </c>
      <c r="O879" s="347"/>
      <c r="R879" s="84" t="s">
        <v>380</v>
      </c>
      <c r="Y879" s="20">
        <f t="shared" si="39"/>
        <v>1</v>
      </c>
      <c r="AA879" s="98">
        <f t="shared" si="40"/>
        <v>1.0798400000000008</v>
      </c>
      <c r="AB879" s="98" t="e">
        <f t="shared" si="41"/>
        <v>#VALUE!</v>
      </c>
    </row>
    <row r="880" spans="1:28" ht="22.15" customHeight="1" x14ac:dyDescent="0.25">
      <c r="A880" s="21" t="s">
        <v>659</v>
      </c>
      <c r="B880" s="276" t="s">
        <v>1913</v>
      </c>
      <c r="C880" s="81">
        <v>12</v>
      </c>
      <c r="D880" s="23" t="s">
        <v>1914</v>
      </c>
      <c r="H880" s="346">
        <v>30.9</v>
      </c>
      <c r="I880" s="21">
        <v>30.52</v>
      </c>
      <c r="J880" s="23" t="s">
        <v>663</v>
      </c>
      <c r="K880" s="21" t="s">
        <v>1915</v>
      </c>
      <c r="O880" s="347"/>
      <c r="R880" s="84" t="s">
        <v>327</v>
      </c>
      <c r="Y880" s="20">
        <f t="shared" si="39"/>
        <v>1</v>
      </c>
      <c r="AA880" s="98">
        <f t="shared" si="40"/>
        <v>0.37999999999999901</v>
      </c>
      <c r="AB880" s="98" t="e">
        <f t="shared" si="41"/>
        <v>#VALUE!</v>
      </c>
    </row>
    <row r="881" spans="1:28" ht="22.15" customHeight="1" x14ac:dyDescent="0.25">
      <c r="A881" s="21" t="s">
        <v>659</v>
      </c>
      <c r="B881" s="276" t="s">
        <v>1916</v>
      </c>
      <c r="C881" s="81">
        <v>12</v>
      </c>
      <c r="D881" s="23" t="s">
        <v>1917</v>
      </c>
      <c r="H881" s="346">
        <v>30.9</v>
      </c>
      <c r="I881" s="21">
        <v>30.52</v>
      </c>
      <c r="J881" s="23" t="s">
        <v>663</v>
      </c>
      <c r="K881" s="21" t="s">
        <v>1918</v>
      </c>
      <c r="O881" s="347"/>
      <c r="R881" s="84" t="s">
        <v>327</v>
      </c>
      <c r="Y881" s="20">
        <f t="shared" si="39"/>
        <v>1</v>
      </c>
      <c r="AA881" s="98">
        <f t="shared" si="40"/>
        <v>0.37999999999999901</v>
      </c>
      <c r="AB881" s="98" t="e">
        <f t="shared" si="41"/>
        <v>#VALUE!</v>
      </c>
    </row>
    <row r="882" spans="1:28" ht="22.15" customHeight="1" x14ac:dyDescent="0.25">
      <c r="A882" s="21" t="s">
        <v>666</v>
      </c>
      <c r="B882" s="276" t="s">
        <v>1919</v>
      </c>
      <c r="C882" s="81">
        <v>18</v>
      </c>
      <c r="D882" s="23" t="s">
        <v>1920</v>
      </c>
      <c r="H882" s="346">
        <v>16.899999999999999</v>
      </c>
      <c r="I882" s="21">
        <v>16.54016</v>
      </c>
      <c r="J882" s="23" t="s">
        <v>663</v>
      </c>
      <c r="K882" s="21" t="s">
        <v>1921</v>
      </c>
      <c r="O882" s="347"/>
      <c r="R882" s="84">
        <v>18.899999999999999</v>
      </c>
      <c r="Y882" s="20">
        <f t="shared" si="39"/>
        <v>1</v>
      </c>
      <c r="AA882" s="98">
        <f t="shared" si="40"/>
        <v>0.35983999999999838</v>
      </c>
      <c r="AB882" s="98">
        <f t="shared" si="41"/>
        <v>2</v>
      </c>
    </row>
    <row r="883" spans="1:28" ht="22.15" customHeight="1" x14ac:dyDescent="0.25">
      <c r="A883" s="21" t="s">
        <v>666</v>
      </c>
      <c r="B883" s="276" t="s">
        <v>1922</v>
      </c>
      <c r="C883" s="81">
        <v>18</v>
      </c>
      <c r="D883" s="23" t="s">
        <v>1923</v>
      </c>
      <c r="H883" s="346">
        <v>16.899999999999999</v>
      </c>
      <c r="I883" s="21">
        <v>16.54016</v>
      </c>
      <c r="J883" s="23" t="s">
        <v>663</v>
      </c>
      <c r="K883" s="21" t="s">
        <v>1924</v>
      </c>
      <c r="O883" s="347"/>
      <c r="R883" s="84">
        <v>18.899999999999999</v>
      </c>
      <c r="Y883" s="20">
        <f t="shared" si="39"/>
        <v>1</v>
      </c>
      <c r="AA883" s="98">
        <f t="shared" si="40"/>
        <v>0.35983999999999838</v>
      </c>
      <c r="AB883" s="98">
        <f t="shared" si="41"/>
        <v>2</v>
      </c>
    </row>
    <row r="884" spans="1:28" ht="22.15" customHeight="1" x14ac:dyDescent="0.25">
      <c r="A884" s="21" t="s">
        <v>666</v>
      </c>
      <c r="B884" s="276" t="s">
        <v>1925</v>
      </c>
      <c r="C884" s="81">
        <v>18</v>
      </c>
      <c r="D884" s="23" t="s">
        <v>1926</v>
      </c>
      <c r="H884" s="346">
        <v>16.899999999999999</v>
      </c>
      <c r="I884" s="21">
        <v>16.54016</v>
      </c>
      <c r="J884" s="23" t="s">
        <v>663</v>
      </c>
      <c r="K884" s="21" t="s">
        <v>1927</v>
      </c>
      <c r="O884" s="347"/>
      <c r="R884" s="84">
        <v>18.899999999999999</v>
      </c>
      <c r="Y884" s="20">
        <f t="shared" si="39"/>
        <v>1</v>
      </c>
      <c r="AA884" s="98">
        <f t="shared" si="40"/>
        <v>0.35983999999999838</v>
      </c>
      <c r="AB884" s="98">
        <f t="shared" si="41"/>
        <v>2</v>
      </c>
    </row>
    <row r="885" spans="1:28" ht="22.15" customHeight="1" x14ac:dyDescent="0.25">
      <c r="A885" s="21" t="s">
        <v>666</v>
      </c>
      <c r="B885" s="276" t="s">
        <v>1928</v>
      </c>
      <c r="C885" s="81">
        <v>18</v>
      </c>
      <c r="D885" s="23" t="s">
        <v>1929</v>
      </c>
      <c r="H885" s="346">
        <v>16.899999999999999</v>
      </c>
      <c r="I885" s="21">
        <v>16.54016</v>
      </c>
      <c r="J885" s="23" t="s">
        <v>663</v>
      </c>
      <c r="K885" s="21" t="s">
        <v>1930</v>
      </c>
      <c r="O885" s="347"/>
      <c r="R885" s="84">
        <v>18.899999999999999</v>
      </c>
      <c r="Y885" s="20">
        <f t="shared" si="39"/>
        <v>1</v>
      </c>
      <c r="AA885" s="98">
        <f t="shared" si="40"/>
        <v>0.35983999999999838</v>
      </c>
      <c r="AB885" s="98">
        <f t="shared" si="41"/>
        <v>2</v>
      </c>
    </row>
    <row r="886" spans="1:28" ht="22.15" customHeight="1" x14ac:dyDescent="0.25">
      <c r="A886" s="21" t="s">
        <v>666</v>
      </c>
      <c r="B886" s="276" t="s">
        <v>1931</v>
      </c>
      <c r="C886" s="81">
        <v>18</v>
      </c>
      <c r="D886" s="23" t="s">
        <v>1932</v>
      </c>
      <c r="H886" s="346">
        <v>16.899999999999999</v>
      </c>
      <c r="I886" s="21">
        <v>16.54016</v>
      </c>
      <c r="J886" s="23" t="s">
        <v>663</v>
      </c>
      <c r="K886" s="21" t="s">
        <v>1933</v>
      </c>
      <c r="O886" s="347"/>
      <c r="R886" s="84">
        <v>18.899999999999999</v>
      </c>
      <c r="Y886" s="20">
        <f t="shared" si="39"/>
        <v>1</v>
      </c>
      <c r="AA886" s="98">
        <f t="shared" si="40"/>
        <v>0.35983999999999838</v>
      </c>
      <c r="AB886" s="98">
        <f t="shared" si="41"/>
        <v>2</v>
      </c>
    </row>
    <row r="887" spans="1:28" ht="22.15" customHeight="1" x14ac:dyDescent="0.25">
      <c r="A887" s="21" t="s">
        <v>666</v>
      </c>
      <c r="B887" s="276" t="s">
        <v>1934</v>
      </c>
      <c r="C887" s="81">
        <v>10</v>
      </c>
      <c r="D887" s="23" t="s">
        <v>1935</v>
      </c>
      <c r="H887" s="346">
        <v>22.9</v>
      </c>
      <c r="I887" s="21">
        <v>21.7896</v>
      </c>
      <c r="J887" s="23" t="s">
        <v>663</v>
      </c>
      <c r="K887" s="21" t="s">
        <v>1936</v>
      </c>
      <c r="O887" s="347"/>
      <c r="R887" s="84" t="s">
        <v>371</v>
      </c>
      <c r="Y887" s="20">
        <f t="shared" si="39"/>
        <v>1</v>
      </c>
      <c r="AA887" s="98">
        <f t="shared" si="40"/>
        <v>1.1103999999999985</v>
      </c>
      <c r="AB887" s="98" t="e">
        <f t="shared" si="41"/>
        <v>#VALUE!</v>
      </c>
    </row>
    <row r="888" spans="1:28" ht="22.15" customHeight="1" x14ac:dyDescent="0.25">
      <c r="A888" s="21" t="s">
        <v>666</v>
      </c>
      <c r="B888" s="276" t="s">
        <v>1937</v>
      </c>
      <c r="C888" s="81">
        <v>10</v>
      </c>
      <c r="D888" s="23" t="s">
        <v>1938</v>
      </c>
      <c r="H888" s="346">
        <v>22.9</v>
      </c>
      <c r="I888" s="21">
        <v>21.7896</v>
      </c>
      <c r="J888" s="23" t="s">
        <v>663</v>
      </c>
      <c r="K888" s="21" t="s">
        <v>1939</v>
      </c>
      <c r="O888" s="347"/>
      <c r="R888" s="84" t="s">
        <v>371</v>
      </c>
      <c r="Y888" s="20">
        <f t="shared" si="39"/>
        <v>1</v>
      </c>
      <c r="AA888" s="98">
        <f t="shared" si="40"/>
        <v>1.1103999999999985</v>
      </c>
      <c r="AB888" s="98" t="e">
        <f t="shared" si="41"/>
        <v>#VALUE!</v>
      </c>
    </row>
    <row r="889" spans="1:28" ht="22.15" customHeight="1" x14ac:dyDescent="0.25">
      <c r="A889" s="21" t="s">
        <v>682</v>
      </c>
      <c r="B889" s="276" t="s">
        <v>1940</v>
      </c>
      <c r="C889" s="81">
        <v>36</v>
      </c>
      <c r="D889" s="23" t="s">
        <v>1941</v>
      </c>
      <c r="H889" s="346">
        <v>10.5</v>
      </c>
      <c r="I889" s="21">
        <v>9.9702400000000004</v>
      </c>
      <c r="J889" s="23" t="s">
        <v>663</v>
      </c>
      <c r="K889" s="21" t="s">
        <v>1942</v>
      </c>
      <c r="O889" s="347"/>
      <c r="R889" s="84" t="s">
        <v>687</v>
      </c>
      <c r="Y889" s="20">
        <f t="shared" si="39"/>
        <v>1</v>
      </c>
      <c r="AA889" s="98">
        <f t="shared" si="40"/>
        <v>0.52975999999999956</v>
      </c>
      <c r="AB889" s="98" t="e">
        <f t="shared" si="41"/>
        <v>#VALUE!</v>
      </c>
    </row>
    <row r="890" spans="1:28" ht="22.15" customHeight="1" x14ac:dyDescent="0.25">
      <c r="A890" s="21" t="s">
        <v>682</v>
      </c>
      <c r="B890" s="276" t="s">
        <v>1943</v>
      </c>
      <c r="C890" s="81">
        <v>36</v>
      </c>
      <c r="D890" s="23" t="s">
        <v>1944</v>
      </c>
      <c r="H890" s="346">
        <v>10.5</v>
      </c>
      <c r="I890" s="21">
        <v>9.9702400000000004</v>
      </c>
      <c r="J890" s="23" t="s">
        <v>663</v>
      </c>
      <c r="K890" s="21" t="s">
        <v>1945</v>
      </c>
      <c r="O890" s="347"/>
      <c r="R890" s="84" t="s">
        <v>687</v>
      </c>
      <c r="Y890" s="20">
        <f t="shared" si="39"/>
        <v>1</v>
      </c>
      <c r="AA890" s="98">
        <f t="shared" si="40"/>
        <v>0.52975999999999956</v>
      </c>
      <c r="AB890" s="98" t="e">
        <f t="shared" si="41"/>
        <v>#VALUE!</v>
      </c>
    </row>
    <row r="891" spans="1:28" ht="22.15" customHeight="1" x14ac:dyDescent="0.25">
      <c r="A891" s="21" t="s">
        <v>103</v>
      </c>
      <c r="B891" s="276" t="s">
        <v>1946</v>
      </c>
      <c r="C891" s="81">
        <v>24</v>
      </c>
      <c r="D891" s="23" t="s">
        <v>1947</v>
      </c>
      <c r="H891" s="346">
        <v>36.9</v>
      </c>
      <c r="I891" s="21">
        <v>36.299999999999997</v>
      </c>
      <c r="J891" s="23" t="s">
        <v>109</v>
      </c>
      <c r="K891" s="21" t="s">
        <v>1948</v>
      </c>
      <c r="O891" s="347"/>
      <c r="R891" s="84" t="s">
        <v>111</v>
      </c>
      <c r="Y891" s="20">
        <f t="shared" si="39"/>
        <v>1</v>
      </c>
      <c r="AA891" s="98">
        <f t="shared" si="40"/>
        <v>0.60000000000000142</v>
      </c>
      <c r="AB891" s="98" t="e">
        <f t="shared" si="41"/>
        <v>#VALUE!</v>
      </c>
    </row>
    <row r="892" spans="1:28" ht="22.15" customHeight="1" x14ac:dyDescent="0.25">
      <c r="A892" s="21" t="s">
        <v>103</v>
      </c>
      <c r="B892" s="276" t="s">
        <v>1949</v>
      </c>
      <c r="C892" s="81">
        <v>24</v>
      </c>
      <c r="D892" s="23" t="s">
        <v>1950</v>
      </c>
      <c r="H892" s="346">
        <v>36.9</v>
      </c>
      <c r="I892" s="21">
        <v>36.299999999999997</v>
      </c>
      <c r="J892" s="23" t="s">
        <v>109</v>
      </c>
      <c r="K892" s="21" t="s">
        <v>1951</v>
      </c>
      <c r="O892" s="347"/>
      <c r="R892" s="84" t="s">
        <v>111</v>
      </c>
      <c r="Y892" s="20">
        <f t="shared" si="39"/>
        <v>1</v>
      </c>
      <c r="AA892" s="98">
        <f t="shared" si="40"/>
        <v>0.60000000000000142</v>
      </c>
      <c r="AB892" s="98" t="e">
        <f t="shared" si="41"/>
        <v>#VALUE!</v>
      </c>
    </row>
    <row r="893" spans="1:28" ht="22.15" customHeight="1" x14ac:dyDescent="0.25">
      <c r="A893" s="21" t="s">
        <v>103</v>
      </c>
      <c r="B893" s="276" t="s">
        <v>1952</v>
      </c>
      <c r="C893" s="81">
        <v>24</v>
      </c>
      <c r="D893" s="23" t="s">
        <v>1953</v>
      </c>
      <c r="H893" s="346">
        <v>36.9</v>
      </c>
      <c r="I893" s="21">
        <v>36.299999999999997</v>
      </c>
      <c r="J893" s="23" t="s">
        <v>109</v>
      </c>
      <c r="K893" s="21" t="s">
        <v>1954</v>
      </c>
      <c r="O893" s="347"/>
      <c r="R893" s="84" t="s">
        <v>111</v>
      </c>
      <c r="Y893" s="20">
        <f t="shared" si="39"/>
        <v>1</v>
      </c>
      <c r="AA893" s="98">
        <f t="shared" si="40"/>
        <v>0.60000000000000142</v>
      </c>
      <c r="AB893" s="98" t="e">
        <f t="shared" si="41"/>
        <v>#VALUE!</v>
      </c>
    </row>
    <row r="894" spans="1:28" ht="22.15" customHeight="1" x14ac:dyDescent="0.25">
      <c r="A894" s="21" t="s">
        <v>103</v>
      </c>
      <c r="B894" s="276" t="s">
        <v>1955</v>
      </c>
      <c r="C894" s="81">
        <v>24</v>
      </c>
      <c r="D894" s="23" t="s">
        <v>1956</v>
      </c>
      <c r="H894" s="346">
        <v>36.9</v>
      </c>
      <c r="I894" s="21">
        <v>36.299999999999997</v>
      </c>
      <c r="J894" s="23" t="s">
        <v>109</v>
      </c>
      <c r="K894" s="21" t="s">
        <v>1957</v>
      </c>
      <c r="O894" s="347"/>
      <c r="R894" s="84" t="s">
        <v>111</v>
      </c>
      <c r="Y894" s="20">
        <f t="shared" si="39"/>
        <v>1</v>
      </c>
      <c r="AA894" s="98">
        <f t="shared" si="40"/>
        <v>0.60000000000000142</v>
      </c>
      <c r="AB894" s="98" t="e">
        <f t="shared" si="41"/>
        <v>#VALUE!</v>
      </c>
    </row>
    <row r="895" spans="1:28" ht="22.15" customHeight="1" x14ac:dyDescent="0.25">
      <c r="A895" s="21" t="s">
        <v>103</v>
      </c>
      <c r="B895" s="276" t="s">
        <v>1958</v>
      </c>
      <c r="C895" s="81">
        <v>24</v>
      </c>
      <c r="D895" s="23" t="s">
        <v>1959</v>
      </c>
      <c r="H895" s="346">
        <v>36.9</v>
      </c>
      <c r="I895" s="21">
        <v>36.299999999999997</v>
      </c>
      <c r="J895" s="23" t="s">
        <v>109</v>
      </c>
      <c r="K895" s="21" t="s">
        <v>1960</v>
      </c>
      <c r="O895" s="347"/>
      <c r="R895" s="84" t="s">
        <v>111</v>
      </c>
      <c r="Y895" s="20">
        <f t="shared" si="39"/>
        <v>1</v>
      </c>
      <c r="AA895" s="98">
        <f t="shared" si="40"/>
        <v>0.60000000000000142</v>
      </c>
      <c r="AB895" s="98" t="e">
        <f t="shared" si="41"/>
        <v>#VALUE!</v>
      </c>
    </row>
    <row r="896" spans="1:28" ht="22.15" customHeight="1" x14ac:dyDescent="0.25">
      <c r="A896" s="21" t="s">
        <v>103</v>
      </c>
      <c r="B896" s="276" t="s">
        <v>1961</v>
      </c>
      <c r="C896" s="81">
        <v>24</v>
      </c>
      <c r="D896" s="23" t="s">
        <v>1962</v>
      </c>
      <c r="H896" s="346">
        <v>36.9</v>
      </c>
      <c r="I896" s="21">
        <v>36.299999999999997</v>
      </c>
      <c r="J896" s="23" t="s">
        <v>109</v>
      </c>
      <c r="K896" s="21" t="s">
        <v>1963</v>
      </c>
      <c r="O896" s="347"/>
      <c r="R896" s="84" t="s">
        <v>111</v>
      </c>
      <c r="Y896" s="20">
        <f t="shared" si="39"/>
        <v>1</v>
      </c>
      <c r="AA896" s="98">
        <f t="shared" si="40"/>
        <v>0.60000000000000142</v>
      </c>
      <c r="AB896" s="98" t="e">
        <f t="shared" si="41"/>
        <v>#VALUE!</v>
      </c>
    </row>
    <row r="897" spans="1:28" ht="22.15" customHeight="1" x14ac:dyDescent="0.25">
      <c r="A897" s="21" t="s">
        <v>103</v>
      </c>
      <c r="B897" s="276" t="s">
        <v>1964</v>
      </c>
      <c r="C897" s="81">
        <v>24</v>
      </c>
      <c r="D897" s="23" t="s">
        <v>1965</v>
      </c>
      <c r="H897" s="346">
        <v>36.9</v>
      </c>
      <c r="I897" s="21">
        <v>36.299999999999997</v>
      </c>
      <c r="J897" s="23" t="s">
        <v>109</v>
      </c>
      <c r="K897" s="21" t="s">
        <v>1966</v>
      </c>
      <c r="O897" s="347"/>
      <c r="R897" s="84" t="s">
        <v>111</v>
      </c>
      <c r="Y897" s="20">
        <f t="shared" si="39"/>
        <v>1</v>
      </c>
      <c r="AA897" s="98">
        <f t="shared" si="40"/>
        <v>0.60000000000000142</v>
      </c>
      <c r="AB897" s="98" t="e">
        <f t="shared" si="41"/>
        <v>#VALUE!</v>
      </c>
    </row>
    <row r="898" spans="1:28" ht="22.15" customHeight="1" x14ac:dyDescent="0.25">
      <c r="A898" s="21" t="s">
        <v>815</v>
      </c>
      <c r="B898" s="276" t="s">
        <v>1967</v>
      </c>
      <c r="C898" s="81">
        <v>12</v>
      </c>
      <c r="D898" s="23" t="s">
        <v>1968</v>
      </c>
      <c r="H898" s="346">
        <v>16.899999999999999</v>
      </c>
      <c r="I898" s="21">
        <v>16.17952</v>
      </c>
      <c r="J898" s="23" t="s">
        <v>1969</v>
      </c>
      <c r="K898" s="21" t="s">
        <v>1970</v>
      </c>
      <c r="O898" s="347"/>
      <c r="R898" s="84">
        <v>18.899999999999999</v>
      </c>
      <c r="Y898" s="20">
        <f t="shared" si="39"/>
        <v>1</v>
      </c>
      <c r="AA898" s="98">
        <f t="shared" si="40"/>
        <v>0.72047999999999845</v>
      </c>
      <c r="AB898" s="98">
        <f t="shared" si="41"/>
        <v>2</v>
      </c>
    </row>
    <row r="899" spans="1:28" ht="22.15" customHeight="1" x14ac:dyDescent="0.25">
      <c r="A899" s="21" t="s">
        <v>815</v>
      </c>
      <c r="B899" s="276" t="s">
        <v>1971</v>
      </c>
      <c r="C899" s="81">
        <v>10</v>
      </c>
      <c r="D899" s="23" t="s">
        <v>1972</v>
      </c>
      <c r="H899" s="346">
        <v>16.899999999999999</v>
      </c>
      <c r="I899" s="21">
        <v>16.17952</v>
      </c>
      <c r="J899" s="23" t="s">
        <v>1969</v>
      </c>
      <c r="K899" s="21" t="s">
        <v>1973</v>
      </c>
      <c r="O899" s="347"/>
      <c r="R899" s="84">
        <v>18.899999999999999</v>
      </c>
      <c r="Y899" s="20">
        <f t="shared" si="39"/>
        <v>1</v>
      </c>
      <c r="AA899" s="98">
        <f t="shared" si="40"/>
        <v>0.72047999999999845</v>
      </c>
      <c r="AB899" s="98">
        <f t="shared" si="41"/>
        <v>2</v>
      </c>
    </row>
    <row r="900" spans="1:28" ht="22.15" customHeight="1" x14ac:dyDescent="0.25">
      <c r="A900" s="21" t="s">
        <v>815</v>
      </c>
      <c r="B900" s="276" t="s">
        <v>1974</v>
      </c>
      <c r="C900" s="81">
        <v>12</v>
      </c>
      <c r="D900" s="23" t="s">
        <v>1975</v>
      </c>
      <c r="H900" s="346">
        <v>16.899999999999999</v>
      </c>
      <c r="I900" s="21">
        <v>16.17952</v>
      </c>
      <c r="J900" s="23" t="s">
        <v>1969</v>
      </c>
      <c r="K900" s="21" t="s">
        <v>1976</v>
      </c>
      <c r="O900" s="347"/>
      <c r="R900" s="84">
        <v>18.899999999999999</v>
      </c>
      <c r="Y900" s="20">
        <f t="shared" si="39"/>
        <v>1</v>
      </c>
      <c r="AA900" s="98">
        <f t="shared" si="40"/>
        <v>0.72047999999999845</v>
      </c>
      <c r="AB900" s="98">
        <f t="shared" si="41"/>
        <v>2</v>
      </c>
    </row>
    <row r="901" spans="1:28" ht="22.15" customHeight="1" x14ac:dyDescent="0.25">
      <c r="A901" s="21" t="s">
        <v>815</v>
      </c>
      <c r="B901" s="276" t="s">
        <v>1977</v>
      </c>
      <c r="C901" s="81">
        <v>10</v>
      </c>
      <c r="D901" s="23" t="s">
        <v>1978</v>
      </c>
      <c r="H901" s="346">
        <v>16.899999999999999</v>
      </c>
      <c r="I901" s="21">
        <v>16.17952</v>
      </c>
      <c r="J901" s="23" t="s">
        <v>1969</v>
      </c>
      <c r="K901" s="21" t="s">
        <v>1979</v>
      </c>
      <c r="O901" s="347"/>
      <c r="R901" s="84">
        <v>18.899999999999999</v>
      </c>
      <c r="Y901" s="20">
        <f t="shared" si="39"/>
        <v>1</v>
      </c>
      <c r="AA901" s="98">
        <f t="shared" si="40"/>
        <v>0.72047999999999845</v>
      </c>
      <c r="AB901" s="98">
        <f t="shared" si="41"/>
        <v>2</v>
      </c>
    </row>
    <row r="902" spans="1:28" ht="22.15" customHeight="1" x14ac:dyDescent="0.25">
      <c r="A902" s="21" t="s">
        <v>815</v>
      </c>
      <c r="B902" s="276" t="s">
        <v>1980</v>
      </c>
      <c r="C902" s="81">
        <v>12</v>
      </c>
      <c r="D902" s="23" t="s">
        <v>1981</v>
      </c>
      <c r="H902" s="346">
        <v>16.899999999999999</v>
      </c>
      <c r="I902" s="21">
        <v>16.17952</v>
      </c>
      <c r="J902" s="23" t="s">
        <v>1969</v>
      </c>
      <c r="K902" s="21" t="s">
        <v>1982</v>
      </c>
      <c r="O902" s="347"/>
      <c r="R902" s="84">
        <v>18.899999999999999</v>
      </c>
      <c r="Y902" s="20">
        <f t="shared" si="39"/>
        <v>1</v>
      </c>
      <c r="AA902" s="98">
        <f t="shared" si="40"/>
        <v>0.72047999999999845</v>
      </c>
      <c r="AB902" s="98">
        <f t="shared" si="41"/>
        <v>2</v>
      </c>
    </row>
    <row r="903" spans="1:28" ht="22.15" customHeight="1" x14ac:dyDescent="0.25">
      <c r="A903" s="21" t="s">
        <v>815</v>
      </c>
      <c r="B903" s="276" t="s">
        <v>1983</v>
      </c>
      <c r="C903" s="81">
        <v>12</v>
      </c>
      <c r="D903" s="23" t="s">
        <v>1984</v>
      </c>
      <c r="H903" s="346">
        <v>16.899999999999999</v>
      </c>
      <c r="I903" s="21">
        <v>16.17952</v>
      </c>
      <c r="J903" s="23" t="s">
        <v>1969</v>
      </c>
      <c r="K903" s="21" t="s">
        <v>1985</v>
      </c>
      <c r="O903" s="347"/>
      <c r="R903" s="84">
        <v>18.899999999999999</v>
      </c>
      <c r="Y903" s="20">
        <f t="shared" ref="Y903:Y966" si="42">COUNTIF(K:K,K903)</f>
        <v>1</v>
      </c>
      <c r="AA903" s="98">
        <f t="shared" si="40"/>
        <v>0.72047999999999845</v>
      </c>
      <c r="AB903" s="98">
        <f t="shared" si="41"/>
        <v>2</v>
      </c>
    </row>
    <row r="904" spans="1:28" ht="22.15" customHeight="1" x14ac:dyDescent="0.25">
      <c r="A904" s="21" t="s">
        <v>815</v>
      </c>
      <c r="B904" s="276" t="s">
        <v>1986</v>
      </c>
      <c r="C904" s="81">
        <v>10</v>
      </c>
      <c r="D904" s="23" t="s">
        <v>1987</v>
      </c>
      <c r="H904" s="346">
        <v>16.899999999999999</v>
      </c>
      <c r="I904" s="21">
        <v>16.17952</v>
      </c>
      <c r="J904" s="23" t="s">
        <v>1969</v>
      </c>
      <c r="K904" s="21" t="s">
        <v>1988</v>
      </c>
      <c r="O904" s="347"/>
      <c r="R904" s="84">
        <v>18.899999999999999</v>
      </c>
      <c r="Y904" s="20">
        <f t="shared" si="42"/>
        <v>1</v>
      </c>
      <c r="AA904" s="98">
        <f t="shared" si="40"/>
        <v>0.72047999999999845</v>
      </c>
      <c r="AB904" s="98">
        <f t="shared" si="41"/>
        <v>2</v>
      </c>
    </row>
    <row r="905" spans="1:28" ht="22.15" customHeight="1" x14ac:dyDescent="0.25">
      <c r="A905" s="21" t="s">
        <v>815</v>
      </c>
      <c r="B905" s="276" t="s">
        <v>1989</v>
      </c>
      <c r="C905" s="81">
        <v>12</v>
      </c>
      <c r="D905" s="23" t="s">
        <v>1990</v>
      </c>
      <c r="H905" s="346">
        <v>16.899999999999999</v>
      </c>
      <c r="I905" s="21">
        <v>16.17952</v>
      </c>
      <c r="J905" s="23" t="s">
        <v>1969</v>
      </c>
      <c r="K905" s="21" t="s">
        <v>1991</v>
      </c>
      <c r="O905" s="347"/>
      <c r="R905" s="84">
        <v>18.899999999999999</v>
      </c>
      <c r="Y905" s="20">
        <f t="shared" si="42"/>
        <v>1</v>
      </c>
      <c r="AA905" s="98">
        <f t="shared" si="40"/>
        <v>0.72047999999999845</v>
      </c>
      <c r="AB905" s="98">
        <f t="shared" si="41"/>
        <v>2</v>
      </c>
    </row>
    <row r="906" spans="1:28" ht="22.15" customHeight="1" x14ac:dyDescent="0.25">
      <c r="A906" s="21" t="s">
        <v>815</v>
      </c>
      <c r="B906" s="276" t="s">
        <v>1992</v>
      </c>
      <c r="C906" s="81">
        <v>12</v>
      </c>
      <c r="D906" s="23" t="s">
        <v>1993</v>
      </c>
      <c r="H906" s="346">
        <v>16.899999999999999</v>
      </c>
      <c r="I906" s="21">
        <v>16.17952</v>
      </c>
      <c r="J906" s="23" t="s">
        <v>1969</v>
      </c>
      <c r="K906" s="21" t="s">
        <v>1994</v>
      </c>
      <c r="O906" s="347"/>
      <c r="R906" s="84">
        <v>18.899999999999999</v>
      </c>
      <c r="Y906" s="20">
        <f t="shared" si="42"/>
        <v>1</v>
      </c>
      <c r="AA906" s="98">
        <f t="shared" si="40"/>
        <v>0.72047999999999845</v>
      </c>
      <c r="AB906" s="98">
        <f t="shared" si="41"/>
        <v>2</v>
      </c>
    </row>
    <row r="907" spans="1:28" ht="22.15" customHeight="1" x14ac:dyDescent="0.25">
      <c r="A907" s="21" t="s">
        <v>815</v>
      </c>
      <c r="B907" s="276" t="s">
        <v>1995</v>
      </c>
      <c r="C907" s="81">
        <v>12</v>
      </c>
      <c r="D907" s="23" t="s">
        <v>1996</v>
      </c>
      <c r="H907" s="346">
        <v>16.899999999999999</v>
      </c>
      <c r="I907" s="21">
        <v>16.17952</v>
      </c>
      <c r="J907" s="23" t="s">
        <v>1969</v>
      </c>
      <c r="K907" s="21" t="s">
        <v>1997</v>
      </c>
      <c r="O907" s="347"/>
      <c r="R907" s="84">
        <v>18.899999999999999</v>
      </c>
      <c r="Y907" s="20">
        <f t="shared" si="42"/>
        <v>1</v>
      </c>
      <c r="AA907" s="98">
        <f t="shared" si="40"/>
        <v>0.72047999999999845</v>
      </c>
      <c r="AB907" s="98">
        <f t="shared" si="41"/>
        <v>2</v>
      </c>
    </row>
    <row r="908" spans="1:28" ht="22.15" customHeight="1" x14ac:dyDescent="0.25">
      <c r="A908" s="21" t="s">
        <v>328</v>
      </c>
      <c r="B908" s="276" t="s">
        <v>1998</v>
      </c>
      <c r="C908" s="81">
        <v>6</v>
      </c>
      <c r="D908" s="23" t="s">
        <v>1999</v>
      </c>
      <c r="H908" s="346">
        <v>47.9</v>
      </c>
      <c r="I908" s="21">
        <v>50.290239999999997</v>
      </c>
      <c r="J908" s="23" t="s">
        <v>766</v>
      </c>
      <c r="K908" s="21" t="s">
        <v>2000</v>
      </c>
      <c r="O908" s="347"/>
      <c r="R908" s="84">
        <v>50.9</v>
      </c>
      <c r="Y908" s="20">
        <f t="shared" si="42"/>
        <v>1</v>
      </c>
      <c r="AA908" s="98">
        <f t="shared" si="40"/>
        <v>-2.3902399999999986</v>
      </c>
      <c r="AB908" s="98">
        <f t="shared" si="41"/>
        <v>3</v>
      </c>
    </row>
    <row r="909" spans="1:28" ht="22.15" customHeight="1" x14ac:dyDescent="0.25">
      <c r="A909" s="21" t="s">
        <v>328</v>
      </c>
      <c r="B909" s="276" t="s">
        <v>2001</v>
      </c>
      <c r="C909" s="81">
        <v>6</v>
      </c>
      <c r="D909" s="23" t="s">
        <v>2002</v>
      </c>
      <c r="H909" s="346">
        <v>47.9</v>
      </c>
      <c r="I909" s="21">
        <v>40.880000000000003</v>
      </c>
      <c r="J909" s="23" t="s">
        <v>766</v>
      </c>
      <c r="K909" s="21" t="s">
        <v>2003</v>
      </c>
      <c r="O909" s="347"/>
      <c r="R909" s="84">
        <v>50.9</v>
      </c>
      <c r="Y909" s="20">
        <f t="shared" si="42"/>
        <v>1</v>
      </c>
      <c r="AA909" s="98">
        <f t="shared" si="40"/>
        <v>7.019999999999996</v>
      </c>
      <c r="AB909" s="98">
        <f t="shared" si="41"/>
        <v>3</v>
      </c>
    </row>
    <row r="910" spans="1:28" ht="22.15" customHeight="1" x14ac:dyDescent="0.25">
      <c r="A910" s="21" t="s">
        <v>328</v>
      </c>
      <c r="B910" s="276" t="s">
        <v>2004</v>
      </c>
      <c r="C910" s="81">
        <v>6</v>
      </c>
      <c r="D910" s="23" t="s">
        <v>2005</v>
      </c>
      <c r="H910" s="346">
        <v>47.9</v>
      </c>
      <c r="I910" s="21">
        <v>40.880000000000003</v>
      </c>
      <c r="J910" s="23" t="s">
        <v>766</v>
      </c>
      <c r="K910" s="21" t="s">
        <v>2006</v>
      </c>
      <c r="O910" s="347"/>
      <c r="R910" s="84">
        <v>50.9</v>
      </c>
      <c r="Y910" s="20">
        <f t="shared" si="42"/>
        <v>1</v>
      </c>
      <c r="AA910" s="98">
        <f t="shared" si="40"/>
        <v>7.019999999999996</v>
      </c>
      <c r="AB910" s="98">
        <f t="shared" si="41"/>
        <v>3</v>
      </c>
    </row>
    <row r="911" spans="1:28" ht="22.15" customHeight="1" x14ac:dyDescent="0.25">
      <c r="A911" s="21" t="s">
        <v>328</v>
      </c>
      <c r="B911" s="276" t="s">
        <v>2007</v>
      </c>
      <c r="C911" s="81">
        <v>6</v>
      </c>
      <c r="D911" s="23" t="s">
        <v>2008</v>
      </c>
      <c r="H911" s="346">
        <v>47.9</v>
      </c>
      <c r="I911" s="21">
        <v>40.880000000000003</v>
      </c>
      <c r="J911" s="23" t="s">
        <v>766</v>
      </c>
      <c r="K911" s="21" t="s">
        <v>2009</v>
      </c>
      <c r="O911" s="347"/>
      <c r="R911" s="84">
        <v>50.9</v>
      </c>
      <c r="Y911" s="20">
        <f t="shared" si="42"/>
        <v>1</v>
      </c>
      <c r="AA911" s="98">
        <f t="shared" si="40"/>
        <v>7.019999999999996</v>
      </c>
      <c r="AB911" s="98">
        <f t="shared" si="41"/>
        <v>3</v>
      </c>
    </row>
    <row r="912" spans="1:28" ht="22.15" customHeight="1" x14ac:dyDescent="0.25">
      <c r="A912" s="21" t="s">
        <v>255</v>
      </c>
      <c r="B912" s="276" t="s">
        <v>2010</v>
      </c>
      <c r="C912" s="81">
        <v>30</v>
      </c>
      <c r="D912" s="23" t="s">
        <v>2011</v>
      </c>
      <c r="H912" s="346">
        <v>8.9</v>
      </c>
      <c r="I912" s="21">
        <v>7.9598399999999998</v>
      </c>
      <c r="J912" s="23" t="s">
        <v>755</v>
      </c>
      <c r="K912" s="21" t="s">
        <v>2012</v>
      </c>
      <c r="O912" s="347"/>
      <c r="R912" s="84" t="s">
        <v>779</v>
      </c>
      <c r="Y912" s="20">
        <f t="shared" si="42"/>
        <v>1</v>
      </c>
      <c r="AA912" s="98">
        <f t="shared" si="40"/>
        <v>0.94016000000000055</v>
      </c>
      <c r="AB912" s="98" t="e">
        <f t="shared" si="41"/>
        <v>#VALUE!</v>
      </c>
    </row>
    <row r="913" spans="1:28" ht="22.15" customHeight="1" x14ac:dyDescent="0.25">
      <c r="A913" s="21" t="s">
        <v>255</v>
      </c>
      <c r="B913" s="276" t="s">
        <v>2013</v>
      </c>
      <c r="C913" s="81">
        <v>24</v>
      </c>
      <c r="D913" s="23" t="s">
        <v>2014</v>
      </c>
      <c r="H913" s="346">
        <v>8.9</v>
      </c>
      <c r="I913" s="21">
        <v>7.9598399999999998</v>
      </c>
      <c r="J913" s="23" t="s">
        <v>755</v>
      </c>
      <c r="K913" s="21" t="s">
        <v>2015</v>
      </c>
      <c r="O913" s="347"/>
      <c r="R913" s="84" t="s">
        <v>779</v>
      </c>
      <c r="Y913" s="20">
        <f t="shared" si="42"/>
        <v>1</v>
      </c>
      <c r="AA913" s="98">
        <f t="shared" si="40"/>
        <v>0.94016000000000055</v>
      </c>
      <c r="AB913" s="98" t="e">
        <f t="shared" si="41"/>
        <v>#VALUE!</v>
      </c>
    </row>
    <row r="914" spans="1:28" ht="22.15" customHeight="1" x14ac:dyDescent="0.25">
      <c r="A914" s="21" t="s">
        <v>2016</v>
      </c>
      <c r="B914" s="276" t="s">
        <v>2017</v>
      </c>
      <c r="C914" s="81">
        <v>24</v>
      </c>
      <c r="D914" s="23" t="s">
        <v>2018</v>
      </c>
      <c r="H914" s="346">
        <v>8.9</v>
      </c>
      <c r="I914" s="21">
        <v>8.5601599999999998</v>
      </c>
      <c r="J914" s="23" t="s">
        <v>755</v>
      </c>
      <c r="K914" s="21" t="s">
        <v>2019</v>
      </c>
      <c r="O914" s="347"/>
      <c r="R914" s="84" t="s">
        <v>779</v>
      </c>
      <c r="Y914" s="20">
        <f t="shared" si="42"/>
        <v>1</v>
      </c>
      <c r="AA914" s="98">
        <f t="shared" si="40"/>
        <v>0.33984000000000059</v>
      </c>
      <c r="AB914" s="98" t="e">
        <f t="shared" si="41"/>
        <v>#VALUE!</v>
      </c>
    </row>
    <row r="915" spans="1:28" ht="22.15" customHeight="1" x14ac:dyDescent="0.25">
      <c r="A915" s="21" t="s">
        <v>255</v>
      </c>
      <c r="B915" s="276" t="s">
        <v>2020</v>
      </c>
      <c r="C915" s="81">
        <v>27</v>
      </c>
      <c r="D915" s="23" t="s">
        <v>2021</v>
      </c>
      <c r="H915" s="346">
        <v>8.9</v>
      </c>
      <c r="I915" s="21">
        <v>7.9598399999999998</v>
      </c>
      <c r="J915" s="23" t="s">
        <v>755</v>
      </c>
      <c r="K915" s="21" t="s">
        <v>2022</v>
      </c>
      <c r="O915" s="347"/>
      <c r="R915" s="84" t="s">
        <v>779</v>
      </c>
      <c r="Y915" s="20">
        <f t="shared" si="42"/>
        <v>1</v>
      </c>
      <c r="AA915" s="98">
        <f t="shared" si="40"/>
        <v>0.94016000000000055</v>
      </c>
      <c r="AB915" s="98" t="e">
        <f t="shared" si="41"/>
        <v>#VALUE!</v>
      </c>
    </row>
    <row r="916" spans="1:28" ht="22.15" customHeight="1" x14ac:dyDescent="0.25">
      <c r="A916" s="21" t="s">
        <v>255</v>
      </c>
      <c r="B916" s="276" t="s">
        <v>2023</v>
      </c>
      <c r="C916" s="81">
        <v>33</v>
      </c>
      <c r="D916" s="23" t="s">
        <v>2024</v>
      </c>
      <c r="H916" s="346">
        <v>8.9</v>
      </c>
      <c r="I916" s="21">
        <v>7.9598399999999998</v>
      </c>
      <c r="J916" s="23" t="s">
        <v>755</v>
      </c>
      <c r="K916" s="21" t="s">
        <v>2025</v>
      </c>
      <c r="O916" s="347"/>
      <c r="R916" s="84" t="s">
        <v>779</v>
      </c>
      <c r="Y916" s="20">
        <f t="shared" si="42"/>
        <v>1</v>
      </c>
      <c r="AA916" s="98">
        <f t="shared" si="40"/>
        <v>0.94016000000000055</v>
      </c>
      <c r="AB916" s="98" t="e">
        <f t="shared" si="41"/>
        <v>#VALUE!</v>
      </c>
    </row>
    <row r="917" spans="1:28" ht="22.15" customHeight="1" x14ac:dyDescent="0.25">
      <c r="A917" s="21" t="s">
        <v>255</v>
      </c>
      <c r="B917" s="276" t="s">
        <v>2026</v>
      </c>
      <c r="C917" s="81">
        <v>22</v>
      </c>
      <c r="D917" s="23" t="s">
        <v>2027</v>
      </c>
      <c r="H917" s="346">
        <v>8.9</v>
      </c>
      <c r="I917" s="21">
        <v>8.5601599999999998</v>
      </c>
      <c r="J917" s="23" t="s">
        <v>755</v>
      </c>
      <c r="K917" s="21" t="s">
        <v>2028</v>
      </c>
      <c r="O917" s="347"/>
      <c r="R917" s="84" t="s">
        <v>779</v>
      </c>
      <c r="Y917" s="20">
        <f t="shared" si="42"/>
        <v>1</v>
      </c>
      <c r="AA917" s="98">
        <f t="shared" si="40"/>
        <v>0.33984000000000059</v>
      </c>
      <c r="AB917" s="98" t="e">
        <f t="shared" si="41"/>
        <v>#VALUE!</v>
      </c>
    </row>
    <row r="918" spans="1:28" ht="22.15" customHeight="1" x14ac:dyDescent="0.25">
      <c r="A918" s="21" t="s">
        <v>255</v>
      </c>
      <c r="B918" s="276" t="s">
        <v>2029</v>
      </c>
      <c r="C918" s="81">
        <v>24</v>
      </c>
      <c r="D918" s="23" t="s">
        <v>2030</v>
      </c>
      <c r="H918" s="346">
        <v>8.9</v>
      </c>
      <c r="I918" s="21">
        <v>8.5601599999999998</v>
      </c>
      <c r="J918" s="23" t="s">
        <v>755</v>
      </c>
      <c r="K918" s="21" t="s">
        <v>2031</v>
      </c>
      <c r="O918" s="347"/>
      <c r="R918" s="84" t="s">
        <v>779</v>
      </c>
      <c r="Y918" s="20">
        <f t="shared" si="42"/>
        <v>1</v>
      </c>
      <c r="AA918" s="98">
        <f t="shared" si="40"/>
        <v>0.33984000000000059</v>
      </c>
      <c r="AB918" s="98" t="e">
        <f t="shared" si="41"/>
        <v>#VALUE!</v>
      </c>
    </row>
    <row r="919" spans="1:28" ht="22.15" customHeight="1" x14ac:dyDescent="0.25">
      <c r="A919" s="21" t="s">
        <v>255</v>
      </c>
      <c r="B919" s="276" t="s">
        <v>2032</v>
      </c>
      <c r="C919" s="81">
        <v>25</v>
      </c>
      <c r="D919" s="23" t="s">
        <v>2033</v>
      </c>
      <c r="H919" s="346">
        <v>8.9</v>
      </c>
      <c r="I919" s="21">
        <v>7.9598399999999998</v>
      </c>
      <c r="J919" s="23" t="s">
        <v>755</v>
      </c>
      <c r="K919" s="21" t="s">
        <v>2034</v>
      </c>
      <c r="O919" s="347"/>
      <c r="R919" s="84" t="s">
        <v>779</v>
      </c>
      <c r="Y919" s="20">
        <f t="shared" si="42"/>
        <v>1</v>
      </c>
      <c r="AA919" s="98">
        <f t="shared" si="40"/>
        <v>0.94016000000000055</v>
      </c>
      <c r="AB919" s="98" t="e">
        <f t="shared" si="41"/>
        <v>#VALUE!</v>
      </c>
    </row>
    <row r="920" spans="1:28" ht="22.15" customHeight="1" x14ac:dyDescent="0.25">
      <c r="A920" s="21" t="s">
        <v>255</v>
      </c>
      <c r="B920" s="276" t="s">
        <v>2035</v>
      </c>
      <c r="C920" s="81">
        <v>25</v>
      </c>
      <c r="D920" s="23" t="s">
        <v>2036</v>
      </c>
      <c r="H920" s="346">
        <v>8.9</v>
      </c>
      <c r="I920" s="21">
        <v>8.5601599999999998</v>
      </c>
      <c r="J920" s="23" t="s">
        <v>755</v>
      </c>
      <c r="K920" s="21" t="s">
        <v>2037</v>
      </c>
      <c r="O920" s="347"/>
      <c r="R920" s="84" t="s">
        <v>779</v>
      </c>
      <c r="Y920" s="20">
        <f t="shared" si="42"/>
        <v>1</v>
      </c>
      <c r="AA920" s="98">
        <f t="shared" si="40"/>
        <v>0.33984000000000059</v>
      </c>
      <c r="AB920" s="98" t="e">
        <f t="shared" si="41"/>
        <v>#VALUE!</v>
      </c>
    </row>
    <row r="921" spans="1:28" ht="22.15" customHeight="1" x14ac:dyDescent="0.25">
      <c r="A921" s="21" t="s">
        <v>255</v>
      </c>
      <c r="B921" s="276" t="s">
        <v>2038</v>
      </c>
      <c r="C921" s="81">
        <v>27</v>
      </c>
      <c r="D921" s="23" t="s">
        <v>2039</v>
      </c>
      <c r="H921" s="346">
        <v>8.9</v>
      </c>
      <c r="I921" s="21">
        <v>7.9598399999999998</v>
      </c>
      <c r="J921" s="23" t="s">
        <v>755</v>
      </c>
      <c r="K921" s="21" t="s">
        <v>2040</v>
      </c>
      <c r="O921" s="347"/>
      <c r="R921" s="84" t="s">
        <v>779</v>
      </c>
      <c r="Y921" s="20">
        <f t="shared" si="42"/>
        <v>1</v>
      </c>
      <c r="AA921" s="98">
        <f t="shared" si="40"/>
        <v>0.94016000000000055</v>
      </c>
      <c r="AB921" s="98" t="e">
        <f t="shared" si="41"/>
        <v>#VALUE!</v>
      </c>
    </row>
    <row r="922" spans="1:28" ht="22.15" customHeight="1" x14ac:dyDescent="0.25">
      <c r="A922" s="21" t="s">
        <v>255</v>
      </c>
      <c r="B922" s="276" t="s">
        <v>2041</v>
      </c>
      <c r="C922" s="81">
        <v>24</v>
      </c>
      <c r="D922" s="23" t="s">
        <v>2042</v>
      </c>
      <c r="H922" s="346">
        <v>8.9</v>
      </c>
      <c r="I922" s="21">
        <v>8.5601599999999998</v>
      </c>
      <c r="J922" s="23" t="s">
        <v>755</v>
      </c>
      <c r="K922" s="21" t="s">
        <v>2043</v>
      </c>
      <c r="O922" s="347"/>
      <c r="R922" s="84" t="s">
        <v>779</v>
      </c>
      <c r="Y922" s="20">
        <f t="shared" si="42"/>
        <v>1</v>
      </c>
      <c r="AA922" s="98">
        <f t="shared" si="40"/>
        <v>0.33984000000000059</v>
      </c>
      <c r="AB922" s="98" t="e">
        <f t="shared" si="41"/>
        <v>#VALUE!</v>
      </c>
    </row>
    <row r="923" spans="1:28" ht="22.15" customHeight="1" x14ac:dyDescent="0.25">
      <c r="A923" s="21" t="s">
        <v>103</v>
      </c>
      <c r="B923" s="276" t="s">
        <v>2044</v>
      </c>
      <c r="C923" s="81">
        <v>25</v>
      </c>
      <c r="D923" s="23" t="s">
        <v>2045</v>
      </c>
      <c r="H923" s="346">
        <v>7.5</v>
      </c>
      <c r="I923" s="21">
        <v>7.45024</v>
      </c>
      <c r="J923" s="23" t="s">
        <v>824</v>
      </c>
      <c r="K923" s="21" t="s">
        <v>2046</v>
      </c>
      <c r="O923" s="347"/>
      <c r="R923" s="84" t="s">
        <v>840</v>
      </c>
      <c r="Y923" s="20">
        <f t="shared" si="42"/>
        <v>1</v>
      </c>
      <c r="AA923" s="98">
        <f t="shared" si="40"/>
        <v>4.9760000000000026E-2</v>
      </c>
      <c r="AB923" s="98" t="e">
        <f t="shared" si="41"/>
        <v>#VALUE!</v>
      </c>
    </row>
    <row r="924" spans="1:28" ht="22.15" customHeight="1" x14ac:dyDescent="0.25">
      <c r="A924" s="21" t="s">
        <v>103</v>
      </c>
      <c r="B924" s="276" t="s">
        <v>2047</v>
      </c>
      <c r="C924" s="81">
        <v>25</v>
      </c>
      <c r="D924" s="23" t="s">
        <v>2048</v>
      </c>
      <c r="H924" s="346">
        <v>7.5</v>
      </c>
      <c r="I924" s="21">
        <v>7.45024</v>
      </c>
      <c r="J924" s="23" t="s">
        <v>824</v>
      </c>
      <c r="K924" s="21" t="s">
        <v>2049</v>
      </c>
      <c r="O924" s="347"/>
      <c r="R924" s="84" t="s">
        <v>840</v>
      </c>
      <c r="Y924" s="20">
        <f t="shared" si="42"/>
        <v>1</v>
      </c>
      <c r="AA924" s="98">
        <f t="shared" si="40"/>
        <v>4.9760000000000026E-2</v>
      </c>
      <c r="AB924" s="98" t="e">
        <f t="shared" si="41"/>
        <v>#VALUE!</v>
      </c>
    </row>
    <row r="925" spans="1:28" ht="22.15" customHeight="1" x14ac:dyDescent="0.25">
      <c r="A925" s="21" t="s">
        <v>103</v>
      </c>
      <c r="B925" s="276" t="s">
        <v>2050</v>
      </c>
      <c r="C925" s="81">
        <v>25</v>
      </c>
      <c r="D925" s="23" t="s">
        <v>2051</v>
      </c>
      <c r="H925" s="346">
        <v>7.5</v>
      </c>
      <c r="I925" s="21">
        <v>6.6203200000000004</v>
      </c>
      <c r="J925" s="23" t="s">
        <v>435</v>
      </c>
      <c r="K925" s="21" t="s">
        <v>2052</v>
      </c>
      <c r="O925" s="347"/>
      <c r="R925" s="84" t="s">
        <v>840</v>
      </c>
      <c r="Y925" s="20">
        <f t="shared" si="42"/>
        <v>1</v>
      </c>
      <c r="AA925" s="98">
        <f t="shared" si="40"/>
        <v>0.87967999999999957</v>
      </c>
      <c r="AB925" s="98" t="e">
        <f t="shared" si="41"/>
        <v>#VALUE!</v>
      </c>
    </row>
    <row r="926" spans="1:28" ht="22.15" customHeight="1" x14ac:dyDescent="0.25">
      <c r="A926" s="21" t="s">
        <v>103</v>
      </c>
      <c r="B926" s="276" t="s">
        <v>2053</v>
      </c>
      <c r="C926" s="81">
        <v>25</v>
      </c>
      <c r="D926" s="23" t="s">
        <v>2054</v>
      </c>
      <c r="H926" s="346">
        <v>7.5</v>
      </c>
      <c r="I926" s="21">
        <v>6.6203200000000004</v>
      </c>
      <c r="J926" s="23" t="s">
        <v>435</v>
      </c>
      <c r="K926" s="21" t="s">
        <v>2055</v>
      </c>
      <c r="O926" s="347"/>
      <c r="R926" s="84" t="s">
        <v>840</v>
      </c>
      <c r="Y926" s="20">
        <f t="shared" si="42"/>
        <v>1</v>
      </c>
      <c r="AA926" s="98">
        <f t="shared" si="40"/>
        <v>0.87967999999999957</v>
      </c>
      <c r="AB926" s="98" t="e">
        <f t="shared" si="41"/>
        <v>#VALUE!</v>
      </c>
    </row>
    <row r="927" spans="1:28" ht="22.15" customHeight="1" x14ac:dyDescent="0.25">
      <c r="A927" s="21" t="s">
        <v>103</v>
      </c>
      <c r="B927" s="276" t="s">
        <v>2056</v>
      </c>
      <c r="C927" s="81">
        <v>25</v>
      </c>
      <c r="D927" s="23" t="s">
        <v>2057</v>
      </c>
      <c r="H927" s="346">
        <v>7.5</v>
      </c>
      <c r="I927" s="21">
        <v>7.45024</v>
      </c>
      <c r="J927" s="23" t="s">
        <v>824</v>
      </c>
      <c r="K927" s="21" t="s">
        <v>2058</v>
      </c>
      <c r="O927" s="347"/>
      <c r="R927" s="84" t="s">
        <v>840</v>
      </c>
      <c r="Y927" s="20">
        <f t="shared" si="42"/>
        <v>1</v>
      </c>
      <c r="AA927" s="98">
        <f t="shared" si="40"/>
        <v>4.9760000000000026E-2</v>
      </c>
      <c r="AB927" s="98" t="e">
        <f t="shared" si="41"/>
        <v>#VALUE!</v>
      </c>
    </row>
    <row r="928" spans="1:28" ht="22.15" customHeight="1" x14ac:dyDescent="0.25">
      <c r="A928" s="21" t="s">
        <v>103</v>
      </c>
      <c r="B928" s="276" t="s">
        <v>2059</v>
      </c>
      <c r="C928" s="81">
        <v>36</v>
      </c>
      <c r="D928" s="23" t="s">
        <v>2060</v>
      </c>
      <c r="H928" s="346">
        <v>12.5</v>
      </c>
      <c r="I928" s="21">
        <v>12.32</v>
      </c>
      <c r="J928" s="23" t="s">
        <v>846</v>
      </c>
      <c r="K928" s="21" t="s">
        <v>2061</v>
      </c>
      <c r="O928" s="347"/>
      <c r="R928" s="84" t="s">
        <v>590</v>
      </c>
      <c r="Y928" s="20">
        <f t="shared" si="42"/>
        <v>1</v>
      </c>
      <c r="AA928" s="98">
        <f t="shared" si="40"/>
        <v>0.17999999999999972</v>
      </c>
      <c r="AB928" s="98" t="e">
        <f t="shared" si="41"/>
        <v>#VALUE!</v>
      </c>
    </row>
    <row r="929" spans="1:28" ht="22.15" customHeight="1" x14ac:dyDescent="0.25">
      <c r="A929" s="21" t="s">
        <v>103</v>
      </c>
      <c r="B929" s="276" t="s">
        <v>2062</v>
      </c>
      <c r="C929" s="81">
        <v>48</v>
      </c>
      <c r="D929" s="23" t="s">
        <v>2063</v>
      </c>
      <c r="H929" s="346">
        <v>36.9</v>
      </c>
      <c r="I929" s="21">
        <v>32.579680000000003</v>
      </c>
      <c r="J929" s="23" t="s">
        <v>435</v>
      </c>
      <c r="K929" s="21" t="s">
        <v>2064</v>
      </c>
      <c r="O929" s="347"/>
      <c r="R929" s="84" t="s">
        <v>712</v>
      </c>
      <c r="Y929" s="20">
        <f t="shared" si="42"/>
        <v>1</v>
      </c>
      <c r="AA929" s="98">
        <f t="shared" si="40"/>
        <v>4.3203199999999953</v>
      </c>
      <c r="AB929" s="98" t="e">
        <f t="shared" si="41"/>
        <v>#VALUE!</v>
      </c>
    </row>
    <row r="930" spans="1:28" ht="22.15" customHeight="1" x14ac:dyDescent="0.25">
      <c r="A930" s="21" t="s">
        <v>103</v>
      </c>
      <c r="B930" s="276" t="s">
        <v>2065</v>
      </c>
      <c r="C930" s="81">
        <v>48</v>
      </c>
      <c r="D930" s="23" t="s">
        <v>2066</v>
      </c>
      <c r="H930" s="346">
        <v>36.9</v>
      </c>
      <c r="I930" s="21">
        <v>32.579680000000003</v>
      </c>
      <c r="J930" s="23" t="s">
        <v>435</v>
      </c>
      <c r="K930" s="21" t="s">
        <v>2067</v>
      </c>
      <c r="O930" s="347"/>
      <c r="R930" s="84" t="s">
        <v>712</v>
      </c>
      <c r="Y930" s="20">
        <f t="shared" si="42"/>
        <v>1</v>
      </c>
      <c r="AA930" s="98">
        <f t="shared" si="40"/>
        <v>4.3203199999999953</v>
      </c>
      <c r="AB930" s="98" t="e">
        <f t="shared" si="41"/>
        <v>#VALUE!</v>
      </c>
    </row>
    <row r="931" spans="1:28" ht="22.15" customHeight="1" x14ac:dyDescent="0.25">
      <c r="A931" s="21" t="s">
        <v>103</v>
      </c>
      <c r="B931" s="276" t="s">
        <v>2068</v>
      </c>
      <c r="C931" s="81">
        <v>48</v>
      </c>
      <c r="D931" s="23" t="s">
        <v>2069</v>
      </c>
      <c r="H931" s="346">
        <v>36.9</v>
      </c>
      <c r="I931" s="21">
        <v>36.064</v>
      </c>
      <c r="J931" s="23" t="s">
        <v>846</v>
      </c>
      <c r="K931" s="21" t="s">
        <v>2070</v>
      </c>
      <c r="O931" s="347"/>
      <c r="R931" s="84" t="s">
        <v>712</v>
      </c>
      <c r="Y931" s="20">
        <f t="shared" si="42"/>
        <v>1</v>
      </c>
      <c r="AA931" s="98">
        <f t="shared" si="40"/>
        <v>0.83599999999999852</v>
      </c>
      <c r="AB931" s="98" t="e">
        <f t="shared" si="41"/>
        <v>#VALUE!</v>
      </c>
    </row>
    <row r="932" spans="1:28" ht="22.15" customHeight="1" x14ac:dyDescent="0.25">
      <c r="A932" s="21" t="s">
        <v>103</v>
      </c>
      <c r="B932" s="276" t="s">
        <v>2071</v>
      </c>
      <c r="C932" s="81">
        <v>48</v>
      </c>
      <c r="D932" s="23" t="s">
        <v>2072</v>
      </c>
      <c r="H932" s="346">
        <v>36.9</v>
      </c>
      <c r="I932" s="21">
        <v>32.579680000000003</v>
      </c>
      <c r="J932" s="23" t="s">
        <v>435</v>
      </c>
      <c r="K932" s="21" t="s">
        <v>2073</v>
      </c>
      <c r="O932" s="347"/>
      <c r="R932" s="84" t="s">
        <v>712</v>
      </c>
      <c r="Y932" s="20">
        <f t="shared" si="42"/>
        <v>1</v>
      </c>
      <c r="AA932" s="98">
        <f t="shared" si="40"/>
        <v>4.3203199999999953</v>
      </c>
      <c r="AB932" s="98" t="e">
        <f t="shared" si="41"/>
        <v>#VALUE!</v>
      </c>
    </row>
    <row r="933" spans="1:28" ht="22.15" customHeight="1" x14ac:dyDescent="0.25">
      <c r="A933" s="21" t="s">
        <v>255</v>
      </c>
      <c r="B933" s="276" t="s">
        <v>2074</v>
      </c>
      <c r="C933" s="81">
        <v>4</v>
      </c>
      <c r="D933" s="23" t="s">
        <v>2075</v>
      </c>
      <c r="H933" s="346">
        <v>41.9</v>
      </c>
      <c r="I933" s="21">
        <v>41.310079999999999</v>
      </c>
      <c r="J933" s="23" t="s">
        <v>856</v>
      </c>
      <c r="K933" s="21" t="s">
        <v>2076</v>
      </c>
      <c r="O933" s="347"/>
      <c r="R933" s="84" t="s">
        <v>738</v>
      </c>
      <c r="Y933" s="20">
        <f t="shared" si="42"/>
        <v>1</v>
      </c>
      <c r="AA933" s="98">
        <f t="shared" si="40"/>
        <v>0.58991999999999933</v>
      </c>
      <c r="AB933" s="98" t="e">
        <f t="shared" si="41"/>
        <v>#VALUE!</v>
      </c>
    </row>
    <row r="934" spans="1:28" ht="22.15" customHeight="1" x14ac:dyDescent="0.25">
      <c r="A934" s="21" t="s">
        <v>769</v>
      </c>
      <c r="B934" s="276" t="s">
        <v>2077</v>
      </c>
      <c r="C934" s="81">
        <v>20</v>
      </c>
      <c r="D934" s="23" t="s">
        <v>2078</v>
      </c>
      <c r="H934" s="346">
        <v>5.5</v>
      </c>
      <c r="I934" s="21">
        <v>5.0803200000000004</v>
      </c>
      <c r="J934" s="23" t="s">
        <v>773</v>
      </c>
      <c r="K934" s="21" t="s">
        <v>2079</v>
      </c>
      <c r="O934" s="347"/>
      <c r="R934" s="84" t="s">
        <v>2080</v>
      </c>
      <c r="Y934" s="20">
        <f t="shared" si="42"/>
        <v>1</v>
      </c>
      <c r="AA934" s="98">
        <f t="shared" si="40"/>
        <v>0.41967999999999961</v>
      </c>
      <c r="AB934" s="98" t="e">
        <f t="shared" si="41"/>
        <v>#VALUE!</v>
      </c>
    </row>
    <row r="935" spans="1:28" ht="22.15" customHeight="1" x14ac:dyDescent="0.25">
      <c r="A935" s="21" t="s">
        <v>769</v>
      </c>
      <c r="B935" s="276" t="s">
        <v>2081</v>
      </c>
      <c r="C935" s="81">
        <v>20</v>
      </c>
      <c r="D935" s="23" t="s">
        <v>2082</v>
      </c>
      <c r="H935" s="346">
        <v>6.5</v>
      </c>
      <c r="I935" s="21">
        <v>5.9998400000000007</v>
      </c>
      <c r="J935" s="23" t="s">
        <v>773</v>
      </c>
      <c r="K935" s="21" t="s">
        <v>2083</v>
      </c>
      <c r="O935" s="347"/>
      <c r="R935" s="84" t="s">
        <v>2084</v>
      </c>
      <c r="Y935" s="20">
        <f t="shared" si="42"/>
        <v>1</v>
      </c>
      <c r="AA935" s="98">
        <f t="shared" si="40"/>
        <v>0.50015999999999927</v>
      </c>
      <c r="AB935" s="98" t="e">
        <f t="shared" si="41"/>
        <v>#VALUE!</v>
      </c>
    </row>
    <row r="936" spans="1:28" ht="22.15" customHeight="1" x14ac:dyDescent="0.25">
      <c r="A936" s="21" t="s">
        <v>769</v>
      </c>
      <c r="B936" s="276" t="s">
        <v>2085</v>
      </c>
      <c r="C936" s="81">
        <v>25</v>
      </c>
      <c r="D936" s="23" t="s">
        <v>2086</v>
      </c>
      <c r="H936" s="346">
        <v>6.5</v>
      </c>
      <c r="I936" s="21">
        <v>6.0704000000000002</v>
      </c>
      <c r="J936" s="23" t="s">
        <v>773</v>
      </c>
      <c r="K936" s="21" t="s">
        <v>2087</v>
      </c>
      <c r="O936" s="347"/>
      <c r="R936" s="84" t="s">
        <v>2084</v>
      </c>
      <c r="Y936" s="20">
        <f t="shared" si="42"/>
        <v>1</v>
      </c>
      <c r="AA936" s="98">
        <f t="shared" si="40"/>
        <v>0.42959999999999976</v>
      </c>
      <c r="AB936" s="98" t="e">
        <f t="shared" si="41"/>
        <v>#VALUE!</v>
      </c>
    </row>
    <row r="937" spans="1:28" ht="22.15" customHeight="1" x14ac:dyDescent="0.25">
      <c r="A937" s="21" t="s">
        <v>769</v>
      </c>
      <c r="B937" s="276" t="s">
        <v>2088</v>
      </c>
      <c r="C937" s="81">
        <v>20</v>
      </c>
      <c r="D937" s="23" t="s">
        <v>2089</v>
      </c>
      <c r="H937" s="346">
        <v>6.5</v>
      </c>
      <c r="I937" s="21">
        <v>6.2798400000000001</v>
      </c>
      <c r="J937" s="23" t="s">
        <v>773</v>
      </c>
      <c r="K937" s="21" t="s">
        <v>2090</v>
      </c>
      <c r="O937" s="347"/>
      <c r="R937" s="84" t="s">
        <v>840</v>
      </c>
      <c r="Y937" s="20">
        <f t="shared" si="42"/>
        <v>1</v>
      </c>
      <c r="AA937" s="98">
        <f t="shared" si="40"/>
        <v>0.22015999999999991</v>
      </c>
      <c r="AB937" s="98" t="e">
        <f t="shared" si="41"/>
        <v>#VALUE!</v>
      </c>
    </row>
    <row r="938" spans="1:28" ht="22.15" customHeight="1" x14ac:dyDescent="0.25">
      <c r="A938" s="21" t="s">
        <v>769</v>
      </c>
      <c r="B938" s="276" t="s">
        <v>2091</v>
      </c>
      <c r="C938" s="81">
        <v>25</v>
      </c>
      <c r="D938" s="23" t="s">
        <v>2092</v>
      </c>
      <c r="H938" s="346">
        <v>7.5</v>
      </c>
      <c r="I938" s="21">
        <v>6.96976</v>
      </c>
      <c r="J938" s="23" t="s">
        <v>773</v>
      </c>
      <c r="K938" s="21" t="s">
        <v>2093</v>
      </c>
      <c r="O938" s="347"/>
      <c r="R938" s="84" t="s">
        <v>1075</v>
      </c>
      <c r="Y938" s="20">
        <f t="shared" si="42"/>
        <v>1</v>
      </c>
      <c r="AA938" s="98">
        <f t="shared" si="40"/>
        <v>0.53024000000000004</v>
      </c>
      <c r="AB938" s="98" t="e">
        <f t="shared" si="41"/>
        <v>#VALUE!</v>
      </c>
    </row>
    <row r="939" spans="1:28" ht="22.15" customHeight="1" x14ac:dyDescent="0.25">
      <c r="A939" s="21" t="s">
        <v>769</v>
      </c>
      <c r="B939" s="276" t="s">
        <v>2094</v>
      </c>
      <c r="C939" s="81">
        <v>20</v>
      </c>
      <c r="D939" s="23" t="s">
        <v>2095</v>
      </c>
      <c r="H939" s="346">
        <v>7.9</v>
      </c>
      <c r="I939" s="21">
        <v>7.6204800000000006</v>
      </c>
      <c r="J939" s="23" t="s">
        <v>773</v>
      </c>
      <c r="K939" s="21" t="s">
        <v>2096</v>
      </c>
      <c r="O939" s="347"/>
      <c r="R939" s="84" t="s">
        <v>409</v>
      </c>
      <c r="Y939" s="20">
        <f t="shared" si="42"/>
        <v>1</v>
      </c>
      <c r="AA939" s="98">
        <f t="shared" si="40"/>
        <v>0.27951999999999977</v>
      </c>
      <c r="AB939" s="98" t="e">
        <f t="shared" si="41"/>
        <v>#VALUE!</v>
      </c>
    </row>
    <row r="940" spans="1:28" ht="22.15" customHeight="1" x14ac:dyDescent="0.25">
      <c r="A940" s="21" t="s">
        <v>103</v>
      </c>
      <c r="B940" s="276" t="s">
        <v>2097</v>
      </c>
      <c r="C940" s="81">
        <v>20</v>
      </c>
      <c r="D940" s="23" t="s">
        <v>2098</v>
      </c>
      <c r="H940" s="346">
        <v>7.9</v>
      </c>
      <c r="I940" s="21">
        <v>7.6204800000000006</v>
      </c>
      <c r="J940" s="23" t="s">
        <v>773</v>
      </c>
      <c r="K940" s="21" t="s">
        <v>2099</v>
      </c>
      <c r="O940" s="347"/>
      <c r="R940" s="84" t="s">
        <v>409</v>
      </c>
      <c r="Y940" s="20">
        <f t="shared" si="42"/>
        <v>1</v>
      </c>
      <c r="AA940" s="98">
        <f t="shared" si="40"/>
        <v>0.27951999999999977</v>
      </c>
      <c r="AB940" s="98" t="e">
        <f t="shared" si="41"/>
        <v>#VALUE!</v>
      </c>
    </row>
    <row r="941" spans="1:28" ht="22.15" customHeight="1" x14ac:dyDescent="0.25">
      <c r="A941" s="21" t="s">
        <v>103</v>
      </c>
      <c r="B941" s="276" t="s">
        <v>2100</v>
      </c>
      <c r="C941" s="81">
        <v>20</v>
      </c>
      <c r="D941" s="23" t="s">
        <v>2101</v>
      </c>
      <c r="H941" s="346">
        <v>7.9</v>
      </c>
      <c r="I941" s="21">
        <v>7.8097600000000007</v>
      </c>
      <c r="J941" s="23" t="s">
        <v>773</v>
      </c>
      <c r="K941" s="21" t="s">
        <v>2102</v>
      </c>
      <c r="O941" s="347"/>
      <c r="R941" s="84" t="s">
        <v>779</v>
      </c>
      <c r="Y941" s="20">
        <f t="shared" si="42"/>
        <v>1</v>
      </c>
      <c r="AA941" s="98">
        <f t="shared" si="40"/>
        <v>9.0239999999999654E-2</v>
      </c>
      <c r="AB941" s="98" t="e">
        <f t="shared" si="41"/>
        <v>#VALUE!</v>
      </c>
    </row>
    <row r="942" spans="1:28" ht="22.15" customHeight="1" x14ac:dyDescent="0.25">
      <c r="A942" s="21" t="s">
        <v>769</v>
      </c>
      <c r="B942" s="276" t="s">
        <v>2103</v>
      </c>
      <c r="C942" s="81">
        <v>20</v>
      </c>
      <c r="D942" s="23" t="s">
        <v>2104</v>
      </c>
      <c r="H942" s="346">
        <v>8.5</v>
      </c>
      <c r="I942" s="21">
        <v>7.9004799999999999</v>
      </c>
      <c r="J942" s="23" t="s">
        <v>773</v>
      </c>
      <c r="K942" s="21" t="s">
        <v>2105</v>
      </c>
      <c r="O942" s="347"/>
      <c r="R942" s="84" t="s">
        <v>409</v>
      </c>
      <c r="Y942" s="20">
        <f t="shared" si="42"/>
        <v>1</v>
      </c>
      <c r="AA942" s="98">
        <f t="shared" ref="AA942:AA1005" si="43">H942-I942</f>
        <v>0.59952000000000005</v>
      </c>
      <c r="AB942" s="98" t="e">
        <f t="shared" ref="AB942:AB1005" si="44">R942-H942</f>
        <v>#VALUE!</v>
      </c>
    </row>
    <row r="943" spans="1:28" ht="22.15" customHeight="1" x14ac:dyDescent="0.25">
      <c r="A943" s="21" t="s">
        <v>769</v>
      </c>
      <c r="B943" s="276" t="s">
        <v>2106</v>
      </c>
      <c r="C943" s="81">
        <v>20</v>
      </c>
      <c r="D943" s="23" t="s">
        <v>2107</v>
      </c>
      <c r="H943" s="346">
        <v>8.5</v>
      </c>
      <c r="I943" s="21">
        <v>8.1502400000000002</v>
      </c>
      <c r="J943" s="23" t="s">
        <v>773</v>
      </c>
      <c r="K943" s="21" t="s">
        <v>2108</v>
      </c>
      <c r="O943" s="347"/>
      <c r="R943" s="84" t="s">
        <v>2109</v>
      </c>
      <c r="Y943" s="20">
        <f t="shared" si="42"/>
        <v>1</v>
      </c>
      <c r="AA943" s="98">
        <f t="shared" si="43"/>
        <v>0.34975999999999985</v>
      </c>
      <c r="AB943" s="98" t="e">
        <f t="shared" si="44"/>
        <v>#VALUE!</v>
      </c>
    </row>
    <row r="944" spans="1:28" ht="22.15" customHeight="1" x14ac:dyDescent="0.25">
      <c r="A944" s="21" t="s">
        <v>103</v>
      </c>
      <c r="B944" s="276" t="s">
        <v>2110</v>
      </c>
      <c r="C944" s="81">
        <v>25</v>
      </c>
      <c r="D944" s="23" t="s">
        <v>2111</v>
      </c>
      <c r="H944" s="346">
        <v>8.5</v>
      </c>
      <c r="I944" s="21">
        <v>8.1502400000000002</v>
      </c>
      <c r="J944" s="23" t="s">
        <v>773</v>
      </c>
      <c r="K944" s="21" t="s">
        <v>2112</v>
      </c>
      <c r="O944" s="347"/>
      <c r="R944" s="84" t="s">
        <v>2109</v>
      </c>
      <c r="Y944" s="20">
        <f t="shared" si="42"/>
        <v>1</v>
      </c>
      <c r="AA944" s="98">
        <f t="shared" si="43"/>
        <v>0.34975999999999985</v>
      </c>
      <c r="AB944" s="98" t="e">
        <f t="shared" si="44"/>
        <v>#VALUE!</v>
      </c>
    </row>
    <row r="945" spans="1:28" ht="22.15" customHeight="1" x14ac:dyDescent="0.25">
      <c r="A945" s="21" t="s">
        <v>769</v>
      </c>
      <c r="B945" s="276" t="s">
        <v>2113</v>
      </c>
      <c r="C945" s="81">
        <v>15</v>
      </c>
      <c r="D945" s="23" t="s">
        <v>2114</v>
      </c>
      <c r="H945" s="346">
        <v>8.9</v>
      </c>
      <c r="I945" s="21">
        <v>8.5803200000000004</v>
      </c>
      <c r="J945" s="23" t="s">
        <v>773</v>
      </c>
      <c r="K945" s="21" t="s">
        <v>2115</v>
      </c>
      <c r="O945" s="347"/>
      <c r="R945" s="84" t="s">
        <v>641</v>
      </c>
      <c r="Y945" s="20">
        <f t="shared" si="42"/>
        <v>1</v>
      </c>
      <c r="AA945" s="98">
        <f t="shared" si="43"/>
        <v>0.31967999999999996</v>
      </c>
      <c r="AB945" s="98" t="e">
        <f t="shared" si="44"/>
        <v>#VALUE!</v>
      </c>
    </row>
    <row r="946" spans="1:28" ht="22.15" customHeight="1" x14ac:dyDescent="0.25">
      <c r="A946" s="21" t="s">
        <v>731</v>
      </c>
      <c r="B946" s="276" t="s">
        <v>2116</v>
      </c>
      <c r="C946" s="81">
        <v>25</v>
      </c>
      <c r="D946" s="23" t="s">
        <v>2117</v>
      </c>
      <c r="H946" s="346">
        <v>9.5</v>
      </c>
      <c r="I946" s="21">
        <v>8.9499200000000005</v>
      </c>
      <c r="J946" s="23" t="s">
        <v>773</v>
      </c>
      <c r="K946" s="21" t="s">
        <v>2118</v>
      </c>
      <c r="O946" s="347"/>
      <c r="R946" s="84" t="s">
        <v>409</v>
      </c>
      <c r="Y946" s="20">
        <f t="shared" si="42"/>
        <v>1</v>
      </c>
      <c r="AA946" s="98">
        <f t="shared" si="43"/>
        <v>0.55007999999999946</v>
      </c>
      <c r="AB946" s="98" t="e">
        <f t="shared" si="44"/>
        <v>#VALUE!</v>
      </c>
    </row>
    <row r="947" spans="1:28" ht="22.15" customHeight="1" x14ac:dyDescent="0.25">
      <c r="A947" s="21" t="s">
        <v>769</v>
      </c>
      <c r="B947" s="276" t="s">
        <v>2119</v>
      </c>
      <c r="C947" s="81">
        <v>20</v>
      </c>
      <c r="D947" s="23" t="s">
        <v>2120</v>
      </c>
      <c r="H947" s="346">
        <v>9.5</v>
      </c>
      <c r="I947" s="21">
        <v>8.9801599999999997</v>
      </c>
      <c r="J947" s="23" t="s">
        <v>773</v>
      </c>
      <c r="K947" s="21" t="s">
        <v>2121</v>
      </c>
      <c r="O947" s="347"/>
      <c r="R947" s="84" t="s">
        <v>409</v>
      </c>
      <c r="Y947" s="20">
        <f t="shared" si="42"/>
        <v>1</v>
      </c>
      <c r="AA947" s="98">
        <f t="shared" si="43"/>
        <v>0.5198400000000003</v>
      </c>
      <c r="AB947" s="98" t="e">
        <f t="shared" si="44"/>
        <v>#VALUE!</v>
      </c>
    </row>
    <row r="948" spans="1:28" ht="22.15" customHeight="1" x14ac:dyDescent="0.25">
      <c r="A948" s="21" t="s">
        <v>769</v>
      </c>
      <c r="B948" s="276" t="s">
        <v>2122</v>
      </c>
      <c r="C948" s="81">
        <v>25</v>
      </c>
      <c r="D948" s="23" t="s">
        <v>2123</v>
      </c>
      <c r="H948" s="346">
        <v>9.9</v>
      </c>
      <c r="I948" s="21">
        <v>9.59056</v>
      </c>
      <c r="J948" s="23" t="s">
        <v>773</v>
      </c>
      <c r="K948" s="21" t="s">
        <v>2124</v>
      </c>
      <c r="O948" s="347"/>
      <c r="R948" s="84" t="s">
        <v>2109</v>
      </c>
      <c r="Y948" s="20">
        <f t="shared" si="42"/>
        <v>1</v>
      </c>
      <c r="AA948" s="98">
        <f t="shared" si="43"/>
        <v>0.30944000000000038</v>
      </c>
      <c r="AB948" s="98" t="e">
        <f t="shared" si="44"/>
        <v>#VALUE!</v>
      </c>
    </row>
    <row r="949" spans="1:28" ht="22.15" customHeight="1" x14ac:dyDescent="0.25">
      <c r="A949" s="21" t="s">
        <v>815</v>
      </c>
      <c r="B949" s="276" t="s">
        <v>2125</v>
      </c>
      <c r="C949" s="81">
        <v>20</v>
      </c>
      <c r="D949" s="23" t="s">
        <v>2126</v>
      </c>
      <c r="H949" s="346">
        <v>9.9</v>
      </c>
      <c r="I949" s="21">
        <v>9.8000000000000007</v>
      </c>
      <c r="J949" s="23" t="s">
        <v>773</v>
      </c>
      <c r="K949" s="21" t="s">
        <v>2127</v>
      </c>
      <c r="O949" s="347"/>
      <c r="R949" s="84" t="s">
        <v>1116</v>
      </c>
      <c r="Y949" s="20">
        <f t="shared" si="42"/>
        <v>1</v>
      </c>
      <c r="AA949" s="98">
        <f t="shared" si="43"/>
        <v>9.9999999999999645E-2</v>
      </c>
      <c r="AB949" s="98" t="e">
        <f t="shared" si="44"/>
        <v>#VALUE!</v>
      </c>
    </row>
    <row r="950" spans="1:28" ht="22.15" customHeight="1" x14ac:dyDescent="0.25">
      <c r="A950" s="21" t="s">
        <v>815</v>
      </c>
      <c r="B950" s="276" t="s">
        <v>2128</v>
      </c>
      <c r="C950" s="81">
        <v>20</v>
      </c>
      <c r="D950" s="23" t="s">
        <v>2129</v>
      </c>
      <c r="H950" s="346">
        <v>9.9</v>
      </c>
      <c r="I950" s="21">
        <v>9.8895999999999997</v>
      </c>
      <c r="J950" s="23" t="s">
        <v>773</v>
      </c>
      <c r="K950" s="21" t="s">
        <v>2130</v>
      </c>
      <c r="O950" s="347"/>
      <c r="R950" s="84" t="s">
        <v>1116</v>
      </c>
      <c r="Y950" s="20">
        <f t="shared" si="42"/>
        <v>1</v>
      </c>
      <c r="AA950" s="98">
        <f t="shared" si="43"/>
        <v>1.0400000000000631E-2</v>
      </c>
      <c r="AB950" s="98" t="e">
        <f t="shared" si="44"/>
        <v>#VALUE!</v>
      </c>
    </row>
    <row r="951" spans="1:28" ht="22.15" customHeight="1" x14ac:dyDescent="0.25">
      <c r="A951" s="21" t="s">
        <v>103</v>
      </c>
      <c r="B951" s="276" t="s">
        <v>2131</v>
      </c>
      <c r="C951" s="81">
        <v>25</v>
      </c>
      <c r="D951" s="23" t="s">
        <v>2132</v>
      </c>
      <c r="H951" s="346">
        <v>9.9</v>
      </c>
      <c r="I951" s="21">
        <v>9.8895999999999997</v>
      </c>
      <c r="J951" s="23" t="s">
        <v>773</v>
      </c>
      <c r="K951" s="21" t="s">
        <v>2133</v>
      </c>
      <c r="O951" s="347"/>
      <c r="R951" s="84" t="s">
        <v>1116</v>
      </c>
      <c r="Y951" s="20">
        <f t="shared" si="42"/>
        <v>1</v>
      </c>
      <c r="AA951" s="98">
        <f t="shared" si="43"/>
        <v>1.0400000000000631E-2</v>
      </c>
      <c r="AB951" s="98" t="e">
        <f t="shared" si="44"/>
        <v>#VALUE!</v>
      </c>
    </row>
    <row r="952" spans="1:28" ht="22.15" customHeight="1" x14ac:dyDescent="0.25">
      <c r="A952" s="21" t="s">
        <v>731</v>
      </c>
      <c r="B952" s="276" t="s">
        <v>2134</v>
      </c>
      <c r="C952" s="81">
        <v>20</v>
      </c>
      <c r="D952" s="23" t="s">
        <v>2135</v>
      </c>
      <c r="H952" s="346">
        <v>10.5</v>
      </c>
      <c r="I952" s="21">
        <v>10.20992</v>
      </c>
      <c r="J952" s="23" t="s">
        <v>773</v>
      </c>
      <c r="K952" s="21" t="s">
        <v>2136</v>
      </c>
      <c r="O952" s="347"/>
      <c r="R952" s="84" t="s">
        <v>832</v>
      </c>
      <c r="Y952" s="20">
        <f t="shared" si="42"/>
        <v>1</v>
      </c>
      <c r="AA952" s="98">
        <f t="shared" si="43"/>
        <v>0.29007999999999967</v>
      </c>
      <c r="AB952" s="98" t="e">
        <f t="shared" si="44"/>
        <v>#VALUE!</v>
      </c>
    </row>
    <row r="953" spans="1:28" ht="22.15" customHeight="1" x14ac:dyDescent="0.25">
      <c r="A953" s="21" t="s">
        <v>103</v>
      </c>
      <c r="B953" s="276" t="s">
        <v>2137</v>
      </c>
      <c r="C953" s="81">
        <v>15</v>
      </c>
      <c r="D953" s="23" t="s">
        <v>2138</v>
      </c>
      <c r="H953" s="346">
        <v>11.5</v>
      </c>
      <c r="I953" s="21">
        <v>10.99952</v>
      </c>
      <c r="J953" s="23" t="s">
        <v>773</v>
      </c>
      <c r="K953" s="21" t="s">
        <v>2139</v>
      </c>
      <c r="O953" s="347"/>
      <c r="R953" s="84" t="s">
        <v>590</v>
      </c>
      <c r="Y953" s="20">
        <f t="shared" si="42"/>
        <v>1</v>
      </c>
      <c r="AA953" s="98">
        <f t="shared" si="43"/>
        <v>0.50047999999999959</v>
      </c>
      <c r="AB953" s="98" t="e">
        <f t="shared" si="44"/>
        <v>#VALUE!</v>
      </c>
    </row>
    <row r="954" spans="1:28" ht="22.15" customHeight="1" x14ac:dyDescent="0.25">
      <c r="A954" s="21" t="s">
        <v>655</v>
      </c>
      <c r="B954" s="80" t="s">
        <v>2140</v>
      </c>
      <c r="C954" s="81">
        <v>12</v>
      </c>
      <c r="D954" s="23" t="s">
        <v>2141</v>
      </c>
      <c r="H954" s="346">
        <v>17.899999999999999</v>
      </c>
      <c r="I954" s="21">
        <v>17.85952</v>
      </c>
      <c r="J954" s="23" t="s">
        <v>109</v>
      </c>
      <c r="K954" s="86" t="s">
        <v>2142</v>
      </c>
      <c r="L954" s="86"/>
      <c r="M954" s="86"/>
      <c r="O954" s="347"/>
      <c r="R954" s="84" t="s">
        <v>645</v>
      </c>
      <c r="Y954" s="20">
        <f t="shared" si="42"/>
        <v>1</v>
      </c>
      <c r="AA954" s="98">
        <f t="shared" si="43"/>
        <v>4.0479999999998739E-2</v>
      </c>
      <c r="AB954" s="98" t="e">
        <f t="shared" si="44"/>
        <v>#VALUE!</v>
      </c>
    </row>
    <row r="955" spans="1:28" ht="22.15" customHeight="1" x14ac:dyDescent="0.25">
      <c r="A955" s="21" t="s">
        <v>655</v>
      </c>
      <c r="B955" s="80" t="s">
        <v>2143</v>
      </c>
      <c r="C955" s="81">
        <v>12</v>
      </c>
      <c r="D955" s="23" t="s">
        <v>2144</v>
      </c>
      <c r="H955" s="346">
        <v>17.899999999999999</v>
      </c>
      <c r="I955" s="21">
        <v>17.85952</v>
      </c>
      <c r="J955" s="23" t="s">
        <v>109</v>
      </c>
      <c r="K955" s="86" t="s">
        <v>2145</v>
      </c>
      <c r="L955" s="86"/>
      <c r="M955" s="86"/>
      <c r="O955" s="347"/>
      <c r="R955" s="84" t="s">
        <v>645</v>
      </c>
      <c r="Y955" s="20">
        <f t="shared" si="42"/>
        <v>1</v>
      </c>
      <c r="AA955" s="98">
        <f t="shared" si="43"/>
        <v>4.0479999999998739E-2</v>
      </c>
      <c r="AB955" s="98" t="e">
        <f t="shared" si="44"/>
        <v>#VALUE!</v>
      </c>
    </row>
    <row r="956" spans="1:28" ht="22.15" customHeight="1" x14ac:dyDescent="0.25">
      <c r="A956" s="21" t="s">
        <v>655</v>
      </c>
      <c r="B956" s="80" t="s">
        <v>2146</v>
      </c>
      <c r="C956" s="81">
        <v>12</v>
      </c>
      <c r="D956" s="23" t="s">
        <v>2147</v>
      </c>
      <c r="H956" s="346">
        <v>17.899999999999999</v>
      </c>
      <c r="I956" s="21">
        <v>17.85952</v>
      </c>
      <c r="J956" s="23" t="s">
        <v>109</v>
      </c>
      <c r="K956" s="86" t="s">
        <v>2148</v>
      </c>
      <c r="L956" s="86"/>
      <c r="M956" s="86"/>
      <c r="O956" s="347"/>
      <c r="R956" s="84" t="s">
        <v>645</v>
      </c>
      <c r="Y956" s="20">
        <f t="shared" si="42"/>
        <v>1</v>
      </c>
      <c r="AA956" s="98">
        <f t="shared" si="43"/>
        <v>4.0479999999998739E-2</v>
      </c>
      <c r="AB956" s="98" t="e">
        <f t="shared" si="44"/>
        <v>#VALUE!</v>
      </c>
    </row>
    <row r="957" spans="1:28" ht="22.15" customHeight="1" x14ac:dyDescent="0.25">
      <c r="A957" s="21" t="s">
        <v>103</v>
      </c>
      <c r="B957" s="276" t="s">
        <v>2149</v>
      </c>
      <c r="C957" s="81">
        <v>10</v>
      </c>
      <c r="D957" s="23" t="s">
        <v>2150</v>
      </c>
      <c r="H957" s="346">
        <v>39.9</v>
      </c>
      <c r="I957" s="21">
        <v>37.389000000000003</v>
      </c>
      <c r="J957" s="23" t="s">
        <v>962</v>
      </c>
      <c r="K957" s="21" t="s">
        <v>2151</v>
      </c>
      <c r="O957" s="347"/>
      <c r="R957" s="84">
        <v>41.9</v>
      </c>
      <c r="Y957" s="20">
        <f t="shared" si="42"/>
        <v>1</v>
      </c>
      <c r="AA957" s="98">
        <f t="shared" si="43"/>
        <v>2.5109999999999957</v>
      </c>
      <c r="AB957" s="98">
        <f t="shared" si="44"/>
        <v>2</v>
      </c>
    </row>
    <row r="958" spans="1:28" ht="22.15" customHeight="1" x14ac:dyDescent="0.25">
      <c r="A958" s="21" t="s">
        <v>103</v>
      </c>
      <c r="B958" s="276" t="s">
        <v>2152</v>
      </c>
      <c r="C958" s="81">
        <v>10</v>
      </c>
      <c r="D958" s="23" t="s">
        <v>2153</v>
      </c>
      <c r="H958" s="346">
        <v>39.9</v>
      </c>
      <c r="I958" s="21">
        <v>37.389000000000003</v>
      </c>
      <c r="J958" s="23" t="s">
        <v>962</v>
      </c>
      <c r="K958" s="21" t="s">
        <v>2154</v>
      </c>
      <c r="O958" s="347"/>
      <c r="R958" s="84">
        <v>41.9</v>
      </c>
      <c r="Y958" s="20">
        <f t="shared" si="42"/>
        <v>1</v>
      </c>
      <c r="AA958" s="98">
        <f t="shared" si="43"/>
        <v>2.5109999999999957</v>
      </c>
      <c r="AB958" s="98">
        <f t="shared" si="44"/>
        <v>2</v>
      </c>
    </row>
    <row r="959" spans="1:28" ht="22.15" customHeight="1" x14ac:dyDescent="0.25">
      <c r="A959" s="21" t="s">
        <v>103</v>
      </c>
      <c r="B959" s="276" t="s">
        <v>2155</v>
      </c>
      <c r="C959" s="81">
        <v>10</v>
      </c>
      <c r="D959" s="23" t="s">
        <v>2156</v>
      </c>
      <c r="H959" s="346">
        <v>39.9</v>
      </c>
      <c r="I959" s="21">
        <v>37.389000000000003</v>
      </c>
      <c r="J959" s="23" t="s">
        <v>962</v>
      </c>
      <c r="K959" s="21" t="s">
        <v>2157</v>
      </c>
      <c r="O959" s="347"/>
      <c r="R959" s="84">
        <v>41.9</v>
      </c>
      <c r="Y959" s="20">
        <f t="shared" si="42"/>
        <v>1</v>
      </c>
      <c r="AA959" s="98">
        <f t="shared" si="43"/>
        <v>2.5109999999999957</v>
      </c>
      <c r="AB959" s="98">
        <f t="shared" si="44"/>
        <v>2</v>
      </c>
    </row>
    <row r="960" spans="1:28" ht="22.15" customHeight="1" x14ac:dyDescent="0.25">
      <c r="A960" s="21" t="s">
        <v>103</v>
      </c>
      <c r="B960" s="276" t="s">
        <v>2158</v>
      </c>
      <c r="C960" s="81">
        <v>6</v>
      </c>
      <c r="D960" s="23" t="s">
        <v>2159</v>
      </c>
      <c r="H960" s="346">
        <v>136.9</v>
      </c>
      <c r="I960" s="21">
        <v>127.05</v>
      </c>
      <c r="J960" s="23" t="s">
        <v>899</v>
      </c>
      <c r="K960" s="21" t="s">
        <v>2160</v>
      </c>
      <c r="O960" s="347"/>
      <c r="R960" s="84">
        <v>144.9</v>
      </c>
      <c r="Y960" s="20">
        <f t="shared" si="42"/>
        <v>1</v>
      </c>
      <c r="AA960" s="98">
        <f t="shared" si="43"/>
        <v>9.8500000000000085</v>
      </c>
      <c r="AB960" s="98">
        <f t="shared" si="44"/>
        <v>8</v>
      </c>
    </row>
    <row r="961" spans="1:28" ht="22.15" customHeight="1" x14ac:dyDescent="0.25">
      <c r="A961" s="21" t="s">
        <v>103</v>
      </c>
      <c r="B961" s="276" t="s">
        <v>2161</v>
      </c>
      <c r="C961" s="81">
        <v>6</v>
      </c>
      <c r="D961" s="23" t="s">
        <v>2162</v>
      </c>
      <c r="H961" s="346">
        <v>136.9</v>
      </c>
      <c r="I961" s="21">
        <v>127.05</v>
      </c>
      <c r="J961" s="23" t="s">
        <v>899</v>
      </c>
      <c r="K961" s="21" t="s">
        <v>2163</v>
      </c>
      <c r="O961" s="347"/>
      <c r="R961" s="84">
        <v>144.9</v>
      </c>
      <c r="Y961" s="20">
        <f t="shared" si="42"/>
        <v>1</v>
      </c>
      <c r="AA961" s="98">
        <f t="shared" si="43"/>
        <v>9.8500000000000085</v>
      </c>
      <c r="AB961" s="98">
        <f t="shared" si="44"/>
        <v>8</v>
      </c>
    </row>
    <row r="962" spans="1:28" ht="22.15" customHeight="1" x14ac:dyDescent="0.25">
      <c r="A962" s="21">
        <v>999</v>
      </c>
      <c r="B962" s="276" t="s">
        <v>2164</v>
      </c>
      <c r="C962" s="81">
        <v>12</v>
      </c>
      <c r="D962" s="23" t="s">
        <v>2165</v>
      </c>
      <c r="H962" s="346">
        <v>36.5</v>
      </c>
      <c r="I962" s="21">
        <v>34.396999999999998</v>
      </c>
      <c r="J962" s="23" t="s">
        <v>1151</v>
      </c>
      <c r="K962" s="21" t="s">
        <v>2166</v>
      </c>
      <c r="O962" s="347">
        <v>34.396999999999998</v>
      </c>
      <c r="P962" s="87" t="s">
        <v>2167</v>
      </c>
      <c r="R962" s="84" t="s">
        <v>334</v>
      </c>
      <c r="Y962" s="20">
        <f t="shared" si="42"/>
        <v>1</v>
      </c>
      <c r="AA962" s="98">
        <f t="shared" si="43"/>
        <v>2.1030000000000015</v>
      </c>
      <c r="AB962" s="98" t="e">
        <f t="shared" si="44"/>
        <v>#VALUE!</v>
      </c>
    </row>
    <row r="963" spans="1:28" ht="22.15" customHeight="1" x14ac:dyDescent="0.25">
      <c r="A963" s="21" t="s">
        <v>1141</v>
      </c>
      <c r="B963" s="276">
        <v>5900516111359</v>
      </c>
      <c r="C963" s="81">
        <v>24</v>
      </c>
      <c r="D963" s="23" t="s">
        <v>2168</v>
      </c>
      <c r="H963" s="346">
        <v>20.9</v>
      </c>
      <c r="I963" s="21">
        <v>19.940000000000001</v>
      </c>
      <c r="J963" s="23" t="s">
        <v>1145</v>
      </c>
      <c r="K963" s="21">
        <v>7122771</v>
      </c>
      <c r="O963" s="347">
        <v>19.940000000000001</v>
      </c>
      <c r="P963" s="87" t="s">
        <v>2169</v>
      </c>
      <c r="R963" s="84" t="s">
        <v>2170</v>
      </c>
      <c r="Y963" s="20">
        <f t="shared" si="42"/>
        <v>1</v>
      </c>
      <c r="AA963" s="98">
        <f t="shared" si="43"/>
        <v>0.9599999999999973</v>
      </c>
      <c r="AB963" s="98" t="e">
        <f t="shared" si="44"/>
        <v>#VALUE!</v>
      </c>
    </row>
    <row r="964" spans="1:28" ht="22.15" customHeight="1" x14ac:dyDescent="0.25">
      <c r="A964" s="21" t="s">
        <v>1141</v>
      </c>
      <c r="B964" s="276">
        <v>5900516113841</v>
      </c>
      <c r="C964" s="81">
        <v>12</v>
      </c>
      <c r="D964" s="23" t="s">
        <v>2171</v>
      </c>
      <c r="H964" s="346">
        <v>28.9</v>
      </c>
      <c r="I964" s="21">
        <v>27.57</v>
      </c>
      <c r="J964" s="23" t="s">
        <v>1145</v>
      </c>
      <c r="K964" s="21">
        <v>7122773</v>
      </c>
      <c r="O964" s="347">
        <v>27.57</v>
      </c>
      <c r="P964" s="87" t="s">
        <v>2169</v>
      </c>
      <c r="R964" s="84" t="s">
        <v>2172</v>
      </c>
      <c r="Y964" s="20">
        <f t="shared" si="42"/>
        <v>1</v>
      </c>
      <c r="AA964" s="98">
        <f t="shared" si="43"/>
        <v>1.3299999999999983</v>
      </c>
      <c r="AB964" s="98" t="e">
        <f t="shared" si="44"/>
        <v>#VALUE!</v>
      </c>
    </row>
    <row r="965" spans="1:28" ht="22.15" customHeight="1" x14ac:dyDescent="0.25">
      <c r="A965" s="21" t="s">
        <v>1141</v>
      </c>
      <c r="B965" s="276">
        <v>5900516402877</v>
      </c>
      <c r="C965" s="81">
        <v>12</v>
      </c>
      <c r="D965" s="23" t="s">
        <v>2173</v>
      </c>
      <c r="H965" s="346">
        <v>31.9</v>
      </c>
      <c r="I965" s="21">
        <v>29.548200000000001</v>
      </c>
      <c r="J965" s="23" t="s">
        <v>1145</v>
      </c>
      <c r="K965" s="21" t="s">
        <v>2174</v>
      </c>
      <c r="O965" s="347">
        <v>29.548200000000001</v>
      </c>
      <c r="P965" s="87" t="s">
        <v>2175</v>
      </c>
      <c r="R965" s="84" t="s">
        <v>791</v>
      </c>
      <c r="Y965" s="20">
        <f t="shared" si="42"/>
        <v>1</v>
      </c>
      <c r="AA965" s="98">
        <f t="shared" si="43"/>
        <v>2.3517999999999972</v>
      </c>
      <c r="AB965" s="98" t="e">
        <f t="shared" si="44"/>
        <v>#VALUE!</v>
      </c>
    </row>
    <row r="966" spans="1:28" ht="22.15" customHeight="1" x14ac:dyDescent="0.25">
      <c r="B966" s="276">
        <v>5900649085534</v>
      </c>
      <c r="C966" s="81">
        <v>7</v>
      </c>
      <c r="D966" s="23" t="s">
        <v>2176</v>
      </c>
      <c r="H966" s="346">
        <v>9.5</v>
      </c>
      <c r="I966" s="21">
        <v>8.85</v>
      </c>
      <c r="J966" s="23" t="s">
        <v>363</v>
      </c>
      <c r="K966" s="21">
        <v>1052000</v>
      </c>
      <c r="O966" s="347">
        <v>347</v>
      </c>
      <c r="P966" s="87">
        <v>1</v>
      </c>
      <c r="Q966" s="87">
        <v>1</v>
      </c>
      <c r="R966" s="84">
        <v>10.199999999999999</v>
      </c>
      <c r="Y966" s="20">
        <f t="shared" si="42"/>
        <v>1</v>
      </c>
      <c r="AA966" s="98">
        <f t="shared" si="43"/>
        <v>0.65000000000000036</v>
      </c>
      <c r="AB966" s="98">
        <f t="shared" si="44"/>
        <v>0.69999999999999929</v>
      </c>
    </row>
    <row r="967" spans="1:28" ht="22.15" customHeight="1" x14ac:dyDescent="0.25">
      <c r="B967" s="276">
        <v>5900649085510</v>
      </c>
      <c r="C967" s="81">
        <v>7</v>
      </c>
      <c r="D967" s="23" t="s">
        <v>2177</v>
      </c>
      <c r="H967" s="346">
        <v>9.5</v>
      </c>
      <c r="I967" s="21">
        <v>8.85</v>
      </c>
      <c r="J967" s="23" t="s">
        <v>363</v>
      </c>
      <c r="K967" s="21">
        <v>1051999</v>
      </c>
      <c r="O967" s="347">
        <v>373</v>
      </c>
      <c r="P967" s="87">
        <v>1</v>
      </c>
      <c r="Q967" s="87">
        <v>1</v>
      </c>
      <c r="R967" s="84">
        <v>10.199999999999999</v>
      </c>
      <c r="Y967" s="20">
        <f t="shared" ref="Y967:Y999" si="45">COUNTIF(K:K,K967)</f>
        <v>1</v>
      </c>
      <c r="AA967" s="98">
        <f t="shared" si="43"/>
        <v>0.65000000000000036</v>
      </c>
      <c r="AB967" s="98">
        <f t="shared" si="44"/>
        <v>0.69999999999999929</v>
      </c>
    </row>
    <row r="968" spans="1:28" ht="22.15" customHeight="1" x14ac:dyDescent="0.25">
      <c r="B968" s="276">
        <v>5900649084070</v>
      </c>
      <c r="C968" s="81">
        <v>7</v>
      </c>
      <c r="D968" s="23" t="s">
        <v>2178</v>
      </c>
      <c r="H968" s="346">
        <v>9.5</v>
      </c>
      <c r="I968" s="21">
        <v>8.85</v>
      </c>
      <c r="J968" s="23" t="s">
        <v>363</v>
      </c>
      <c r="K968" s="21">
        <v>1051998</v>
      </c>
      <c r="O968" s="347">
        <v>241</v>
      </c>
      <c r="P968" s="87">
        <v>1</v>
      </c>
      <c r="Q968" s="87">
        <v>1</v>
      </c>
      <c r="R968" s="84">
        <v>10.199999999999999</v>
      </c>
      <c r="Y968" s="20">
        <f t="shared" si="45"/>
        <v>1</v>
      </c>
      <c r="AA968" s="98">
        <f t="shared" si="43"/>
        <v>0.65000000000000036</v>
      </c>
      <c r="AB968" s="98">
        <f t="shared" si="44"/>
        <v>0.69999999999999929</v>
      </c>
    </row>
    <row r="969" spans="1:28" ht="22.15" customHeight="1" x14ac:dyDescent="0.25">
      <c r="B969" s="276">
        <v>5900649084063</v>
      </c>
      <c r="C969" s="81">
        <v>7</v>
      </c>
      <c r="D969" s="23" t="s">
        <v>2179</v>
      </c>
      <c r="H969" s="346">
        <v>9.5</v>
      </c>
      <c r="I969" s="21">
        <v>8.85</v>
      </c>
      <c r="J969" s="23" t="s">
        <v>363</v>
      </c>
      <c r="K969" s="21">
        <v>1051997</v>
      </c>
      <c r="O969" s="347">
        <v>282</v>
      </c>
      <c r="P969" s="87">
        <v>1</v>
      </c>
      <c r="Q969" s="87">
        <v>1</v>
      </c>
      <c r="R969" s="84">
        <v>10.199999999999999</v>
      </c>
      <c r="Y969" s="20">
        <f t="shared" si="45"/>
        <v>1</v>
      </c>
      <c r="AA969" s="98">
        <f t="shared" si="43"/>
        <v>0.65000000000000036</v>
      </c>
      <c r="AB969" s="98">
        <f t="shared" si="44"/>
        <v>0.69999999999999929</v>
      </c>
    </row>
    <row r="970" spans="1:28" ht="22.15" customHeight="1" x14ac:dyDescent="0.25">
      <c r="B970" s="276">
        <v>8445290140227</v>
      </c>
      <c r="C970" s="81">
        <v>18</v>
      </c>
      <c r="D970" s="23" t="s">
        <v>2180</v>
      </c>
      <c r="H970" s="346">
        <v>84.9</v>
      </c>
      <c r="I970" s="21">
        <v>82.28</v>
      </c>
      <c r="J970" s="23" t="s">
        <v>421</v>
      </c>
      <c r="K970" s="21">
        <v>1051508</v>
      </c>
      <c r="O970" s="347">
        <v>401</v>
      </c>
      <c r="P970" s="87">
        <v>1</v>
      </c>
      <c r="Q970" s="87">
        <v>1</v>
      </c>
      <c r="R970" s="84">
        <v>94.9</v>
      </c>
      <c r="Y970" s="20">
        <f t="shared" si="45"/>
        <v>1</v>
      </c>
      <c r="AA970" s="98">
        <f t="shared" si="43"/>
        <v>2.6200000000000045</v>
      </c>
      <c r="AB970" s="350">
        <f t="shared" si="44"/>
        <v>10</v>
      </c>
    </row>
    <row r="971" spans="1:28" ht="22.15" customHeight="1" x14ac:dyDescent="0.25">
      <c r="B971" s="276">
        <v>8445290140012</v>
      </c>
      <c r="C971" s="81">
        <v>18</v>
      </c>
      <c r="D971" s="23" t="s">
        <v>2181</v>
      </c>
      <c r="H971" s="346">
        <v>84.9</v>
      </c>
      <c r="I971" s="21">
        <v>82.28</v>
      </c>
      <c r="J971" s="23" t="s">
        <v>421</v>
      </c>
      <c r="K971" s="21">
        <v>1051509</v>
      </c>
      <c r="O971" s="347">
        <v>138</v>
      </c>
      <c r="P971" s="87">
        <v>1</v>
      </c>
      <c r="Q971" s="87">
        <v>1</v>
      </c>
      <c r="R971" s="84">
        <v>94.9</v>
      </c>
      <c r="Y971" s="20">
        <f t="shared" si="45"/>
        <v>1</v>
      </c>
      <c r="AA971" s="98">
        <f t="shared" si="43"/>
        <v>2.6200000000000045</v>
      </c>
      <c r="AB971" s="350">
        <f t="shared" si="44"/>
        <v>10</v>
      </c>
    </row>
    <row r="972" spans="1:28" ht="22.15" customHeight="1" x14ac:dyDescent="0.25">
      <c r="B972" s="276">
        <v>8445290140036</v>
      </c>
      <c r="C972" s="81">
        <v>18</v>
      </c>
      <c r="D972" s="23" t="s">
        <v>2182</v>
      </c>
      <c r="H972" s="346">
        <v>84.9</v>
      </c>
      <c r="I972" s="21">
        <v>82.28</v>
      </c>
      <c r="J972" s="23" t="s">
        <v>421</v>
      </c>
      <c r="K972" s="21">
        <v>1051506</v>
      </c>
      <c r="O972" s="347">
        <v>472</v>
      </c>
      <c r="P972" s="87">
        <v>1</v>
      </c>
      <c r="Q972" s="87">
        <v>1</v>
      </c>
      <c r="R972" s="84">
        <v>94.9</v>
      </c>
      <c r="Y972" s="20">
        <f t="shared" si="45"/>
        <v>1</v>
      </c>
      <c r="AA972" s="98">
        <f t="shared" si="43"/>
        <v>2.6200000000000045</v>
      </c>
      <c r="AB972" s="350">
        <f t="shared" si="44"/>
        <v>10</v>
      </c>
    </row>
    <row r="973" spans="1:28" ht="22.15" customHeight="1" x14ac:dyDescent="0.25">
      <c r="B973" s="276">
        <v>8593893007468</v>
      </c>
      <c r="C973" s="81">
        <v>16</v>
      </c>
      <c r="D973" s="23" t="s">
        <v>2183</v>
      </c>
      <c r="H973" s="346">
        <v>8.1999999999999993</v>
      </c>
      <c r="I973" s="21">
        <v>7.8</v>
      </c>
      <c r="J973" s="23" t="s">
        <v>421</v>
      </c>
      <c r="K973" s="21">
        <v>2050136</v>
      </c>
      <c r="O973" s="347">
        <v>1352</v>
      </c>
      <c r="P973" s="87">
        <v>1</v>
      </c>
      <c r="Q973" s="87">
        <v>1</v>
      </c>
      <c r="R973" s="84">
        <v>8.9</v>
      </c>
      <c r="Y973" s="20">
        <f t="shared" si="45"/>
        <v>1</v>
      </c>
      <c r="AA973" s="98">
        <f t="shared" si="43"/>
        <v>0.39999999999999947</v>
      </c>
      <c r="AB973" s="350">
        <f t="shared" si="44"/>
        <v>0.70000000000000107</v>
      </c>
    </row>
    <row r="974" spans="1:28" ht="22.15" customHeight="1" x14ac:dyDescent="0.25">
      <c r="B974" s="276">
        <v>8593893007499</v>
      </c>
      <c r="C974" s="81">
        <v>16</v>
      </c>
      <c r="D974" s="23" t="s">
        <v>2184</v>
      </c>
      <c r="H974" s="346">
        <v>8.1999999999999993</v>
      </c>
      <c r="I974" s="21">
        <v>7.8</v>
      </c>
      <c r="J974" s="23" t="s">
        <v>421</v>
      </c>
      <c r="K974" s="21">
        <v>2050137</v>
      </c>
      <c r="O974" s="347">
        <v>2268</v>
      </c>
      <c r="P974" s="87">
        <v>1</v>
      </c>
      <c r="Q974" s="87">
        <v>1</v>
      </c>
      <c r="R974" s="84">
        <v>8.9</v>
      </c>
      <c r="Y974" s="20">
        <f t="shared" si="45"/>
        <v>1</v>
      </c>
      <c r="AA974" s="98">
        <f t="shared" si="43"/>
        <v>0.39999999999999947</v>
      </c>
      <c r="AB974" s="350">
        <f t="shared" si="44"/>
        <v>0.70000000000000107</v>
      </c>
    </row>
    <row r="975" spans="1:28" ht="22.15" customHeight="1" x14ac:dyDescent="0.25">
      <c r="B975" s="276">
        <v>5900020030412</v>
      </c>
      <c r="C975" s="81">
        <v>16</v>
      </c>
      <c r="D975" s="23" t="s">
        <v>2185</v>
      </c>
      <c r="H975" s="346">
        <v>8.1999999999999993</v>
      </c>
      <c r="I975" s="21">
        <v>7.8</v>
      </c>
      <c r="J975" s="23" t="s">
        <v>421</v>
      </c>
      <c r="K975" s="21">
        <v>2052337</v>
      </c>
      <c r="O975" s="347">
        <v>1837</v>
      </c>
      <c r="P975" s="87">
        <v>1</v>
      </c>
      <c r="Q975" s="87">
        <v>1</v>
      </c>
      <c r="R975" s="84">
        <v>8.9</v>
      </c>
      <c r="Y975" s="20">
        <f t="shared" si="45"/>
        <v>1</v>
      </c>
      <c r="AA975" s="98">
        <f t="shared" si="43"/>
        <v>0.39999999999999947</v>
      </c>
      <c r="AB975" s="350">
        <f t="shared" si="44"/>
        <v>0.70000000000000107</v>
      </c>
    </row>
    <row r="976" spans="1:28" ht="22.15" customHeight="1" x14ac:dyDescent="0.25">
      <c r="B976" s="276">
        <v>5900020038333</v>
      </c>
      <c r="C976" s="81">
        <v>12</v>
      </c>
      <c r="D976" s="23" t="s">
        <v>2186</v>
      </c>
      <c r="H976" s="346">
        <v>8.1999999999999993</v>
      </c>
      <c r="I976" s="21">
        <v>7.8</v>
      </c>
      <c r="J976" s="23" t="s">
        <v>421</v>
      </c>
      <c r="K976" s="21">
        <v>2051376</v>
      </c>
      <c r="O976" s="347">
        <v>731</v>
      </c>
      <c r="P976" s="87">
        <v>1</v>
      </c>
      <c r="Q976" s="87">
        <v>1</v>
      </c>
      <c r="R976" s="84">
        <v>8.9</v>
      </c>
      <c r="Y976" s="20">
        <f t="shared" si="45"/>
        <v>1</v>
      </c>
      <c r="AA976" s="98">
        <f t="shared" si="43"/>
        <v>0.39999999999999947</v>
      </c>
      <c r="AB976" s="350">
        <f t="shared" si="44"/>
        <v>0.70000000000000107</v>
      </c>
    </row>
    <row r="977" spans="2:28" ht="22.15" customHeight="1" x14ac:dyDescent="0.25">
      <c r="B977" s="276">
        <v>8445290595713</v>
      </c>
      <c r="C977" s="81">
        <v>24</v>
      </c>
      <c r="D977" s="23" t="s">
        <v>2187</v>
      </c>
      <c r="H977" s="346">
        <v>11.5</v>
      </c>
      <c r="I977" s="21">
        <v>10.73</v>
      </c>
      <c r="J977" s="23" t="s">
        <v>421</v>
      </c>
      <c r="K977" s="21">
        <v>2113259</v>
      </c>
      <c r="O977" s="347">
        <v>10436</v>
      </c>
      <c r="P977" s="87">
        <v>1</v>
      </c>
      <c r="Q977" s="87">
        <v>1</v>
      </c>
      <c r="R977" s="84">
        <v>11.5</v>
      </c>
      <c r="Y977" s="20">
        <f t="shared" si="45"/>
        <v>1</v>
      </c>
      <c r="AA977" s="98">
        <f t="shared" si="43"/>
        <v>0.76999999999999957</v>
      </c>
      <c r="AB977" s="350">
        <f t="shared" si="44"/>
        <v>0</v>
      </c>
    </row>
    <row r="978" spans="2:28" ht="22.15" customHeight="1" x14ac:dyDescent="0.25">
      <c r="B978" s="276">
        <v>8445290552174</v>
      </c>
      <c r="C978" s="81">
        <v>24</v>
      </c>
      <c r="D978" s="23" t="s">
        <v>2188</v>
      </c>
      <c r="H978" s="346">
        <v>11.5</v>
      </c>
      <c r="I978" s="21">
        <v>10.73</v>
      </c>
      <c r="J978" s="23" t="s">
        <v>421</v>
      </c>
      <c r="K978" s="21">
        <v>2111473</v>
      </c>
      <c r="O978" s="347">
        <v>16128</v>
      </c>
      <c r="P978" s="87">
        <v>1</v>
      </c>
      <c r="Q978" s="87">
        <v>1</v>
      </c>
      <c r="R978" s="84">
        <v>11.5</v>
      </c>
      <c r="Y978" s="20">
        <f t="shared" si="45"/>
        <v>1</v>
      </c>
      <c r="AA978" s="98">
        <f t="shared" si="43"/>
        <v>0.76999999999999957</v>
      </c>
      <c r="AB978" s="350">
        <f t="shared" si="44"/>
        <v>0</v>
      </c>
    </row>
    <row r="979" spans="2:28" ht="22.15" customHeight="1" x14ac:dyDescent="0.25">
      <c r="B979" s="276">
        <v>3800020401538</v>
      </c>
      <c r="C979" s="81">
        <v>24</v>
      </c>
      <c r="D979" s="23" t="s">
        <v>2189</v>
      </c>
      <c r="H979" s="346">
        <v>11.5</v>
      </c>
      <c r="I979" s="21">
        <v>10.73</v>
      </c>
      <c r="J979" s="23" t="s">
        <v>421</v>
      </c>
      <c r="K979" s="21">
        <v>2115524</v>
      </c>
      <c r="O979" s="347">
        <v>16241</v>
      </c>
      <c r="P979" s="87">
        <v>1</v>
      </c>
      <c r="Q979" s="87">
        <v>1</v>
      </c>
      <c r="R979" s="84">
        <v>11.5</v>
      </c>
      <c r="Y979" s="20">
        <f t="shared" si="45"/>
        <v>1</v>
      </c>
      <c r="AA979" s="98">
        <f t="shared" si="43"/>
        <v>0.76999999999999957</v>
      </c>
      <c r="AB979" s="350">
        <f t="shared" si="44"/>
        <v>0</v>
      </c>
    </row>
    <row r="980" spans="2:28" ht="22.15" customHeight="1" x14ac:dyDescent="0.25">
      <c r="B980" s="276">
        <v>3800020423578</v>
      </c>
      <c r="C980" s="81">
        <v>24</v>
      </c>
      <c r="D980" s="23" t="s">
        <v>2190</v>
      </c>
      <c r="H980" s="346">
        <v>11.5</v>
      </c>
      <c r="I980" s="21">
        <v>10.73</v>
      </c>
      <c r="J980" s="23" t="s">
        <v>421</v>
      </c>
      <c r="K980" s="21">
        <v>2010970</v>
      </c>
      <c r="O980" s="347">
        <v>26234</v>
      </c>
      <c r="P980" s="87">
        <v>1</v>
      </c>
      <c r="Q980" s="87">
        <v>1</v>
      </c>
      <c r="R980" s="84">
        <v>11.5</v>
      </c>
      <c r="Y980" s="20">
        <f t="shared" si="45"/>
        <v>1</v>
      </c>
      <c r="AA980" s="98">
        <f t="shared" si="43"/>
        <v>0.76999999999999957</v>
      </c>
      <c r="AB980" s="350">
        <f t="shared" si="44"/>
        <v>0</v>
      </c>
    </row>
    <row r="981" spans="2:28" ht="22.15" customHeight="1" x14ac:dyDescent="0.25">
      <c r="B981" s="276">
        <v>3800020493939</v>
      </c>
      <c r="C981" s="81">
        <v>24</v>
      </c>
      <c r="D981" s="23" t="s">
        <v>2191</v>
      </c>
      <c r="H981" s="346">
        <v>11.5</v>
      </c>
      <c r="I981" s="21">
        <v>10.73</v>
      </c>
      <c r="J981" s="23" t="s">
        <v>421</v>
      </c>
      <c r="K981" s="21">
        <v>2010718</v>
      </c>
      <c r="O981" s="347">
        <v>14239</v>
      </c>
      <c r="P981" s="87">
        <v>1</v>
      </c>
      <c r="Q981" s="87">
        <v>1</v>
      </c>
      <c r="R981" s="84">
        <v>11.5</v>
      </c>
      <c r="Y981" s="20">
        <f t="shared" si="45"/>
        <v>1</v>
      </c>
      <c r="AA981" s="98">
        <f t="shared" si="43"/>
        <v>0.76999999999999957</v>
      </c>
      <c r="AB981" s="350">
        <f t="shared" si="44"/>
        <v>0</v>
      </c>
    </row>
    <row r="982" spans="2:28" ht="22.15" customHeight="1" x14ac:dyDescent="0.25">
      <c r="B982" s="276">
        <v>3800020418772</v>
      </c>
      <c r="C982" s="81">
        <v>24</v>
      </c>
      <c r="D982" s="23" t="s">
        <v>2192</v>
      </c>
      <c r="H982" s="346">
        <v>11.5</v>
      </c>
      <c r="I982" s="21">
        <v>10.73</v>
      </c>
      <c r="J982" s="23" t="s">
        <v>421</v>
      </c>
      <c r="K982" s="21">
        <v>2012404</v>
      </c>
      <c r="O982" s="347">
        <v>18030</v>
      </c>
      <c r="P982" s="87">
        <v>1</v>
      </c>
      <c r="Q982" s="87">
        <v>1</v>
      </c>
      <c r="R982" s="84">
        <v>11.5</v>
      </c>
      <c r="Y982" s="20">
        <f t="shared" si="45"/>
        <v>1</v>
      </c>
      <c r="AA982" s="98">
        <f t="shared" si="43"/>
        <v>0.76999999999999957</v>
      </c>
      <c r="AB982" s="350">
        <f t="shared" si="44"/>
        <v>0</v>
      </c>
    </row>
    <row r="983" spans="2:28" ht="22.15" customHeight="1" x14ac:dyDescent="0.25">
      <c r="B983" s="276">
        <v>3800020401828</v>
      </c>
      <c r="C983" s="81">
        <v>24</v>
      </c>
      <c r="D983" s="23" t="s">
        <v>2193</v>
      </c>
      <c r="H983" s="346">
        <v>11.5</v>
      </c>
      <c r="I983" s="21">
        <v>10.73</v>
      </c>
      <c r="J983" s="23" t="s">
        <v>421</v>
      </c>
      <c r="K983" s="21">
        <v>2115926</v>
      </c>
      <c r="O983" s="347">
        <v>15903</v>
      </c>
      <c r="P983" s="87">
        <v>1</v>
      </c>
      <c r="Q983" s="87">
        <v>1</v>
      </c>
      <c r="R983" s="84">
        <v>12.5</v>
      </c>
      <c r="Y983" s="20">
        <f t="shared" si="45"/>
        <v>1</v>
      </c>
      <c r="AA983" s="98">
        <f t="shared" si="43"/>
        <v>0.76999999999999957</v>
      </c>
      <c r="AB983" s="350">
        <f t="shared" si="44"/>
        <v>1</v>
      </c>
    </row>
    <row r="984" spans="2:28" ht="22.15" customHeight="1" x14ac:dyDescent="0.25">
      <c r="B984" s="276">
        <v>8445291034433</v>
      </c>
      <c r="C984" s="81">
        <v>30</v>
      </c>
      <c r="D984" s="23" t="s">
        <v>2194</v>
      </c>
      <c r="H984" s="346">
        <v>7.5</v>
      </c>
      <c r="I984" s="21">
        <v>7.26</v>
      </c>
      <c r="J984" s="23" t="s">
        <v>421</v>
      </c>
      <c r="K984" s="21">
        <v>2114184</v>
      </c>
      <c r="O984" s="347">
        <v>1723</v>
      </c>
      <c r="P984" s="87">
        <v>1</v>
      </c>
      <c r="Q984" s="87">
        <v>1</v>
      </c>
      <c r="R984" s="84">
        <v>8.5</v>
      </c>
      <c r="Y984" s="20">
        <f t="shared" si="45"/>
        <v>1</v>
      </c>
      <c r="AA984" s="98">
        <f t="shared" si="43"/>
        <v>0.24000000000000021</v>
      </c>
      <c r="AB984" s="350">
        <f t="shared" si="44"/>
        <v>1</v>
      </c>
    </row>
    <row r="985" spans="2:28" ht="22.15" customHeight="1" x14ac:dyDescent="0.25">
      <c r="B985" s="276">
        <v>8445291111110</v>
      </c>
      <c r="C985" s="81">
        <v>30</v>
      </c>
      <c r="D985" s="23" t="s">
        <v>2195</v>
      </c>
      <c r="H985" s="346">
        <v>7.5</v>
      </c>
      <c r="I985" s="21">
        <v>7.26</v>
      </c>
      <c r="J985" s="23" t="s">
        <v>421</v>
      </c>
      <c r="K985" s="21">
        <v>2114182</v>
      </c>
      <c r="O985" s="347">
        <v>1079</v>
      </c>
      <c r="P985" s="87">
        <v>1</v>
      </c>
      <c r="Q985" s="87">
        <v>1</v>
      </c>
      <c r="R985" s="84">
        <v>8.5</v>
      </c>
      <c r="Y985" s="20">
        <f t="shared" si="45"/>
        <v>1</v>
      </c>
      <c r="AA985" s="98">
        <f t="shared" si="43"/>
        <v>0.24000000000000021</v>
      </c>
      <c r="AB985" s="350">
        <f t="shared" si="44"/>
        <v>1</v>
      </c>
    </row>
    <row r="986" spans="2:28" ht="22.15" customHeight="1" x14ac:dyDescent="0.25">
      <c r="B986" s="276">
        <v>8445291023819</v>
      </c>
      <c r="C986" s="81">
        <v>30</v>
      </c>
      <c r="D986" s="23" t="s">
        <v>2196</v>
      </c>
      <c r="H986" s="346">
        <v>7.5</v>
      </c>
      <c r="I986" s="21">
        <v>7.26</v>
      </c>
      <c r="J986" s="23" t="s">
        <v>421</v>
      </c>
      <c r="K986" s="21">
        <v>2114186</v>
      </c>
      <c r="O986" s="347">
        <v>2701</v>
      </c>
      <c r="P986" s="87">
        <v>1</v>
      </c>
      <c r="Q986" s="87">
        <v>1</v>
      </c>
      <c r="R986" s="84">
        <v>8.5</v>
      </c>
      <c r="Y986" s="20">
        <f t="shared" si="45"/>
        <v>1</v>
      </c>
      <c r="AA986" s="98">
        <f t="shared" si="43"/>
        <v>0.24000000000000021</v>
      </c>
      <c r="AB986" s="350">
        <f t="shared" si="44"/>
        <v>1</v>
      </c>
    </row>
    <row r="987" spans="2:28" ht="22.15" customHeight="1" x14ac:dyDescent="0.25">
      <c r="B987" s="276">
        <v>8445291034624</v>
      </c>
      <c r="C987" s="81">
        <v>30</v>
      </c>
      <c r="D987" s="23" t="s">
        <v>2197</v>
      </c>
      <c r="H987" s="346">
        <v>7.5</v>
      </c>
      <c r="I987" s="21">
        <v>7.26</v>
      </c>
      <c r="J987" s="23" t="s">
        <v>421</v>
      </c>
      <c r="K987" s="21">
        <v>2114185</v>
      </c>
      <c r="O987" s="347">
        <v>2592</v>
      </c>
      <c r="P987" s="87">
        <v>1</v>
      </c>
      <c r="Q987" s="87">
        <v>1</v>
      </c>
      <c r="R987" s="84">
        <v>8.5</v>
      </c>
      <c r="Y987" s="20">
        <f t="shared" si="45"/>
        <v>1</v>
      </c>
      <c r="AA987" s="98">
        <f t="shared" si="43"/>
        <v>0.24000000000000021</v>
      </c>
      <c r="AB987" s="350">
        <f t="shared" si="44"/>
        <v>1</v>
      </c>
    </row>
    <row r="988" spans="2:28" ht="22.15" customHeight="1" x14ac:dyDescent="0.25">
      <c r="B988" s="276">
        <v>9002859040986</v>
      </c>
      <c r="C988" s="81">
        <v>22</v>
      </c>
      <c r="D988" s="23" t="s">
        <v>2198</v>
      </c>
      <c r="H988" s="346">
        <v>40.9</v>
      </c>
      <c r="I988" s="21">
        <v>40.24</v>
      </c>
      <c r="J988" s="23" t="s">
        <v>521</v>
      </c>
      <c r="K988" s="21">
        <v>2010129</v>
      </c>
      <c r="O988" s="347">
        <v>1446</v>
      </c>
      <c r="P988" s="87">
        <v>1</v>
      </c>
      <c r="Q988" s="87">
        <v>1</v>
      </c>
      <c r="R988" s="84">
        <v>47.9</v>
      </c>
      <c r="Y988" s="20">
        <f t="shared" si="45"/>
        <v>1</v>
      </c>
      <c r="AA988" s="98">
        <f t="shared" si="43"/>
        <v>0.65999999999999659</v>
      </c>
      <c r="AB988" s="350">
        <f t="shared" si="44"/>
        <v>7</v>
      </c>
    </row>
    <row r="989" spans="2:28" ht="22.15" customHeight="1" x14ac:dyDescent="0.25">
      <c r="B989" s="276">
        <v>9002859036583</v>
      </c>
      <c r="C989" s="81">
        <v>22</v>
      </c>
      <c r="D989" s="23" t="s">
        <v>2199</v>
      </c>
      <c r="H989" s="346">
        <v>40.9</v>
      </c>
      <c r="I989" s="21">
        <v>40.24</v>
      </c>
      <c r="J989" s="23" t="s">
        <v>521</v>
      </c>
      <c r="K989" s="21">
        <v>2010130</v>
      </c>
      <c r="O989" s="347">
        <v>1453</v>
      </c>
      <c r="P989" s="87">
        <v>1</v>
      </c>
      <c r="Q989" s="87">
        <v>1</v>
      </c>
      <c r="R989" s="84">
        <v>47.9</v>
      </c>
      <c r="Y989" s="20">
        <f t="shared" si="45"/>
        <v>1</v>
      </c>
      <c r="AA989" s="98">
        <f t="shared" si="43"/>
        <v>0.65999999999999659</v>
      </c>
      <c r="AB989" s="350">
        <f t="shared" si="44"/>
        <v>7</v>
      </c>
    </row>
    <row r="990" spans="2:28" ht="22.15" customHeight="1" x14ac:dyDescent="0.25">
      <c r="B990" s="276">
        <v>7622210266972</v>
      </c>
      <c r="C990" s="81">
        <v>18</v>
      </c>
      <c r="D990" s="23" t="s">
        <v>2200</v>
      </c>
      <c r="H990" s="346">
        <v>72.900000000000006</v>
      </c>
      <c r="I990" s="21">
        <v>69.790000000000006</v>
      </c>
      <c r="J990" s="23" t="s">
        <v>526</v>
      </c>
      <c r="K990" s="21">
        <v>2013639</v>
      </c>
      <c r="O990" s="347">
        <v>518</v>
      </c>
      <c r="P990" s="87">
        <v>0</v>
      </c>
      <c r="Q990" s="87">
        <v>1</v>
      </c>
      <c r="R990" s="84">
        <v>79.900000000000006</v>
      </c>
      <c r="Y990" s="20">
        <f t="shared" si="45"/>
        <v>1</v>
      </c>
      <c r="AA990" s="98">
        <f t="shared" si="43"/>
        <v>3.1099999999999994</v>
      </c>
      <c r="AB990" s="350">
        <f t="shared" si="44"/>
        <v>7</v>
      </c>
    </row>
    <row r="991" spans="2:28" ht="22.15" customHeight="1" x14ac:dyDescent="0.25">
      <c r="B991" s="276">
        <v>8593894401227</v>
      </c>
      <c r="C991" s="81">
        <v>18</v>
      </c>
      <c r="D991" s="23" t="s">
        <v>2201</v>
      </c>
      <c r="H991" s="346">
        <v>72.900000000000006</v>
      </c>
      <c r="I991" s="21">
        <v>69.790000000000006</v>
      </c>
      <c r="J991" s="23" t="s">
        <v>526</v>
      </c>
      <c r="K991" s="21">
        <v>2012450</v>
      </c>
      <c r="O991" s="347">
        <v>93</v>
      </c>
      <c r="P991" s="87">
        <v>0</v>
      </c>
      <c r="Q991" s="87">
        <v>1</v>
      </c>
      <c r="R991" s="84">
        <v>79.900000000000006</v>
      </c>
      <c r="Y991" s="20">
        <f t="shared" si="45"/>
        <v>1</v>
      </c>
      <c r="AA991" s="98">
        <f t="shared" si="43"/>
        <v>3.1099999999999994</v>
      </c>
      <c r="AB991" s="350">
        <f t="shared" si="44"/>
        <v>7</v>
      </c>
    </row>
    <row r="992" spans="2:28" ht="22.15" customHeight="1" x14ac:dyDescent="0.25">
      <c r="B992" s="276">
        <v>7622210265043</v>
      </c>
      <c r="C992" s="81">
        <v>18</v>
      </c>
      <c r="D992" s="23" t="s">
        <v>2202</v>
      </c>
      <c r="H992" s="346">
        <v>72.900000000000006</v>
      </c>
      <c r="I992" s="21">
        <v>69.790000000000006</v>
      </c>
      <c r="J992" s="23" t="s">
        <v>526</v>
      </c>
      <c r="K992" s="21">
        <v>2012449</v>
      </c>
      <c r="O992" s="347">
        <v>567</v>
      </c>
      <c r="P992" s="87">
        <v>0</v>
      </c>
      <c r="Q992" s="87">
        <v>1</v>
      </c>
      <c r="R992" s="84">
        <v>79.900000000000006</v>
      </c>
      <c r="Y992" s="20">
        <f t="shared" si="45"/>
        <v>1</v>
      </c>
      <c r="AA992" s="98">
        <f t="shared" si="43"/>
        <v>3.1099999999999994</v>
      </c>
      <c r="AB992" s="350">
        <f t="shared" si="44"/>
        <v>7</v>
      </c>
    </row>
    <row r="993" spans="2:28" ht="22.15" customHeight="1" x14ac:dyDescent="0.25">
      <c r="B993" s="276">
        <v>4014400933079</v>
      </c>
      <c r="C993" s="81">
        <v>7</v>
      </c>
      <c r="D993" s="23" t="s">
        <v>2203</v>
      </c>
      <c r="H993" s="346">
        <v>88.9</v>
      </c>
      <c r="I993" s="21">
        <v>84.45</v>
      </c>
      <c r="J993" s="23" t="s">
        <v>518</v>
      </c>
      <c r="K993" s="21">
        <v>2114526</v>
      </c>
      <c r="O993" s="347">
        <v>474</v>
      </c>
      <c r="P993" s="87">
        <v>1</v>
      </c>
      <c r="Q993" s="87">
        <v>1</v>
      </c>
      <c r="R993" s="84">
        <v>86.9</v>
      </c>
      <c r="Y993" s="20">
        <f t="shared" si="45"/>
        <v>1</v>
      </c>
      <c r="AA993" s="98">
        <f t="shared" si="43"/>
        <v>4.4500000000000028</v>
      </c>
      <c r="AB993" s="350">
        <f t="shared" si="44"/>
        <v>-2</v>
      </c>
    </row>
    <row r="994" spans="2:28" ht="22.15" customHeight="1" x14ac:dyDescent="0.25">
      <c r="B994" s="276">
        <v>4014400933062</v>
      </c>
      <c r="C994" s="81">
        <v>7</v>
      </c>
      <c r="D994" s="23" t="s">
        <v>2204</v>
      </c>
      <c r="H994" s="346">
        <v>88.9</v>
      </c>
      <c r="I994" s="21">
        <v>84.45</v>
      </c>
      <c r="J994" s="23" t="s">
        <v>518</v>
      </c>
      <c r="K994" s="21">
        <v>2114527</v>
      </c>
      <c r="O994" s="347">
        <v>530</v>
      </c>
      <c r="P994" s="87">
        <v>1</v>
      </c>
      <c r="Q994" s="87">
        <v>1</v>
      </c>
      <c r="R994" s="84">
        <v>86.9</v>
      </c>
      <c r="Y994" s="20">
        <f t="shared" si="45"/>
        <v>1</v>
      </c>
      <c r="AA994" s="98">
        <f t="shared" si="43"/>
        <v>4.4500000000000028</v>
      </c>
      <c r="AB994" s="350">
        <f t="shared" si="44"/>
        <v>-2</v>
      </c>
    </row>
    <row r="995" spans="2:28" ht="22.15" customHeight="1" x14ac:dyDescent="0.25">
      <c r="B995" s="276">
        <v>4014400929058</v>
      </c>
      <c r="C995" s="81">
        <v>15</v>
      </c>
      <c r="D995" s="23" t="s">
        <v>2205</v>
      </c>
      <c r="H995" s="346">
        <v>28.9</v>
      </c>
      <c r="I995" s="21">
        <v>27.33</v>
      </c>
      <c r="J995" s="23" t="s">
        <v>518</v>
      </c>
      <c r="K995" s="21">
        <v>2110962</v>
      </c>
      <c r="O995" s="347">
        <v>59</v>
      </c>
      <c r="P995" s="87">
        <v>1</v>
      </c>
      <c r="Q995" s="87">
        <v>1</v>
      </c>
      <c r="R995" s="84">
        <v>31.9</v>
      </c>
      <c r="Y995" s="20">
        <f t="shared" si="45"/>
        <v>1</v>
      </c>
      <c r="AA995" s="98">
        <f t="shared" si="43"/>
        <v>1.5700000000000003</v>
      </c>
      <c r="AB995" s="350">
        <f t="shared" si="44"/>
        <v>3</v>
      </c>
    </row>
    <row r="996" spans="2:28" ht="22.15" customHeight="1" x14ac:dyDescent="0.25">
      <c r="B996" s="276">
        <v>8720892211644</v>
      </c>
      <c r="C996" s="81">
        <v>12</v>
      </c>
      <c r="D996" s="23" t="s">
        <v>2206</v>
      </c>
      <c r="H996" s="346">
        <v>46.9</v>
      </c>
      <c r="I996" s="21">
        <v>44.69</v>
      </c>
      <c r="J996" s="23" t="s">
        <v>534</v>
      </c>
      <c r="K996" s="21">
        <v>2115574</v>
      </c>
      <c r="O996" s="347">
        <v>308</v>
      </c>
      <c r="P996" s="87">
        <v>1</v>
      </c>
      <c r="Q996" s="87">
        <v>1</v>
      </c>
      <c r="R996" s="84">
        <v>52.9</v>
      </c>
      <c r="Y996" s="20">
        <f t="shared" si="45"/>
        <v>1</v>
      </c>
      <c r="AA996" s="98">
        <f t="shared" si="43"/>
        <v>2.2100000000000009</v>
      </c>
      <c r="AB996" s="350">
        <f t="shared" si="44"/>
        <v>6</v>
      </c>
    </row>
    <row r="997" spans="2:28" ht="22.15" customHeight="1" x14ac:dyDescent="0.25">
      <c r="B997" s="276">
        <v>8720892211637</v>
      </c>
      <c r="C997" s="81">
        <v>12</v>
      </c>
      <c r="D997" s="23" t="s">
        <v>2207</v>
      </c>
      <c r="H997" s="346">
        <v>46.9</v>
      </c>
      <c r="I997" s="21">
        <v>44.69</v>
      </c>
      <c r="J997" s="23" t="s">
        <v>534</v>
      </c>
      <c r="K997" s="21">
        <v>2115572</v>
      </c>
      <c r="O997" s="347">
        <v>243</v>
      </c>
      <c r="P997" s="87">
        <v>1</v>
      </c>
      <c r="Q997" s="87">
        <v>1</v>
      </c>
      <c r="R997" s="84">
        <v>52.9</v>
      </c>
      <c r="Y997" s="20">
        <f t="shared" si="45"/>
        <v>1</v>
      </c>
      <c r="AA997" s="98">
        <f t="shared" si="43"/>
        <v>2.2100000000000009</v>
      </c>
      <c r="AB997" s="350">
        <f t="shared" si="44"/>
        <v>6</v>
      </c>
    </row>
    <row r="998" spans="2:28" ht="22.15" customHeight="1" x14ac:dyDescent="0.25">
      <c r="B998" s="276">
        <v>8720892211620</v>
      </c>
      <c r="C998" s="81">
        <v>12</v>
      </c>
      <c r="D998" s="23" t="s">
        <v>2208</v>
      </c>
      <c r="H998" s="346">
        <v>46.9</v>
      </c>
      <c r="I998" s="21">
        <v>44.69</v>
      </c>
      <c r="J998" s="23" t="s">
        <v>534</v>
      </c>
      <c r="K998" s="21">
        <v>2115573</v>
      </c>
      <c r="O998" s="347">
        <v>177</v>
      </c>
      <c r="P998" s="87">
        <v>1</v>
      </c>
      <c r="Q998" s="87">
        <v>1</v>
      </c>
      <c r="R998" s="84">
        <v>52.9</v>
      </c>
      <c r="Y998" s="20">
        <f t="shared" si="45"/>
        <v>1</v>
      </c>
      <c r="AA998" s="98">
        <f t="shared" si="43"/>
        <v>2.2100000000000009</v>
      </c>
      <c r="AB998" s="350">
        <f t="shared" si="44"/>
        <v>6</v>
      </c>
    </row>
    <row r="999" spans="2:28" ht="22.15" customHeight="1" x14ac:dyDescent="0.25">
      <c r="B999" s="276">
        <v>8410525185731</v>
      </c>
      <c r="C999" s="81">
        <v>6</v>
      </c>
      <c r="D999" s="23" t="s">
        <v>2209</v>
      </c>
      <c r="H999" s="346">
        <v>215</v>
      </c>
      <c r="I999" s="21">
        <v>204.96</v>
      </c>
      <c r="J999" s="23" t="s">
        <v>539</v>
      </c>
      <c r="K999" s="21">
        <v>2011617</v>
      </c>
      <c r="O999" s="347">
        <v>100</v>
      </c>
      <c r="P999" s="87">
        <v>1</v>
      </c>
      <c r="Q999" s="87">
        <v>1</v>
      </c>
      <c r="R999" s="84">
        <v>235</v>
      </c>
      <c r="Y999" s="20">
        <f t="shared" si="45"/>
        <v>1</v>
      </c>
      <c r="AA999" s="98">
        <f t="shared" si="43"/>
        <v>10.039999999999992</v>
      </c>
      <c r="AB999" s="350">
        <f t="shared" si="44"/>
        <v>20</v>
      </c>
    </row>
    <row r="1000" spans="2:28" ht="22.15" customHeight="1" x14ac:dyDescent="0.25">
      <c r="B1000" s="276">
        <v>8410525184598</v>
      </c>
      <c r="C1000" s="81">
        <v>6</v>
      </c>
      <c r="D1000" s="23" t="s">
        <v>2210</v>
      </c>
      <c r="H1000" s="346">
        <v>215</v>
      </c>
      <c r="I1000" s="21">
        <v>204.96</v>
      </c>
      <c r="J1000" s="23" t="s">
        <v>539</v>
      </c>
      <c r="K1000" s="21">
        <v>2011256</v>
      </c>
      <c r="O1000" s="347">
        <v>46</v>
      </c>
      <c r="P1000" s="87">
        <v>1</v>
      </c>
      <c r="Q1000" s="87">
        <v>1</v>
      </c>
      <c r="R1000" s="84">
        <v>235</v>
      </c>
      <c r="Y1000" s="20">
        <f>COUNTIF(K:K,K999)</f>
        <v>1</v>
      </c>
      <c r="AA1000" s="98">
        <f>H999-I999</f>
        <v>10.039999999999992</v>
      </c>
      <c r="AB1000" s="350">
        <f>R999-H999</f>
        <v>20</v>
      </c>
    </row>
    <row r="1001" spans="2:28" ht="22.15" customHeight="1" x14ac:dyDescent="0.25">
      <c r="B1001" s="276">
        <v>8410525173950</v>
      </c>
      <c r="C1001" s="81">
        <v>8</v>
      </c>
      <c r="D1001" s="23" t="s">
        <v>2211</v>
      </c>
      <c r="H1001" s="346">
        <v>275</v>
      </c>
      <c r="I1001" s="21">
        <v>260.95999999999998</v>
      </c>
      <c r="J1001" s="23" t="s">
        <v>539</v>
      </c>
      <c r="K1001" s="21">
        <v>2110362</v>
      </c>
      <c r="O1001" s="347">
        <v>137</v>
      </c>
      <c r="P1001" s="87">
        <v>1</v>
      </c>
      <c r="Q1001" s="87">
        <v>1</v>
      </c>
      <c r="R1001" s="84">
        <v>295</v>
      </c>
      <c r="Y1001" s="20">
        <f>COUNTIF(K:K,K1000)</f>
        <v>1</v>
      </c>
      <c r="AA1001" s="98">
        <f>H1000-I1000</f>
        <v>10.039999999999992</v>
      </c>
      <c r="AB1001" s="350">
        <f>R1000-H1000</f>
        <v>20</v>
      </c>
    </row>
    <row r="1002" spans="2:28" ht="22.15" customHeight="1" x14ac:dyDescent="0.25">
      <c r="B1002" s="276">
        <v>12112301</v>
      </c>
      <c r="C1002" s="81">
        <v>8</v>
      </c>
      <c r="D1002" s="23" t="s">
        <v>2212</v>
      </c>
      <c r="H1002" s="346">
        <v>275</v>
      </c>
      <c r="I1002" s="21">
        <v>260.95999999999998</v>
      </c>
      <c r="J1002" s="23" t="s">
        <v>539</v>
      </c>
      <c r="K1002" s="21">
        <v>2112301</v>
      </c>
      <c r="O1002" s="347">
        <v>26</v>
      </c>
      <c r="P1002" s="87">
        <v>1</v>
      </c>
      <c r="Q1002" s="87">
        <v>1</v>
      </c>
      <c r="R1002" s="84">
        <v>295</v>
      </c>
      <c r="Y1002" s="20">
        <f>COUNTIF(K:K,K1001)</f>
        <v>1</v>
      </c>
      <c r="AA1002" s="98">
        <f>H1001-I1001</f>
        <v>14.04000000000002</v>
      </c>
      <c r="AB1002" s="350">
        <f>R1001-H1001</f>
        <v>20</v>
      </c>
    </row>
    <row r="1003" spans="2:28" ht="22.15" customHeight="1" x14ac:dyDescent="0.25">
      <c r="B1003" s="276">
        <v>9015810001063</v>
      </c>
      <c r="C1003" s="81">
        <v>12</v>
      </c>
      <c r="D1003" s="23" t="s">
        <v>2213</v>
      </c>
      <c r="H1003" s="346">
        <v>57.9</v>
      </c>
      <c r="I1003" s="21">
        <v>54.53</v>
      </c>
      <c r="J1003" s="23" t="s">
        <v>550</v>
      </c>
      <c r="K1003" s="21">
        <v>2115552</v>
      </c>
      <c r="O1003" s="347">
        <v>235</v>
      </c>
      <c r="P1003" s="87">
        <v>1</v>
      </c>
      <c r="Q1003" s="87">
        <v>1</v>
      </c>
      <c r="R1003" s="84">
        <v>62.9</v>
      </c>
      <c r="Y1003" s="20">
        <f t="shared" ref="Y1003:Y1034" si="46">COUNTIF(K:K,K1003)</f>
        <v>1</v>
      </c>
      <c r="AA1003" s="98">
        <f t="shared" si="43"/>
        <v>3.3699999999999974</v>
      </c>
      <c r="AB1003" s="350">
        <f t="shared" si="44"/>
        <v>5</v>
      </c>
    </row>
    <row r="1004" spans="2:28" ht="22.15" customHeight="1" x14ac:dyDescent="0.25">
      <c r="B1004" s="276">
        <v>9001508084722</v>
      </c>
      <c r="C1004" s="81">
        <v>32</v>
      </c>
      <c r="D1004" s="23" t="s">
        <v>2214</v>
      </c>
      <c r="H1004" s="346">
        <v>52.9</v>
      </c>
      <c r="I1004" s="21">
        <v>50.09</v>
      </c>
      <c r="J1004" s="23" t="s">
        <v>550</v>
      </c>
      <c r="K1004" s="21">
        <v>2014738</v>
      </c>
      <c r="O1004" s="347">
        <v>317</v>
      </c>
      <c r="P1004" s="87">
        <v>1</v>
      </c>
      <c r="Q1004" s="87">
        <v>1</v>
      </c>
      <c r="R1004" s="84">
        <v>57.9</v>
      </c>
      <c r="Y1004" s="20">
        <f t="shared" si="46"/>
        <v>1</v>
      </c>
      <c r="AA1004" s="98">
        <f t="shared" si="43"/>
        <v>2.8099999999999952</v>
      </c>
      <c r="AB1004" s="350">
        <f t="shared" si="44"/>
        <v>5</v>
      </c>
    </row>
    <row r="1005" spans="2:28" ht="22.15" customHeight="1" x14ac:dyDescent="0.25">
      <c r="B1005" s="276">
        <v>9001508084609</v>
      </c>
      <c r="C1005" s="81">
        <v>18</v>
      </c>
      <c r="D1005" s="23" t="s">
        <v>2215</v>
      </c>
      <c r="H1005" s="346">
        <v>95.9</v>
      </c>
      <c r="I1005" s="21">
        <v>91.74</v>
      </c>
      <c r="J1005" s="23" t="s">
        <v>550</v>
      </c>
      <c r="K1005" s="21">
        <v>2010535</v>
      </c>
      <c r="O1005" s="347">
        <v>181</v>
      </c>
      <c r="P1005" s="87">
        <v>1</v>
      </c>
      <c r="Q1005" s="87">
        <v>1</v>
      </c>
      <c r="R1005" s="84">
        <v>104.9</v>
      </c>
      <c r="Y1005" s="20">
        <f t="shared" si="46"/>
        <v>1</v>
      </c>
      <c r="AA1005" s="98">
        <f t="shared" si="43"/>
        <v>4.1600000000000108</v>
      </c>
      <c r="AB1005" s="350">
        <f t="shared" si="44"/>
        <v>9</v>
      </c>
    </row>
    <row r="1006" spans="2:28" ht="22.15" customHeight="1" x14ac:dyDescent="0.25">
      <c r="B1006" s="276">
        <v>9001508084920</v>
      </c>
      <c r="C1006" s="81">
        <v>18</v>
      </c>
      <c r="D1006" s="23" t="s">
        <v>2216</v>
      </c>
      <c r="H1006" s="346">
        <v>110</v>
      </c>
      <c r="I1006" s="21">
        <v>104.94</v>
      </c>
      <c r="J1006" s="23" t="s">
        <v>550</v>
      </c>
      <c r="K1006" s="21">
        <v>2014739</v>
      </c>
      <c r="O1006" s="347">
        <v>62</v>
      </c>
      <c r="P1006" s="87">
        <v>1</v>
      </c>
      <c r="Q1006" s="87">
        <v>1</v>
      </c>
      <c r="R1006" s="84">
        <v>119.9</v>
      </c>
      <c r="Y1006" s="20">
        <f t="shared" si="46"/>
        <v>1</v>
      </c>
      <c r="AA1006" s="98">
        <f t="shared" ref="AA1006:AA1069" si="47">H1006-I1006</f>
        <v>5.0600000000000023</v>
      </c>
      <c r="AB1006" s="350">
        <f t="shared" ref="AB1006:AB1069" si="48">R1006-H1006</f>
        <v>9.9000000000000057</v>
      </c>
    </row>
    <row r="1007" spans="2:28" ht="22.15" customHeight="1" x14ac:dyDescent="0.25">
      <c r="B1007" s="276">
        <v>8690481003175</v>
      </c>
      <c r="C1007" s="81">
        <v>24</v>
      </c>
      <c r="D1007" s="23" t="s">
        <v>2217</v>
      </c>
      <c r="H1007" s="346">
        <v>9.1999999999999993</v>
      </c>
      <c r="I1007" s="21">
        <v>8.74</v>
      </c>
      <c r="J1007" s="23" t="s">
        <v>554</v>
      </c>
      <c r="K1007" s="21">
        <v>2014128</v>
      </c>
      <c r="O1007" s="347">
        <v>3444</v>
      </c>
      <c r="P1007" s="87">
        <v>1</v>
      </c>
      <c r="Q1007" s="87">
        <v>1</v>
      </c>
      <c r="R1007" s="84">
        <v>9.9</v>
      </c>
      <c r="Y1007" s="20">
        <f t="shared" si="46"/>
        <v>1</v>
      </c>
      <c r="AA1007" s="98">
        <f t="shared" si="47"/>
        <v>0.45999999999999908</v>
      </c>
      <c r="AB1007" s="350">
        <f t="shared" si="48"/>
        <v>0.70000000000000107</v>
      </c>
    </row>
    <row r="1008" spans="2:28" ht="22.15" customHeight="1" x14ac:dyDescent="0.25">
      <c r="B1008" s="276">
        <v>8693029204775</v>
      </c>
      <c r="C1008" s="81">
        <v>8</v>
      </c>
      <c r="D1008" s="23" t="s">
        <v>2218</v>
      </c>
      <c r="H1008" s="346">
        <v>109</v>
      </c>
      <c r="I1008" s="21">
        <v>101.08</v>
      </c>
      <c r="J1008" s="23" t="s">
        <v>557</v>
      </c>
      <c r="K1008" s="21">
        <v>2110896</v>
      </c>
      <c r="O1008" s="347">
        <v>340</v>
      </c>
      <c r="P1008" s="87">
        <v>1</v>
      </c>
      <c r="Q1008" s="87">
        <v>1</v>
      </c>
      <c r="R1008" s="84">
        <v>115</v>
      </c>
      <c r="Y1008" s="20">
        <f t="shared" si="46"/>
        <v>1</v>
      </c>
      <c r="AA1008" s="98">
        <f t="shared" si="47"/>
        <v>7.9200000000000017</v>
      </c>
      <c r="AB1008" s="350">
        <f t="shared" si="48"/>
        <v>6</v>
      </c>
    </row>
    <row r="1009" spans="2:28" ht="22.15" customHeight="1" x14ac:dyDescent="0.25">
      <c r="B1009" s="276">
        <v>8693029204034</v>
      </c>
      <c r="C1009" s="81">
        <v>8</v>
      </c>
      <c r="D1009" s="23" t="s">
        <v>2219</v>
      </c>
      <c r="H1009" s="346">
        <v>109</v>
      </c>
      <c r="I1009" s="21">
        <v>101.08</v>
      </c>
      <c r="J1009" s="23" t="s">
        <v>557</v>
      </c>
      <c r="K1009" s="21">
        <v>2010171</v>
      </c>
      <c r="O1009" s="347">
        <v>345</v>
      </c>
      <c r="P1009" s="87">
        <v>1</v>
      </c>
      <c r="Q1009" s="87">
        <v>1</v>
      </c>
      <c r="R1009" s="84">
        <v>115</v>
      </c>
      <c r="Y1009" s="20">
        <f t="shared" si="46"/>
        <v>1</v>
      </c>
      <c r="AA1009" s="98">
        <f t="shared" si="47"/>
        <v>7.9200000000000017</v>
      </c>
      <c r="AB1009" s="350">
        <f t="shared" si="48"/>
        <v>6</v>
      </c>
    </row>
    <row r="1010" spans="2:28" ht="22.15" customHeight="1" x14ac:dyDescent="0.25">
      <c r="B1010" s="276">
        <v>8693029204782</v>
      </c>
      <c r="C1010" s="81">
        <v>8</v>
      </c>
      <c r="D1010" s="23" t="s">
        <v>2220</v>
      </c>
      <c r="H1010" s="346">
        <v>109</v>
      </c>
      <c r="I1010" s="21">
        <v>101.08</v>
      </c>
      <c r="J1010" s="23" t="s">
        <v>557</v>
      </c>
      <c r="K1010" s="21">
        <v>2010174</v>
      </c>
      <c r="O1010" s="347">
        <v>926</v>
      </c>
      <c r="P1010" s="87">
        <v>1</v>
      </c>
      <c r="Q1010" s="87">
        <v>1</v>
      </c>
      <c r="R1010" s="84">
        <v>115</v>
      </c>
      <c r="Y1010" s="20">
        <f t="shared" si="46"/>
        <v>1</v>
      </c>
      <c r="AA1010" s="98">
        <f t="shared" si="47"/>
        <v>7.9200000000000017</v>
      </c>
      <c r="AB1010" s="350">
        <f t="shared" si="48"/>
        <v>6</v>
      </c>
    </row>
    <row r="1011" spans="2:28" ht="22.15" customHeight="1" x14ac:dyDescent="0.25">
      <c r="B1011" s="276">
        <v>8693029204027</v>
      </c>
      <c r="C1011" s="81">
        <v>8</v>
      </c>
      <c r="D1011" s="23" t="s">
        <v>2221</v>
      </c>
      <c r="H1011" s="346">
        <v>109</v>
      </c>
      <c r="I1011" s="21">
        <v>101.08</v>
      </c>
      <c r="J1011" s="23" t="s">
        <v>557</v>
      </c>
      <c r="K1011" s="21">
        <v>2110894</v>
      </c>
      <c r="O1011" s="347">
        <v>330</v>
      </c>
      <c r="P1011" s="87">
        <v>1</v>
      </c>
      <c r="Q1011" s="87">
        <v>1</v>
      </c>
      <c r="R1011" s="84">
        <v>115</v>
      </c>
      <c r="Y1011" s="20">
        <f t="shared" si="46"/>
        <v>1</v>
      </c>
      <c r="AA1011" s="98">
        <f t="shared" si="47"/>
        <v>7.9200000000000017</v>
      </c>
      <c r="AB1011" s="350">
        <f t="shared" si="48"/>
        <v>6</v>
      </c>
    </row>
    <row r="1012" spans="2:28" ht="22.15" customHeight="1" x14ac:dyDescent="0.25">
      <c r="B1012" s="276">
        <v>5900951310430</v>
      </c>
      <c r="C1012" s="81">
        <v>24</v>
      </c>
      <c r="D1012" s="23" t="s">
        <v>2222</v>
      </c>
      <c r="H1012" s="346">
        <v>11.5</v>
      </c>
      <c r="I1012" s="21">
        <v>11.32</v>
      </c>
      <c r="J1012" s="23" t="s">
        <v>560</v>
      </c>
      <c r="K1012" s="21">
        <v>2112377</v>
      </c>
      <c r="O1012" s="347">
        <v>9549</v>
      </c>
      <c r="P1012" s="87">
        <v>1</v>
      </c>
      <c r="Q1012" s="87">
        <v>1</v>
      </c>
      <c r="R1012" s="84">
        <v>12.9</v>
      </c>
      <c r="Y1012" s="20">
        <f t="shared" si="46"/>
        <v>1</v>
      </c>
      <c r="AA1012" s="98">
        <f t="shared" si="47"/>
        <v>0.17999999999999972</v>
      </c>
      <c r="AB1012" s="350">
        <f t="shared" si="48"/>
        <v>1.4000000000000004</v>
      </c>
    </row>
    <row r="1013" spans="2:28" ht="22.15" customHeight="1" x14ac:dyDescent="0.25">
      <c r="B1013" s="276">
        <v>5900951313592</v>
      </c>
      <c r="C1013" s="81">
        <v>30</v>
      </c>
      <c r="D1013" s="23" t="s">
        <v>2223</v>
      </c>
      <c r="H1013" s="346">
        <v>11.5</v>
      </c>
      <c r="I1013" s="21">
        <v>11.32</v>
      </c>
      <c r="J1013" s="23" t="s">
        <v>560</v>
      </c>
      <c r="K1013" s="21">
        <v>2010041</v>
      </c>
      <c r="O1013" s="347">
        <v>14731</v>
      </c>
      <c r="P1013" s="87">
        <v>1</v>
      </c>
      <c r="Q1013" s="87">
        <v>1</v>
      </c>
      <c r="R1013" s="84">
        <v>12.9</v>
      </c>
      <c r="Y1013" s="20">
        <f t="shared" si="46"/>
        <v>1</v>
      </c>
      <c r="AA1013" s="98">
        <f t="shared" si="47"/>
        <v>0.17999999999999972</v>
      </c>
      <c r="AB1013" s="350">
        <f t="shared" si="48"/>
        <v>1.4000000000000004</v>
      </c>
    </row>
    <row r="1014" spans="2:28" ht="22.15" customHeight="1" x14ac:dyDescent="0.25">
      <c r="B1014" s="276">
        <v>5000159556804</v>
      </c>
      <c r="C1014" s="81">
        <v>32</v>
      </c>
      <c r="D1014" s="23" t="s">
        <v>2224</v>
      </c>
      <c r="H1014" s="346">
        <v>11.5</v>
      </c>
      <c r="I1014" s="21">
        <v>11.32</v>
      </c>
      <c r="J1014" s="23" t="s">
        <v>560</v>
      </c>
      <c r="K1014" s="21">
        <v>2013829</v>
      </c>
      <c r="O1014" s="347">
        <v>9840</v>
      </c>
      <c r="P1014" s="87">
        <v>1</v>
      </c>
      <c r="Q1014" s="87">
        <v>1</v>
      </c>
      <c r="R1014" s="84">
        <v>12.9</v>
      </c>
      <c r="Y1014" s="20">
        <f t="shared" si="46"/>
        <v>1</v>
      </c>
      <c r="AA1014" s="98">
        <f t="shared" si="47"/>
        <v>0.17999999999999972</v>
      </c>
      <c r="AB1014" s="350">
        <f t="shared" si="48"/>
        <v>1.4000000000000004</v>
      </c>
    </row>
    <row r="1015" spans="2:28" ht="22.15" customHeight="1" x14ac:dyDescent="0.25">
      <c r="B1015" s="276">
        <v>5900951311321</v>
      </c>
      <c r="C1015" s="81">
        <v>40</v>
      </c>
      <c r="D1015" s="23" t="s">
        <v>2225</v>
      </c>
      <c r="H1015" s="346">
        <v>11.5</v>
      </c>
      <c r="I1015" s="21">
        <v>11.32</v>
      </c>
      <c r="J1015" s="23" t="s">
        <v>560</v>
      </c>
      <c r="K1015" s="21">
        <v>2010046</v>
      </c>
      <c r="O1015" s="347">
        <v>19381</v>
      </c>
      <c r="P1015" s="87">
        <v>1</v>
      </c>
      <c r="Q1015" s="87">
        <v>1</v>
      </c>
      <c r="R1015" s="84">
        <v>12.9</v>
      </c>
      <c r="Y1015" s="20">
        <f t="shared" si="46"/>
        <v>1</v>
      </c>
      <c r="AA1015" s="98">
        <f t="shared" si="47"/>
        <v>0.17999999999999972</v>
      </c>
      <c r="AB1015" s="350">
        <f t="shared" si="48"/>
        <v>1.4000000000000004</v>
      </c>
    </row>
    <row r="1016" spans="2:28" ht="22.15" customHeight="1" x14ac:dyDescent="0.25">
      <c r="B1016" s="276">
        <v>5000159556873</v>
      </c>
      <c r="C1016" s="81">
        <v>30</v>
      </c>
      <c r="D1016" s="23" t="s">
        <v>2226</v>
      </c>
      <c r="H1016" s="346">
        <v>11.5</v>
      </c>
      <c r="I1016" s="21">
        <v>11.32</v>
      </c>
      <c r="J1016" s="23" t="s">
        <v>560</v>
      </c>
      <c r="K1016" s="21">
        <v>2110033</v>
      </c>
      <c r="O1016" s="347">
        <v>7300</v>
      </c>
      <c r="P1016" s="87">
        <v>1</v>
      </c>
      <c r="Q1016" s="87">
        <v>1</v>
      </c>
      <c r="R1016" s="84">
        <v>12.9</v>
      </c>
      <c r="Y1016" s="20">
        <f t="shared" si="46"/>
        <v>1</v>
      </c>
      <c r="AA1016" s="98">
        <f t="shared" si="47"/>
        <v>0.17999999999999972</v>
      </c>
      <c r="AB1016" s="350">
        <f t="shared" si="48"/>
        <v>1.4000000000000004</v>
      </c>
    </row>
    <row r="1017" spans="2:28" ht="22.15" customHeight="1" x14ac:dyDescent="0.25">
      <c r="B1017" s="276">
        <v>8585000208691</v>
      </c>
      <c r="C1017" s="81">
        <v>18</v>
      </c>
      <c r="D1017" s="23" t="s">
        <v>2227</v>
      </c>
      <c r="H1017" s="346">
        <v>13.9</v>
      </c>
      <c r="I1017" s="21">
        <v>13.31</v>
      </c>
      <c r="J1017" s="23" t="s">
        <v>562</v>
      </c>
      <c r="K1017" s="21">
        <v>2016688</v>
      </c>
      <c r="O1017" s="347">
        <v>803</v>
      </c>
      <c r="P1017" s="87">
        <v>1</v>
      </c>
      <c r="Q1017" s="87">
        <v>1</v>
      </c>
      <c r="R1017" s="84">
        <v>14.9</v>
      </c>
      <c r="Y1017" s="20">
        <f t="shared" si="46"/>
        <v>1</v>
      </c>
      <c r="AA1017" s="98">
        <f t="shared" si="47"/>
        <v>0.58999999999999986</v>
      </c>
      <c r="AB1017" s="350">
        <f t="shared" si="48"/>
        <v>1</v>
      </c>
    </row>
    <row r="1018" spans="2:28" ht="22.15" customHeight="1" x14ac:dyDescent="0.25">
      <c r="B1018" s="276">
        <v>8585000208530</v>
      </c>
      <c r="C1018" s="81">
        <v>18</v>
      </c>
      <c r="D1018" s="23" t="s">
        <v>2228</v>
      </c>
      <c r="H1018" s="346">
        <v>13.9</v>
      </c>
      <c r="I1018" s="21">
        <v>13.31</v>
      </c>
      <c r="J1018" s="23" t="s">
        <v>562</v>
      </c>
      <c r="K1018" s="21">
        <v>2016689</v>
      </c>
      <c r="O1018" s="347">
        <v>1281</v>
      </c>
      <c r="P1018" s="87">
        <v>1</v>
      </c>
      <c r="Q1018" s="87">
        <v>1</v>
      </c>
      <c r="R1018" s="84">
        <v>14.9</v>
      </c>
      <c r="Y1018" s="20">
        <f t="shared" si="46"/>
        <v>1</v>
      </c>
      <c r="AA1018" s="98">
        <f t="shared" si="47"/>
        <v>0.58999999999999986</v>
      </c>
      <c r="AB1018" s="350">
        <f t="shared" si="48"/>
        <v>1</v>
      </c>
    </row>
    <row r="1019" spans="2:28" ht="22.15" customHeight="1" x14ac:dyDescent="0.25">
      <c r="B1019" s="276">
        <v>8594027771026</v>
      </c>
      <c r="C1019" s="81">
        <v>280</v>
      </c>
      <c r="D1019" s="23" t="s">
        <v>2229</v>
      </c>
      <c r="H1019" s="346">
        <v>5.9</v>
      </c>
      <c r="I1019" s="21">
        <v>5.54</v>
      </c>
      <c r="J1019" s="23" t="s">
        <v>571</v>
      </c>
      <c r="K1019" s="21">
        <v>2014357</v>
      </c>
      <c r="O1019" s="347">
        <v>16622</v>
      </c>
      <c r="P1019" s="87">
        <v>1</v>
      </c>
      <c r="Q1019" s="87">
        <v>1</v>
      </c>
      <c r="R1019" s="84">
        <v>6.5</v>
      </c>
      <c r="Y1019" s="20">
        <f t="shared" si="46"/>
        <v>1</v>
      </c>
      <c r="AA1019" s="98">
        <f t="shared" si="47"/>
        <v>0.36000000000000032</v>
      </c>
      <c r="AB1019" s="350">
        <f t="shared" si="48"/>
        <v>0.59999999999999964</v>
      </c>
    </row>
    <row r="1020" spans="2:28" ht="22.15" customHeight="1" x14ac:dyDescent="0.25">
      <c r="B1020" s="276">
        <v>8594027771040</v>
      </c>
      <c r="C1020" s="81">
        <v>280</v>
      </c>
      <c r="D1020" s="23" t="s">
        <v>2230</v>
      </c>
      <c r="H1020" s="346">
        <v>6.3</v>
      </c>
      <c r="I1020" s="21">
        <v>5.99</v>
      </c>
      <c r="J1020" s="23" t="s">
        <v>571</v>
      </c>
      <c r="K1020" s="21">
        <v>2014660</v>
      </c>
      <c r="O1020" s="347">
        <v>1689</v>
      </c>
      <c r="P1020" s="87">
        <v>1</v>
      </c>
      <c r="Q1020" s="87">
        <v>1</v>
      </c>
      <c r="R1020" s="84">
        <v>6.9</v>
      </c>
      <c r="Y1020" s="20">
        <f t="shared" si="46"/>
        <v>1</v>
      </c>
      <c r="AA1020" s="98">
        <f t="shared" si="47"/>
        <v>0.30999999999999961</v>
      </c>
      <c r="AB1020" s="350">
        <f t="shared" si="48"/>
        <v>0.60000000000000053</v>
      </c>
    </row>
    <row r="1021" spans="2:28" ht="22.15" customHeight="1" x14ac:dyDescent="0.25">
      <c r="B1021" s="276">
        <v>8594027779558</v>
      </c>
      <c r="C1021" s="81">
        <v>56</v>
      </c>
      <c r="D1021" s="23" t="s">
        <v>2231</v>
      </c>
      <c r="H1021" s="346">
        <v>21.9</v>
      </c>
      <c r="I1021" s="21">
        <v>20.89</v>
      </c>
      <c r="J1021" s="23" t="s">
        <v>571</v>
      </c>
      <c r="K1021" s="21">
        <v>2014356</v>
      </c>
      <c r="O1021" s="347">
        <v>3997</v>
      </c>
      <c r="P1021" s="87">
        <v>1</v>
      </c>
      <c r="Q1021" s="87">
        <v>1</v>
      </c>
      <c r="R1021" s="84">
        <v>23.9</v>
      </c>
      <c r="Y1021" s="20">
        <f t="shared" si="46"/>
        <v>1</v>
      </c>
      <c r="AA1021" s="98">
        <f t="shared" si="47"/>
        <v>1.009999999999998</v>
      </c>
      <c r="AB1021" s="350">
        <f t="shared" si="48"/>
        <v>2</v>
      </c>
    </row>
    <row r="1022" spans="2:28" ht="22.15" customHeight="1" x14ac:dyDescent="0.25">
      <c r="B1022" s="276">
        <v>3850102127252</v>
      </c>
      <c r="C1022" s="81">
        <v>72</v>
      </c>
      <c r="D1022" s="23" t="s">
        <v>2232</v>
      </c>
      <c r="H1022" s="346">
        <v>6.9</v>
      </c>
      <c r="I1022" s="21">
        <v>6.71</v>
      </c>
      <c r="J1022" s="23" t="s">
        <v>574</v>
      </c>
      <c r="K1022" s="21">
        <v>2014998</v>
      </c>
      <c r="O1022" s="347">
        <v>600</v>
      </c>
      <c r="P1022" s="87">
        <v>1</v>
      </c>
      <c r="Q1022" s="87">
        <v>1</v>
      </c>
      <c r="R1022" s="84">
        <v>8.1999999999999993</v>
      </c>
      <c r="Y1022" s="20">
        <f t="shared" si="46"/>
        <v>1</v>
      </c>
      <c r="AA1022" s="98">
        <f t="shared" si="47"/>
        <v>0.19000000000000039</v>
      </c>
      <c r="AB1022" s="350">
        <f t="shared" si="48"/>
        <v>1.2999999999999989</v>
      </c>
    </row>
    <row r="1023" spans="2:28" ht="22.15" customHeight="1" x14ac:dyDescent="0.25">
      <c r="B1023" s="276">
        <v>8412600019689</v>
      </c>
      <c r="C1023" s="81">
        <v>18</v>
      </c>
      <c r="D1023" s="23" t="s">
        <v>2233</v>
      </c>
      <c r="H1023" s="346">
        <v>35.9</v>
      </c>
      <c r="I1023" s="21">
        <v>35.729999999999997</v>
      </c>
      <c r="J1023" s="23" t="s">
        <v>648</v>
      </c>
      <c r="K1023" s="21">
        <v>4101465</v>
      </c>
      <c r="O1023" s="347">
        <v>4375</v>
      </c>
      <c r="P1023" s="87">
        <v>1</v>
      </c>
      <c r="Q1023" s="87">
        <v>1</v>
      </c>
      <c r="R1023" s="84">
        <v>35.9</v>
      </c>
      <c r="Y1023" s="20">
        <f t="shared" si="46"/>
        <v>1</v>
      </c>
      <c r="AA1023" s="98">
        <f t="shared" si="47"/>
        <v>0.17000000000000171</v>
      </c>
      <c r="AB1023" s="350">
        <f t="shared" si="48"/>
        <v>0</v>
      </c>
    </row>
    <row r="1024" spans="2:28" ht="22.15" customHeight="1" x14ac:dyDescent="0.25">
      <c r="B1024" s="276">
        <v>8412600019672</v>
      </c>
      <c r="C1024" s="81">
        <v>18</v>
      </c>
      <c r="D1024" s="23" t="s">
        <v>2234</v>
      </c>
      <c r="H1024" s="346">
        <v>35.9</v>
      </c>
      <c r="I1024" s="21">
        <v>35.729999999999997</v>
      </c>
      <c r="J1024" s="23" t="s">
        <v>648</v>
      </c>
      <c r="K1024" s="21">
        <v>4101464</v>
      </c>
      <c r="O1024" s="347">
        <v>7614</v>
      </c>
      <c r="P1024" s="87">
        <v>1</v>
      </c>
      <c r="Q1024" s="87">
        <v>1</v>
      </c>
      <c r="R1024" s="84">
        <v>35.9</v>
      </c>
      <c r="Y1024" s="20">
        <f t="shared" si="46"/>
        <v>1</v>
      </c>
      <c r="AA1024" s="98">
        <f t="shared" si="47"/>
        <v>0.17000000000000171</v>
      </c>
      <c r="AB1024" s="350">
        <f t="shared" si="48"/>
        <v>0</v>
      </c>
    </row>
    <row r="1025" spans="2:28" ht="22.15" customHeight="1" x14ac:dyDescent="0.25">
      <c r="B1025" s="276">
        <v>8412600038727</v>
      </c>
      <c r="C1025" s="81">
        <v>18</v>
      </c>
      <c r="D1025" s="23" t="s">
        <v>2235</v>
      </c>
      <c r="H1025" s="346">
        <v>35.9</v>
      </c>
      <c r="I1025" s="21">
        <v>35.729999999999997</v>
      </c>
      <c r="J1025" s="23" t="s">
        <v>648</v>
      </c>
      <c r="K1025" s="21">
        <v>4101802</v>
      </c>
      <c r="O1025" s="347">
        <v>7003</v>
      </c>
      <c r="P1025" s="87">
        <v>1</v>
      </c>
      <c r="Q1025" s="87">
        <v>1</v>
      </c>
      <c r="R1025" s="84">
        <v>35.9</v>
      </c>
      <c r="Y1025" s="20">
        <f t="shared" si="46"/>
        <v>1</v>
      </c>
      <c r="AA1025" s="98">
        <f t="shared" si="47"/>
        <v>0.17000000000000171</v>
      </c>
      <c r="AB1025" s="350">
        <f t="shared" si="48"/>
        <v>0</v>
      </c>
    </row>
    <row r="1026" spans="2:28" ht="22.15" customHeight="1" x14ac:dyDescent="0.25">
      <c r="B1026" s="276">
        <v>8412600047484</v>
      </c>
      <c r="C1026" s="81">
        <v>18</v>
      </c>
      <c r="D1026" s="23" t="s">
        <v>2236</v>
      </c>
      <c r="H1026" s="346">
        <v>35.9</v>
      </c>
      <c r="I1026" s="21">
        <v>35.729999999999997</v>
      </c>
      <c r="J1026" s="23" t="s">
        <v>648</v>
      </c>
      <c r="K1026" s="21">
        <v>4101819</v>
      </c>
      <c r="O1026" s="347">
        <v>11300</v>
      </c>
      <c r="P1026" s="87">
        <v>1</v>
      </c>
      <c r="Q1026" s="87">
        <v>1</v>
      </c>
      <c r="R1026" s="84">
        <v>35.9</v>
      </c>
      <c r="Y1026" s="20">
        <f t="shared" si="46"/>
        <v>1</v>
      </c>
      <c r="AA1026" s="98">
        <f t="shared" si="47"/>
        <v>0.17000000000000171</v>
      </c>
      <c r="AB1026" s="350">
        <f t="shared" si="48"/>
        <v>0</v>
      </c>
    </row>
    <row r="1027" spans="2:28" ht="22.15" customHeight="1" x14ac:dyDescent="0.25">
      <c r="B1027" s="276">
        <v>8595601701286</v>
      </c>
      <c r="C1027" s="81">
        <v>25</v>
      </c>
      <c r="D1027" s="23" t="s">
        <v>2237</v>
      </c>
      <c r="H1027" s="346">
        <v>9.5</v>
      </c>
      <c r="I1027" s="21">
        <v>8.9</v>
      </c>
      <c r="J1027" s="23" t="s">
        <v>651</v>
      </c>
      <c r="K1027" s="21">
        <v>4101411</v>
      </c>
      <c r="O1027" s="347">
        <v>4217</v>
      </c>
      <c r="P1027" s="87">
        <v>1</v>
      </c>
      <c r="Q1027" s="87">
        <v>1</v>
      </c>
      <c r="R1027" s="84">
        <v>10.5</v>
      </c>
      <c r="Y1027" s="20">
        <f t="shared" si="46"/>
        <v>1</v>
      </c>
      <c r="AA1027" s="98">
        <f t="shared" si="47"/>
        <v>0.59999999999999964</v>
      </c>
      <c r="AB1027" s="350">
        <f t="shared" si="48"/>
        <v>1</v>
      </c>
    </row>
    <row r="1028" spans="2:28" ht="22.15" customHeight="1" x14ac:dyDescent="0.25">
      <c r="B1028" s="276">
        <v>8595601701316</v>
      </c>
      <c r="C1028" s="81">
        <v>25</v>
      </c>
      <c r="D1028" s="23" t="s">
        <v>2238</v>
      </c>
      <c r="H1028" s="346">
        <v>9.5</v>
      </c>
      <c r="I1028" s="21">
        <v>8.9</v>
      </c>
      <c r="J1028" s="23" t="s">
        <v>651</v>
      </c>
      <c r="K1028" s="21">
        <v>4101414</v>
      </c>
      <c r="O1028" s="347">
        <v>4975</v>
      </c>
      <c r="P1028" s="87">
        <v>1</v>
      </c>
      <c r="Q1028" s="87">
        <v>1</v>
      </c>
      <c r="R1028" s="84">
        <v>10.5</v>
      </c>
      <c r="Y1028" s="20">
        <f t="shared" si="46"/>
        <v>1</v>
      </c>
      <c r="AA1028" s="98">
        <f t="shared" si="47"/>
        <v>0.59999999999999964</v>
      </c>
      <c r="AB1028" s="350">
        <f t="shared" si="48"/>
        <v>1</v>
      </c>
    </row>
    <row r="1029" spans="2:28" ht="22.15" customHeight="1" x14ac:dyDescent="0.25">
      <c r="B1029" s="276">
        <v>8595601701309</v>
      </c>
      <c r="C1029" s="81">
        <v>25</v>
      </c>
      <c r="D1029" s="23" t="s">
        <v>2239</v>
      </c>
      <c r="H1029" s="346">
        <v>9.5</v>
      </c>
      <c r="I1029" s="21">
        <v>8.9</v>
      </c>
      <c r="J1029" s="23" t="s">
        <v>651</v>
      </c>
      <c r="K1029" s="21">
        <v>4101413</v>
      </c>
      <c r="O1029" s="347">
        <v>7875</v>
      </c>
      <c r="P1029" s="87">
        <v>1</v>
      </c>
      <c r="Q1029" s="87">
        <v>1</v>
      </c>
      <c r="R1029" s="84">
        <v>10.5</v>
      </c>
      <c r="Y1029" s="20">
        <f t="shared" si="46"/>
        <v>1</v>
      </c>
      <c r="AA1029" s="98">
        <f t="shared" si="47"/>
        <v>0.59999999999999964</v>
      </c>
      <c r="AB1029" s="350">
        <f t="shared" si="48"/>
        <v>1</v>
      </c>
    </row>
    <row r="1030" spans="2:28" ht="22.15" customHeight="1" x14ac:dyDescent="0.25">
      <c r="B1030" s="276">
        <v>5319992006323</v>
      </c>
      <c r="C1030" s="81">
        <v>32</v>
      </c>
      <c r="D1030" s="23" t="s">
        <v>2240</v>
      </c>
      <c r="H1030" s="346">
        <v>5.9</v>
      </c>
      <c r="I1030" s="21">
        <v>5.7</v>
      </c>
      <c r="J1030" s="23" t="s">
        <v>62</v>
      </c>
      <c r="K1030" s="21">
        <v>4101386</v>
      </c>
      <c r="O1030" s="347">
        <v>3901</v>
      </c>
      <c r="P1030" s="87">
        <v>1</v>
      </c>
      <c r="Q1030" s="87">
        <v>1</v>
      </c>
      <c r="R1030" s="84">
        <v>6.6</v>
      </c>
      <c r="Y1030" s="20">
        <f t="shared" si="46"/>
        <v>1</v>
      </c>
      <c r="AA1030" s="98">
        <f t="shared" si="47"/>
        <v>0.20000000000000018</v>
      </c>
      <c r="AB1030" s="350">
        <f t="shared" si="48"/>
        <v>0.69999999999999929</v>
      </c>
    </row>
    <row r="1031" spans="2:28" ht="22.15" customHeight="1" x14ac:dyDescent="0.25">
      <c r="B1031" s="276">
        <v>5319992006682</v>
      </c>
      <c r="C1031" s="81">
        <v>32</v>
      </c>
      <c r="D1031" s="23" t="s">
        <v>2241</v>
      </c>
      <c r="H1031" s="346">
        <v>5.9</v>
      </c>
      <c r="I1031" s="21">
        <v>5.7</v>
      </c>
      <c r="J1031" s="23" t="s">
        <v>62</v>
      </c>
      <c r="K1031" s="21">
        <v>2115115</v>
      </c>
      <c r="O1031" s="347">
        <v>1509</v>
      </c>
      <c r="P1031" s="87">
        <v>1</v>
      </c>
      <c r="Q1031" s="87">
        <v>1</v>
      </c>
      <c r="R1031" s="84">
        <v>6.6</v>
      </c>
      <c r="Y1031" s="20">
        <f t="shared" si="46"/>
        <v>1</v>
      </c>
      <c r="AA1031" s="98">
        <f t="shared" si="47"/>
        <v>0.20000000000000018</v>
      </c>
      <c r="AB1031" s="350">
        <f t="shared" si="48"/>
        <v>0.69999999999999929</v>
      </c>
    </row>
    <row r="1032" spans="2:28" ht="22.15" customHeight="1" x14ac:dyDescent="0.25">
      <c r="B1032" s="276">
        <v>5319990934376</v>
      </c>
      <c r="C1032" s="81">
        <v>32</v>
      </c>
      <c r="D1032" s="23" t="s">
        <v>2242</v>
      </c>
      <c r="H1032" s="346">
        <v>5.9</v>
      </c>
      <c r="I1032" s="21">
        <v>5.7</v>
      </c>
      <c r="J1032" s="23" t="s">
        <v>62</v>
      </c>
      <c r="K1032" s="21">
        <v>4101206</v>
      </c>
      <c r="O1032" s="347">
        <v>6600</v>
      </c>
      <c r="P1032" s="87">
        <v>1</v>
      </c>
      <c r="Q1032" s="87">
        <v>1</v>
      </c>
      <c r="R1032" s="84">
        <v>6.6</v>
      </c>
      <c r="Y1032" s="20">
        <f t="shared" si="46"/>
        <v>1</v>
      </c>
      <c r="AA1032" s="98">
        <f t="shared" si="47"/>
        <v>0.20000000000000018</v>
      </c>
      <c r="AB1032" s="350">
        <f t="shared" si="48"/>
        <v>0.69999999999999929</v>
      </c>
    </row>
    <row r="1033" spans="2:28" ht="22.15" customHeight="1" x14ac:dyDescent="0.25">
      <c r="B1033" s="276">
        <v>5319990934352</v>
      </c>
      <c r="C1033" s="81">
        <v>32</v>
      </c>
      <c r="D1033" s="23" t="s">
        <v>2243</v>
      </c>
      <c r="H1033" s="346">
        <v>5.9</v>
      </c>
      <c r="I1033" s="21">
        <v>5.7</v>
      </c>
      <c r="J1033" s="23" t="s">
        <v>62</v>
      </c>
      <c r="K1033" s="21">
        <v>4101207</v>
      </c>
      <c r="O1033" s="347">
        <v>2078</v>
      </c>
      <c r="P1033" s="87">
        <v>1</v>
      </c>
      <c r="Q1033" s="87">
        <v>1</v>
      </c>
      <c r="R1033" s="84">
        <v>6.6</v>
      </c>
      <c r="Y1033" s="20">
        <f t="shared" si="46"/>
        <v>1</v>
      </c>
      <c r="AA1033" s="98">
        <f t="shared" si="47"/>
        <v>0.20000000000000018</v>
      </c>
      <c r="AB1033" s="350">
        <f t="shared" si="48"/>
        <v>0.69999999999999929</v>
      </c>
    </row>
    <row r="1034" spans="2:28" ht="22.15" customHeight="1" x14ac:dyDescent="0.25">
      <c r="B1034" s="276">
        <v>5319990934253</v>
      </c>
      <c r="C1034" s="81">
        <v>32</v>
      </c>
      <c r="D1034" s="23" t="s">
        <v>2244</v>
      </c>
      <c r="H1034" s="346">
        <v>5.9</v>
      </c>
      <c r="I1034" s="21">
        <v>5.7</v>
      </c>
      <c r="J1034" s="23" t="s">
        <v>62</v>
      </c>
      <c r="K1034" s="21">
        <v>4101322</v>
      </c>
      <c r="O1034" s="347">
        <v>1952</v>
      </c>
      <c r="P1034" s="87">
        <v>1</v>
      </c>
      <c r="Q1034" s="87">
        <v>1</v>
      </c>
      <c r="R1034" s="84">
        <v>6.6</v>
      </c>
      <c r="Y1034" s="20">
        <f t="shared" si="46"/>
        <v>1</v>
      </c>
      <c r="AA1034" s="98">
        <f t="shared" si="47"/>
        <v>0.20000000000000018</v>
      </c>
      <c r="AB1034" s="350">
        <f t="shared" si="48"/>
        <v>0.69999999999999929</v>
      </c>
    </row>
    <row r="1035" spans="2:28" ht="22.15" customHeight="1" x14ac:dyDescent="0.25">
      <c r="B1035" s="276">
        <v>5319990934390</v>
      </c>
      <c r="C1035" s="81">
        <v>42</v>
      </c>
      <c r="D1035" s="23" t="s">
        <v>2245</v>
      </c>
      <c r="H1035" s="346">
        <v>5.9</v>
      </c>
      <c r="I1035" s="21">
        <v>5.7</v>
      </c>
      <c r="J1035" s="23" t="s">
        <v>62</v>
      </c>
      <c r="K1035" s="21">
        <v>4101313</v>
      </c>
      <c r="O1035" s="347">
        <v>1554</v>
      </c>
      <c r="P1035" s="87">
        <v>1</v>
      </c>
      <c r="Q1035" s="87">
        <v>1</v>
      </c>
      <c r="R1035" s="84">
        <v>6.6</v>
      </c>
      <c r="Y1035" s="20">
        <f t="shared" ref="Y1035:Y1066" si="49">COUNTIF(K:K,K1035)</f>
        <v>1</v>
      </c>
      <c r="AA1035" s="98">
        <f t="shared" si="47"/>
        <v>0.20000000000000018</v>
      </c>
      <c r="AB1035" s="350">
        <f t="shared" si="48"/>
        <v>0.69999999999999929</v>
      </c>
    </row>
    <row r="1036" spans="2:28" ht="22.15" customHeight="1" x14ac:dyDescent="0.25">
      <c r="B1036" s="276">
        <v>5319990934789</v>
      </c>
      <c r="C1036" s="81">
        <v>32</v>
      </c>
      <c r="D1036" s="23" t="s">
        <v>2246</v>
      </c>
      <c r="H1036" s="346">
        <v>5.9</v>
      </c>
      <c r="I1036" s="21">
        <v>5.7</v>
      </c>
      <c r="J1036" s="23" t="s">
        <v>62</v>
      </c>
      <c r="K1036" s="21">
        <v>4101125</v>
      </c>
      <c r="O1036" s="347">
        <v>2732</v>
      </c>
      <c r="P1036" s="87">
        <v>1</v>
      </c>
      <c r="Q1036" s="87">
        <v>1</v>
      </c>
      <c r="R1036" s="84">
        <v>6.6</v>
      </c>
      <c r="Y1036" s="20">
        <f t="shared" si="49"/>
        <v>1</v>
      </c>
      <c r="AA1036" s="98">
        <f t="shared" si="47"/>
        <v>0.20000000000000018</v>
      </c>
      <c r="AB1036" s="350">
        <f t="shared" si="48"/>
        <v>0.69999999999999929</v>
      </c>
    </row>
    <row r="1037" spans="2:28" ht="22.15" customHeight="1" x14ac:dyDescent="0.25">
      <c r="B1037" s="276">
        <v>5319990934796</v>
      </c>
      <c r="C1037" s="81">
        <v>32</v>
      </c>
      <c r="D1037" s="23" t="s">
        <v>2247</v>
      </c>
      <c r="H1037" s="346">
        <v>5.9</v>
      </c>
      <c r="I1037" s="21">
        <v>5.7</v>
      </c>
      <c r="J1037" s="23" t="s">
        <v>62</v>
      </c>
      <c r="K1037" s="21">
        <v>4101126</v>
      </c>
      <c r="O1037" s="347">
        <v>3596</v>
      </c>
      <c r="P1037" s="87">
        <v>1</v>
      </c>
      <c r="Q1037" s="87">
        <v>1</v>
      </c>
      <c r="R1037" s="84">
        <v>6.6</v>
      </c>
      <c r="Y1037" s="20">
        <f t="shared" si="49"/>
        <v>1</v>
      </c>
      <c r="AA1037" s="98">
        <f t="shared" si="47"/>
        <v>0.20000000000000018</v>
      </c>
      <c r="AB1037" s="350">
        <f t="shared" si="48"/>
        <v>0.69999999999999929</v>
      </c>
    </row>
    <row r="1038" spans="2:28" ht="22.15" customHeight="1" x14ac:dyDescent="0.25">
      <c r="B1038" s="276">
        <v>5319990934802</v>
      </c>
      <c r="C1038" s="81">
        <v>32</v>
      </c>
      <c r="D1038" s="23" t="s">
        <v>2248</v>
      </c>
      <c r="H1038" s="346">
        <v>5.9</v>
      </c>
      <c r="I1038" s="21">
        <v>5.7</v>
      </c>
      <c r="J1038" s="23" t="s">
        <v>62</v>
      </c>
      <c r="K1038" s="21">
        <v>4101123</v>
      </c>
      <c r="O1038" s="347">
        <v>5751</v>
      </c>
      <c r="P1038" s="87">
        <v>1</v>
      </c>
      <c r="Q1038" s="87">
        <v>1</v>
      </c>
      <c r="R1038" s="84">
        <v>6.6</v>
      </c>
      <c r="Y1038" s="20">
        <f t="shared" si="49"/>
        <v>1</v>
      </c>
      <c r="AA1038" s="98">
        <f t="shared" si="47"/>
        <v>0.20000000000000018</v>
      </c>
      <c r="AB1038" s="350">
        <f t="shared" si="48"/>
        <v>0.69999999999999929</v>
      </c>
    </row>
    <row r="1039" spans="2:28" ht="22.15" customHeight="1" x14ac:dyDescent="0.25">
      <c r="B1039" s="276">
        <v>5319990934475</v>
      </c>
      <c r="C1039" s="81">
        <v>32</v>
      </c>
      <c r="D1039" s="23" t="s">
        <v>2249</v>
      </c>
      <c r="H1039" s="346">
        <v>5.9</v>
      </c>
      <c r="I1039" s="21">
        <v>5.7</v>
      </c>
      <c r="J1039" s="23" t="s">
        <v>62</v>
      </c>
      <c r="K1039" s="21">
        <v>4101124</v>
      </c>
      <c r="O1039" s="347">
        <v>5181</v>
      </c>
      <c r="P1039" s="87">
        <v>1</v>
      </c>
      <c r="Q1039" s="87">
        <v>1</v>
      </c>
      <c r="R1039" s="84">
        <v>6.6</v>
      </c>
      <c r="Y1039" s="20">
        <f t="shared" si="49"/>
        <v>1</v>
      </c>
      <c r="AA1039" s="98">
        <f t="shared" si="47"/>
        <v>0.20000000000000018</v>
      </c>
      <c r="AB1039" s="350">
        <f t="shared" si="48"/>
        <v>0.69999999999999929</v>
      </c>
    </row>
    <row r="1040" spans="2:28" ht="22.15" customHeight="1" x14ac:dyDescent="0.25">
      <c r="B1040" s="276">
        <v>5319990934598</v>
      </c>
      <c r="C1040" s="81">
        <v>32</v>
      </c>
      <c r="D1040" s="23" t="s">
        <v>2250</v>
      </c>
      <c r="H1040" s="346">
        <v>5.9</v>
      </c>
      <c r="I1040" s="21">
        <v>5.7</v>
      </c>
      <c r="J1040" s="23" t="s">
        <v>62</v>
      </c>
      <c r="K1040" s="21">
        <v>4101127</v>
      </c>
      <c r="O1040" s="347">
        <v>2740</v>
      </c>
      <c r="P1040" s="87">
        <v>1</v>
      </c>
      <c r="Q1040" s="87">
        <v>1</v>
      </c>
      <c r="R1040" s="84">
        <v>6.6</v>
      </c>
      <c r="Y1040" s="20">
        <f t="shared" si="49"/>
        <v>1</v>
      </c>
      <c r="AA1040" s="98">
        <f t="shared" si="47"/>
        <v>0.20000000000000018</v>
      </c>
      <c r="AB1040" s="350">
        <f t="shared" si="48"/>
        <v>0.69999999999999929</v>
      </c>
    </row>
    <row r="1041" spans="2:28" ht="22.15" customHeight="1" x14ac:dyDescent="0.25">
      <c r="B1041" s="276">
        <v>5319990934383</v>
      </c>
      <c r="C1041" s="81">
        <v>50</v>
      </c>
      <c r="D1041" s="23" t="s">
        <v>2251</v>
      </c>
      <c r="H1041" s="346">
        <v>6.5</v>
      </c>
      <c r="I1041" s="21">
        <v>6.27</v>
      </c>
      <c r="J1041" s="23" t="s">
        <v>62</v>
      </c>
      <c r="K1041" s="21">
        <v>4101208</v>
      </c>
      <c r="O1041" s="347">
        <v>948</v>
      </c>
      <c r="P1041" s="87">
        <v>1</v>
      </c>
      <c r="Q1041" s="87">
        <v>1</v>
      </c>
      <c r="R1041" s="84">
        <v>7.2</v>
      </c>
      <c r="Y1041" s="20">
        <f t="shared" si="49"/>
        <v>1</v>
      </c>
      <c r="AA1041" s="98">
        <f t="shared" si="47"/>
        <v>0.23000000000000043</v>
      </c>
      <c r="AB1041" s="350">
        <f t="shared" si="48"/>
        <v>0.70000000000000018</v>
      </c>
    </row>
    <row r="1042" spans="2:28" ht="22.15" customHeight="1" x14ac:dyDescent="0.25">
      <c r="B1042" s="276">
        <v>5319990934826</v>
      </c>
      <c r="C1042" s="81">
        <v>50</v>
      </c>
      <c r="D1042" s="23" t="s">
        <v>2252</v>
      </c>
      <c r="H1042" s="346">
        <v>6.5</v>
      </c>
      <c r="I1042" s="21">
        <v>6.27</v>
      </c>
      <c r="J1042" s="23" t="s">
        <v>62</v>
      </c>
      <c r="K1042" s="21">
        <v>4101209</v>
      </c>
      <c r="O1042" s="347">
        <v>1035</v>
      </c>
      <c r="P1042" s="87">
        <v>1</v>
      </c>
      <c r="Q1042" s="87">
        <v>1</v>
      </c>
      <c r="R1042" s="84">
        <v>7.2</v>
      </c>
      <c r="Y1042" s="20">
        <f t="shared" si="49"/>
        <v>1</v>
      </c>
      <c r="AA1042" s="98">
        <f t="shared" si="47"/>
        <v>0.23000000000000043</v>
      </c>
      <c r="AB1042" s="350">
        <f t="shared" si="48"/>
        <v>0.70000000000000018</v>
      </c>
    </row>
    <row r="1043" spans="2:28" ht="22.15" customHeight="1" x14ac:dyDescent="0.25">
      <c r="B1043" s="276">
        <v>8585002411778</v>
      </c>
      <c r="C1043" s="81">
        <v>14</v>
      </c>
      <c r="D1043" s="23" t="s">
        <v>2253</v>
      </c>
      <c r="H1043" s="346">
        <v>29.9</v>
      </c>
      <c r="I1043" s="21">
        <v>28.57</v>
      </c>
      <c r="J1043" s="23" t="s">
        <v>421</v>
      </c>
      <c r="K1043" s="21">
        <v>4050488</v>
      </c>
      <c r="O1043" s="347">
        <v>2139</v>
      </c>
      <c r="P1043" s="87">
        <v>1</v>
      </c>
      <c r="Q1043" s="87">
        <v>1</v>
      </c>
      <c r="R1043" s="84">
        <v>31.9</v>
      </c>
      <c r="Y1043" s="20">
        <f t="shared" si="49"/>
        <v>1</v>
      </c>
      <c r="AA1043" s="98">
        <f t="shared" si="47"/>
        <v>1.3299999999999983</v>
      </c>
      <c r="AB1043" s="350">
        <f t="shared" si="48"/>
        <v>2</v>
      </c>
    </row>
    <row r="1044" spans="2:28" ht="22.15" customHeight="1" x14ac:dyDescent="0.25">
      <c r="B1044" s="276">
        <v>8585002444929</v>
      </c>
      <c r="C1044" s="81">
        <v>14</v>
      </c>
      <c r="D1044" s="23" t="s">
        <v>2254</v>
      </c>
      <c r="H1044" s="346">
        <v>29.9</v>
      </c>
      <c r="I1044" s="21">
        <v>28.57</v>
      </c>
      <c r="J1044" s="23" t="s">
        <v>421</v>
      </c>
      <c r="K1044" s="21">
        <v>4054229</v>
      </c>
      <c r="O1044" s="347">
        <v>1329</v>
      </c>
      <c r="P1044" s="87">
        <v>1</v>
      </c>
      <c r="Q1044" s="87">
        <v>1</v>
      </c>
      <c r="R1044" s="84">
        <v>31.9</v>
      </c>
      <c r="Y1044" s="20">
        <f t="shared" si="49"/>
        <v>1</v>
      </c>
      <c r="AA1044" s="98">
        <f t="shared" si="47"/>
        <v>1.3299999999999983</v>
      </c>
      <c r="AB1044" s="350">
        <f t="shared" si="48"/>
        <v>2</v>
      </c>
    </row>
    <row r="1045" spans="2:28" ht="22.15" customHeight="1" x14ac:dyDescent="0.25">
      <c r="B1045" s="276">
        <v>8585002427717</v>
      </c>
      <c r="C1045" s="81">
        <v>14</v>
      </c>
      <c r="D1045" s="23" t="s">
        <v>2255</v>
      </c>
      <c r="H1045" s="346">
        <v>29.9</v>
      </c>
      <c r="I1045" s="21">
        <v>28.57</v>
      </c>
      <c r="J1045" s="23" t="s">
        <v>421</v>
      </c>
      <c r="K1045" s="21">
        <v>4050489</v>
      </c>
      <c r="O1045" s="347">
        <v>1296</v>
      </c>
      <c r="P1045" s="87">
        <v>1</v>
      </c>
      <c r="Q1045" s="87">
        <v>1</v>
      </c>
      <c r="R1045" s="84">
        <v>31.9</v>
      </c>
      <c r="Y1045" s="20">
        <f t="shared" si="49"/>
        <v>1</v>
      </c>
      <c r="AA1045" s="98">
        <f t="shared" si="47"/>
        <v>1.3299999999999983</v>
      </c>
      <c r="AB1045" s="350">
        <f t="shared" si="48"/>
        <v>2</v>
      </c>
    </row>
    <row r="1046" spans="2:28" ht="22.15" customHeight="1" x14ac:dyDescent="0.25">
      <c r="B1046" s="276">
        <v>8585002420626</v>
      </c>
      <c r="C1046" s="81">
        <v>14</v>
      </c>
      <c r="D1046" s="23" t="s">
        <v>2256</v>
      </c>
      <c r="H1046" s="346">
        <v>29.9</v>
      </c>
      <c r="I1046" s="21">
        <v>28.57</v>
      </c>
      <c r="J1046" s="23" t="s">
        <v>421</v>
      </c>
      <c r="K1046" s="21">
        <v>4051156</v>
      </c>
      <c r="O1046" s="347">
        <v>1052</v>
      </c>
      <c r="P1046" s="87">
        <v>1</v>
      </c>
      <c r="Q1046" s="87">
        <v>1</v>
      </c>
      <c r="R1046" s="84">
        <v>31.9</v>
      </c>
      <c r="Y1046" s="20">
        <f t="shared" si="49"/>
        <v>1</v>
      </c>
      <c r="AA1046" s="98">
        <f t="shared" si="47"/>
        <v>1.3299999999999983</v>
      </c>
      <c r="AB1046" s="350">
        <f t="shared" si="48"/>
        <v>2</v>
      </c>
    </row>
    <row r="1047" spans="2:28" ht="22.15" customHeight="1" x14ac:dyDescent="0.25">
      <c r="B1047" s="276">
        <v>8585002416049</v>
      </c>
      <c r="C1047" s="81">
        <v>14</v>
      </c>
      <c r="D1047" s="23" t="s">
        <v>2257</v>
      </c>
      <c r="H1047" s="346">
        <v>29.9</v>
      </c>
      <c r="I1047" s="21">
        <v>28.57</v>
      </c>
      <c r="J1047" s="23" t="s">
        <v>421</v>
      </c>
      <c r="K1047" s="21">
        <v>4052017</v>
      </c>
      <c r="O1047" s="347">
        <v>949</v>
      </c>
      <c r="P1047" s="87">
        <v>1</v>
      </c>
      <c r="Q1047" s="87">
        <v>1</v>
      </c>
      <c r="R1047" s="84">
        <v>31.9</v>
      </c>
      <c r="Y1047" s="20">
        <f t="shared" si="49"/>
        <v>1</v>
      </c>
      <c r="AA1047" s="98">
        <f t="shared" si="47"/>
        <v>1.3299999999999983</v>
      </c>
      <c r="AB1047" s="350">
        <f t="shared" si="48"/>
        <v>2</v>
      </c>
    </row>
    <row r="1048" spans="2:28" ht="22.15" customHeight="1" x14ac:dyDescent="0.25">
      <c r="B1048" s="276">
        <v>8585002409768</v>
      </c>
      <c r="C1048" s="81">
        <v>14</v>
      </c>
      <c r="D1048" s="23" t="s">
        <v>2258</v>
      </c>
      <c r="H1048" s="346">
        <v>29.9</v>
      </c>
      <c r="I1048" s="21">
        <v>28.57</v>
      </c>
      <c r="J1048" s="23" t="s">
        <v>421</v>
      </c>
      <c r="K1048" s="21">
        <v>4050490</v>
      </c>
      <c r="O1048" s="347">
        <v>1422</v>
      </c>
      <c r="P1048" s="87">
        <v>1</v>
      </c>
      <c r="Q1048" s="87">
        <v>1</v>
      </c>
      <c r="R1048" s="84">
        <v>31.9</v>
      </c>
      <c r="Y1048" s="20">
        <f t="shared" si="49"/>
        <v>1</v>
      </c>
      <c r="AA1048" s="98">
        <f t="shared" si="47"/>
        <v>1.3299999999999983</v>
      </c>
      <c r="AB1048" s="350">
        <f t="shared" si="48"/>
        <v>2</v>
      </c>
    </row>
    <row r="1049" spans="2:28" ht="22.15" customHeight="1" x14ac:dyDescent="0.25">
      <c r="B1049" s="276">
        <v>8585002427694</v>
      </c>
      <c r="C1049" s="81">
        <v>14</v>
      </c>
      <c r="D1049" s="23" t="s">
        <v>2259</v>
      </c>
      <c r="H1049" s="346">
        <v>29.9</v>
      </c>
      <c r="I1049" s="21">
        <v>28.57</v>
      </c>
      <c r="J1049" s="23" t="s">
        <v>421</v>
      </c>
      <c r="K1049" s="21">
        <v>4051341</v>
      </c>
      <c r="O1049" s="347">
        <v>782</v>
      </c>
      <c r="P1049" s="87">
        <v>1</v>
      </c>
      <c r="Q1049" s="87">
        <v>1</v>
      </c>
      <c r="R1049" s="84">
        <v>31.9</v>
      </c>
      <c r="Y1049" s="20">
        <f t="shared" si="49"/>
        <v>1</v>
      </c>
      <c r="AA1049" s="98">
        <f t="shared" si="47"/>
        <v>1.3299999999999983</v>
      </c>
      <c r="AB1049" s="350">
        <f t="shared" si="48"/>
        <v>2</v>
      </c>
    </row>
    <row r="1050" spans="2:28" ht="22.15" customHeight="1" x14ac:dyDescent="0.25">
      <c r="B1050" s="276">
        <v>8585002426345</v>
      </c>
      <c r="C1050" s="81">
        <v>14</v>
      </c>
      <c r="D1050" s="23" t="s">
        <v>2260</v>
      </c>
      <c r="H1050" s="346">
        <v>29.9</v>
      </c>
      <c r="I1050" s="21">
        <v>28.57</v>
      </c>
      <c r="J1050" s="23" t="s">
        <v>421</v>
      </c>
      <c r="K1050" s="21">
        <v>4051249</v>
      </c>
      <c r="O1050" s="347">
        <v>746</v>
      </c>
      <c r="P1050" s="87">
        <v>1</v>
      </c>
      <c r="Q1050" s="87">
        <v>1</v>
      </c>
      <c r="R1050" s="84">
        <v>31.9</v>
      </c>
      <c r="Y1050" s="20">
        <f t="shared" si="49"/>
        <v>1</v>
      </c>
      <c r="AA1050" s="98">
        <f t="shared" si="47"/>
        <v>1.3299999999999983</v>
      </c>
      <c r="AB1050" s="350">
        <f t="shared" si="48"/>
        <v>2</v>
      </c>
    </row>
    <row r="1051" spans="2:28" ht="22.15" customHeight="1" x14ac:dyDescent="0.25">
      <c r="B1051" s="276">
        <v>8585002408976</v>
      </c>
      <c r="C1051" s="81">
        <v>14</v>
      </c>
      <c r="D1051" s="23" t="s">
        <v>2261</v>
      </c>
      <c r="H1051" s="346">
        <v>29.9</v>
      </c>
      <c r="I1051" s="21">
        <v>28.57</v>
      </c>
      <c r="J1051" s="23" t="s">
        <v>421</v>
      </c>
      <c r="K1051" s="21">
        <v>4051153</v>
      </c>
      <c r="O1051" s="347">
        <v>2201</v>
      </c>
      <c r="P1051" s="87">
        <v>1</v>
      </c>
      <c r="Q1051" s="87">
        <v>1</v>
      </c>
      <c r="R1051" s="84">
        <v>31.9</v>
      </c>
      <c r="Y1051" s="20">
        <f t="shared" si="49"/>
        <v>1</v>
      </c>
      <c r="AA1051" s="98">
        <f t="shared" si="47"/>
        <v>1.3299999999999983</v>
      </c>
      <c r="AB1051" s="350">
        <f t="shared" si="48"/>
        <v>2</v>
      </c>
    </row>
    <row r="1052" spans="2:28" ht="22.15" customHeight="1" x14ac:dyDescent="0.25">
      <c r="B1052" s="276">
        <v>8585002426208</v>
      </c>
      <c r="C1052" s="81">
        <v>14</v>
      </c>
      <c r="D1052" s="23" t="s">
        <v>2262</v>
      </c>
      <c r="H1052" s="346">
        <v>29.9</v>
      </c>
      <c r="I1052" s="21">
        <v>28.57</v>
      </c>
      <c r="J1052" s="23" t="s">
        <v>421</v>
      </c>
      <c r="K1052" s="21">
        <v>4051155</v>
      </c>
      <c r="O1052" s="347">
        <v>1146</v>
      </c>
      <c r="P1052" s="87">
        <v>1</v>
      </c>
      <c r="Q1052" s="87">
        <v>1</v>
      </c>
      <c r="R1052" s="84">
        <v>31.9</v>
      </c>
      <c r="Y1052" s="20">
        <f t="shared" si="49"/>
        <v>1</v>
      </c>
      <c r="AA1052" s="98">
        <f t="shared" si="47"/>
        <v>1.3299999999999983</v>
      </c>
      <c r="AB1052" s="350">
        <f t="shared" si="48"/>
        <v>2</v>
      </c>
    </row>
    <row r="1053" spans="2:28" ht="22.15" customHeight="1" x14ac:dyDescent="0.25">
      <c r="B1053" s="276">
        <v>8585002443342</v>
      </c>
      <c r="C1053" s="81">
        <v>12</v>
      </c>
      <c r="D1053" s="23" t="s">
        <v>2263</v>
      </c>
      <c r="H1053" s="346">
        <v>29.9</v>
      </c>
      <c r="I1053" s="21">
        <v>28.57</v>
      </c>
      <c r="J1053" s="23" t="s">
        <v>421</v>
      </c>
      <c r="K1053" s="21">
        <v>2113734</v>
      </c>
      <c r="O1053" s="347">
        <v>362</v>
      </c>
      <c r="P1053" s="87">
        <v>1</v>
      </c>
      <c r="Q1053" s="87">
        <v>1</v>
      </c>
      <c r="R1053" s="84">
        <v>31.9</v>
      </c>
      <c r="Y1053" s="20">
        <f t="shared" si="49"/>
        <v>1</v>
      </c>
      <c r="AA1053" s="98">
        <f t="shared" si="47"/>
        <v>1.3299999999999983</v>
      </c>
      <c r="AB1053" s="350">
        <f t="shared" si="48"/>
        <v>2</v>
      </c>
    </row>
    <row r="1054" spans="2:28" ht="22.15" customHeight="1" x14ac:dyDescent="0.25">
      <c r="B1054" s="276">
        <v>8585002442710</v>
      </c>
      <c r="C1054" s="81">
        <v>12</v>
      </c>
      <c r="D1054" s="23" t="s">
        <v>2264</v>
      </c>
      <c r="H1054" s="346">
        <v>29.9</v>
      </c>
      <c r="I1054" s="21">
        <v>28.57</v>
      </c>
      <c r="J1054" s="23" t="s">
        <v>421</v>
      </c>
      <c r="K1054" s="21">
        <v>4053803</v>
      </c>
      <c r="O1054" s="347">
        <v>622</v>
      </c>
      <c r="P1054" s="87">
        <v>1</v>
      </c>
      <c r="Q1054" s="87">
        <v>1</v>
      </c>
      <c r="R1054" s="84">
        <v>31.9</v>
      </c>
      <c r="Y1054" s="20">
        <f t="shared" si="49"/>
        <v>1</v>
      </c>
      <c r="AA1054" s="98">
        <f t="shared" si="47"/>
        <v>1.3299999999999983</v>
      </c>
      <c r="AB1054" s="350">
        <f t="shared" si="48"/>
        <v>2</v>
      </c>
    </row>
    <row r="1055" spans="2:28" ht="22.15" customHeight="1" x14ac:dyDescent="0.25">
      <c r="B1055" s="276">
        <v>8585002442734</v>
      </c>
      <c r="C1055" s="81">
        <v>12</v>
      </c>
      <c r="D1055" s="23" t="s">
        <v>2265</v>
      </c>
      <c r="H1055" s="346">
        <v>29.9</v>
      </c>
      <c r="I1055" s="21">
        <v>28.57</v>
      </c>
      <c r="J1055" s="23" t="s">
        <v>421</v>
      </c>
      <c r="K1055" s="21">
        <v>4053802</v>
      </c>
      <c r="O1055" s="347">
        <v>609</v>
      </c>
      <c r="P1055" s="87">
        <v>1</v>
      </c>
      <c r="Q1055" s="87">
        <v>1</v>
      </c>
      <c r="R1055" s="84">
        <v>31.9</v>
      </c>
      <c r="Y1055" s="20">
        <f t="shared" si="49"/>
        <v>1</v>
      </c>
      <c r="AA1055" s="98">
        <f t="shared" si="47"/>
        <v>1.3299999999999983</v>
      </c>
      <c r="AB1055" s="350">
        <f t="shared" si="48"/>
        <v>2</v>
      </c>
    </row>
    <row r="1056" spans="2:28" ht="22.15" customHeight="1" x14ac:dyDescent="0.25">
      <c r="B1056" s="276">
        <v>8585002443328</v>
      </c>
      <c r="C1056" s="81">
        <v>12</v>
      </c>
      <c r="D1056" s="23" t="s">
        <v>2266</v>
      </c>
      <c r="H1056" s="346">
        <v>29.9</v>
      </c>
      <c r="I1056" s="21">
        <v>28.57</v>
      </c>
      <c r="J1056" s="23" t="s">
        <v>421</v>
      </c>
      <c r="K1056" s="21">
        <v>4053804</v>
      </c>
      <c r="O1056" s="347">
        <v>504</v>
      </c>
      <c r="P1056" s="87">
        <v>1</v>
      </c>
      <c r="Q1056" s="87">
        <v>1</v>
      </c>
      <c r="R1056" s="84">
        <v>31.9</v>
      </c>
      <c r="Y1056" s="20">
        <f t="shared" si="49"/>
        <v>1</v>
      </c>
      <c r="AA1056" s="98">
        <f t="shared" si="47"/>
        <v>1.3299999999999983</v>
      </c>
      <c r="AB1056" s="350">
        <f t="shared" si="48"/>
        <v>2</v>
      </c>
    </row>
    <row r="1057" spans="2:28" ht="22.15" customHeight="1" x14ac:dyDescent="0.25">
      <c r="B1057" s="276">
        <v>8585002438898</v>
      </c>
      <c r="C1057" s="81">
        <v>15</v>
      </c>
      <c r="D1057" s="23" t="s">
        <v>2267</v>
      </c>
      <c r="H1057" s="346">
        <v>29.9</v>
      </c>
      <c r="I1057" s="21">
        <v>28.57</v>
      </c>
      <c r="J1057" s="23" t="s">
        <v>421</v>
      </c>
      <c r="K1057" s="21">
        <v>2113732</v>
      </c>
      <c r="O1057" s="347">
        <v>393</v>
      </c>
      <c r="Q1057" s="87">
        <v>1</v>
      </c>
      <c r="R1057" s="84">
        <v>31.9</v>
      </c>
      <c r="Y1057" s="20">
        <f t="shared" si="49"/>
        <v>1</v>
      </c>
      <c r="AA1057" s="98">
        <f t="shared" si="47"/>
        <v>1.3299999999999983</v>
      </c>
      <c r="AB1057" s="350">
        <f t="shared" si="48"/>
        <v>2</v>
      </c>
    </row>
    <row r="1058" spans="2:28" ht="22.15" customHeight="1" x14ac:dyDescent="0.25">
      <c r="B1058" s="276">
        <v>8445290751188</v>
      </c>
      <c r="C1058" s="81">
        <v>26</v>
      </c>
      <c r="D1058" s="23" t="s">
        <v>2268</v>
      </c>
      <c r="H1058" s="346">
        <v>10.5</v>
      </c>
      <c r="I1058" s="21">
        <v>8.85</v>
      </c>
      <c r="J1058" s="23" t="s">
        <v>421</v>
      </c>
      <c r="K1058" s="21">
        <v>7082736</v>
      </c>
      <c r="O1058" s="347">
        <v>1463</v>
      </c>
      <c r="P1058" s="87">
        <v>1</v>
      </c>
      <c r="Q1058" s="87">
        <v>1</v>
      </c>
      <c r="R1058" s="84">
        <v>11.5</v>
      </c>
      <c r="Y1058" s="20">
        <f t="shared" si="49"/>
        <v>1</v>
      </c>
      <c r="AA1058" s="98">
        <f t="shared" si="47"/>
        <v>1.6500000000000004</v>
      </c>
      <c r="AB1058" s="350">
        <f t="shared" si="48"/>
        <v>1</v>
      </c>
    </row>
    <row r="1059" spans="2:28" ht="22.15" customHeight="1" x14ac:dyDescent="0.25">
      <c r="B1059" s="276">
        <v>8445290751218</v>
      </c>
      <c r="C1059" s="81">
        <v>26</v>
      </c>
      <c r="D1059" s="23" t="s">
        <v>2269</v>
      </c>
      <c r="H1059" s="346">
        <v>10.5</v>
      </c>
      <c r="I1059" s="21">
        <v>8.85</v>
      </c>
      <c r="J1059" s="23" t="s">
        <v>421</v>
      </c>
      <c r="K1059" s="21">
        <v>7082737</v>
      </c>
      <c r="O1059" s="347">
        <v>1439</v>
      </c>
      <c r="P1059" s="87">
        <v>1</v>
      </c>
      <c r="Q1059" s="87">
        <v>1</v>
      </c>
      <c r="R1059" s="84">
        <v>11.5</v>
      </c>
      <c r="Y1059" s="20">
        <f t="shared" si="49"/>
        <v>1</v>
      </c>
      <c r="AA1059" s="98">
        <f t="shared" si="47"/>
        <v>1.6500000000000004</v>
      </c>
      <c r="AB1059" s="350">
        <f t="shared" si="48"/>
        <v>1</v>
      </c>
    </row>
    <row r="1060" spans="2:28" ht="22.15" customHeight="1" x14ac:dyDescent="0.25">
      <c r="B1060" s="276">
        <v>8445290752512</v>
      </c>
      <c r="C1060" s="81">
        <v>12</v>
      </c>
      <c r="D1060" s="23" t="s">
        <v>2270</v>
      </c>
      <c r="H1060" s="346">
        <v>33.5</v>
      </c>
      <c r="I1060" s="21">
        <v>30.13</v>
      </c>
      <c r="J1060" s="23" t="s">
        <v>421</v>
      </c>
      <c r="K1060" s="21">
        <v>7082738</v>
      </c>
      <c r="O1060" s="347">
        <v>501</v>
      </c>
      <c r="P1060" s="87">
        <v>1</v>
      </c>
      <c r="Q1060" s="87">
        <v>1</v>
      </c>
      <c r="R1060" s="84">
        <v>37.9</v>
      </c>
      <c r="Y1060" s="20">
        <f t="shared" si="49"/>
        <v>1</v>
      </c>
      <c r="AA1060" s="98">
        <f t="shared" si="47"/>
        <v>3.370000000000001</v>
      </c>
      <c r="AB1060" s="350">
        <f t="shared" si="48"/>
        <v>4.3999999999999986</v>
      </c>
    </row>
    <row r="1061" spans="2:28" ht="22.15" customHeight="1" x14ac:dyDescent="0.25">
      <c r="B1061" s="276">
        <v>8445290752383</v>
      </c>
      <c r="C1061" s="81">
        <v>12</v>
      </c>
      <c r="D1061" s="23" t="s">
        <v>2271</v>
      </c>
      <c r="H1061" s="346">
        <v>33.5</v>
      </c>
      <c r="I1061" s="21">
        <v>30.13</v>
      </c>
      <c r="J1061" s="23" t="s">
        <v>421</v>
      </c>
      <c r="K1061" s="21">
        <v>7082739</v>
      </c>
      <c r="O1061" s="347">
        <v>465</v>
      </c>
      <c r="P1061" s="87">
        <v>1</v>
      </c>
      <c r="Q1061" s="87">
        <v>1</v>
      </c>
      <c r="R1061" s="84">
        <v>37.9</v>
      </c>
      <c r="Y1061" s="20">
        <f t="shared" si="49"/>
        <v>1</v>
      </c>
      <c r="AA1061" s="98">
        <f t="shared" si="47"/>
        <v>3.370000000000001</v>
      </c>
      <c r="AB1061" s="350">
        <f t="shared" si="48"/>
        <v>4.3999999999999986</v>
      </c>
    </row>
    <row r="1062" spans="2:28" ht="22.15" customHeight="1" x14ac:dyDescent="0.25">
      <c r="B1062" s="276">
        <v>8445290751652</v>
      </c>
      <c r="C1062" s="81">
        <v>12</v>
      </c>
      <c r="D1062" s="23" t="s">
        <v>2272</v>
      </c>
      <c r="H1062" s="346">
        <v>33.5</v>
      </c>
      <c r="I1062" s="21">
        <v>30.13</v>
      </c>
      <c r="J1062" s="23" t="s">
        <v>421</v>
      </c>
      <c r="K1062" s="21">
        <v>7082740</v>
      </c>
      <c r="O1062" s="347">
        <v>553</v>
      </c>
      <c r="P1062" s="87">
        <v>1</v>
      </c>
      <c r="Q1062" s="87">
        <v>1</v>
      </c>
      <c r="R1062" s="84">
        <v>37.9</v>
      </c>
      <c r="Y1062" s="20">
        <f t="shared" si="49"/>
        <v>1</v>
      </c>
      <c r="AA1062" s="98">
        <f t="shared" si="47"/>
        <v>3.370000000000001</v>
      </c>
      <c r="AB1062" s="350">
        <f t="shared" si="48"/>
        <v>4.3999999999999986</v>
      </c>
    </row>
    <row r="1063" spans="2:28" ht="22.15" customHeight="1" x14ac:dyDescent="0.25">
      <c r="B1063" s="276">
        <v>5999566111228</v>
      </c>
      <c r="C1063" s="81">
        <v>10</v>
      </c>
      <c r="D1063" s="23" t="s">
        <v>2273</v>
      </c>
      <c r="H1063" s="346">
        <v>21.9</v>
      </c>
      <c r="I1063" s="21">
        <v>20.99</v>
      </c>
      <c r="J1063" s="23" t="s">
        <v>879</v>
      </c>
      <c r="K1063" s="21">
        <v>7081914</v>
      </c>
      <c r="O1063" s="347">
        <v>422</v>
      </c>
      <c r="P1063" s="87">
        <v>1</v>
      </c>
      <c r="Q1063" s="87">
        <v>1</v>
      </c>
      <c r="R1063" s="84">
        <v>25.9</v>
      </c>
      <c r="Y1063" s="20">
        <f t="shared" si="49"/>
        <v>1</v>
      </c>
      <c r="AA1063" s="98">
        <f t="shared" si="47"/>
        <v>0.91000000000000014</v>
      </c>
      <c r="AB1063" s="350">
        <f t="shared" si="48"/>
        <v>4</v>
      </c>
    </row>
    <row r="1064" spans="2:28" ht="22.15" customHeight="1" x14ac:dyDescent="0.25">
      <c r="B1064" s="276">
        <v>5999566112034</v>
      </c>
      <c r="C1064" s="81">
        <v>10</v>
      </c>
      <c r="D1064" s="23" t="s">
        <v>2274</v>
      </c>
      <c r="H1064" s="346">
        <v>21.9</v>
      </c>
      <c r="I1064" s="21">
        <v>20.99</v>
      </c>
      <c r="J1064" s="23" t="s">
        <v>879</v>
      </c>
      <c r="K1064" s="21">
        <v>7082718</v>
      </c>
      <c r="O1064" s="347">
        <v>737</v>
      </c>
      <c r="P1064" s="87">
        <v>1</v>
      </c>
      <c r="Q1064" s="87">
        <v>1</v>
      </c>
      <c r="R1064" s="84">
        <v>25.9</v>
      </c>
      <c r="Y1064" s="20">
        <f t="shared" si="49"/>
        <v>1</v>
      </c>
      <c r="AA1064" s="98">
        <f t="shared" si="47"/>
        <v>0.91000000000000014</v>
      </c>
      <c r="AB1064" s="350">
        <f t="shared" si="48"/>
        <v>4</v>
      </c>
    </row>
    <row r="1065" spans="2:28" ht="22.15" customHeight="1" x14ac:dyDescent="0.25">
      <c r="B1065" s="276">
        <v>5999566111167</v>
      </c>
      <c r="C1065" s="81">
        <v>4</v>
      </c>
      <c r="D1065" s="23" t="s">
        <v>2275</v>
      </c>
      <c r="H1065" s="346">
        <v>72.900000000000006</v>
      </c>
      <c r="I1065" s="21">
        <v>70.03</v>
      </c>
      <c r="J1065" s="23" t="s">
        <v>879</v>
      </c>
      <c r="K1065" s="21">
        <v>7081907</v>
      </c>
      <c r="O1065" s="347">
        <v>301</v>
      </c>
      <c r="P1065" s="87">
        <v>1</v>
      </c>
      <c r="Q1065" s="87">
        <v>1</v>
      </c>
      <c r="R1065" s="84">
        <v>84.9</v>
      </c>
      <c r="Y1065" s="20">
        <f t="shared" si="49"/>
        <v>1</v>
      </c>
      <c r="AA1065" s="98">
        <f t="shared" si="47"/>
        <v>2.8700000000000045</v>
      </c>
      <c r="AB1065" s="350">
        <f t="shared" si="48"/>
        <v>12</v>
      </c>
    </row>
    <row r="1066" spans="2:28" ht="22.15" customHeight="1" x14ac:dyDescent="0.25">
      <c r="B1066" s="276">
        <v>5999566111150</v>
      </c>
      <c r="C1066" s="81">
        <v>4</v>
      </c>
      <c r="D1066" s="23" t="s">
        <v>2276</v>
      </c>
      <c r="H1066" s="346">
        <v>72.900000000000006</v>
      </c>
      <c r="I1066" s="21">
        <v>70.03</v>
      </c>
      <c r="J1066" s="23" t="s">
        <v>879</v>
      </c>
      <c r="K1066" s="21">
        <v>7081908</v>
      </c>
      <c r="O1066" s="347">
        <v>779</v>
      </c>
      <c r="P1066" s="87">
        <v>1</v>
      </c>
      <c r="Q1066" s="87">
        <v>1</v>
      </c>
      <c r="R1066" s="84">
        <v>84.9</v>
      </c>
      <c r="Y1066" s="20">
        <f t="shared" si="49"/>
        <v>1</v>
      </c>
      <c r="AA1066" s="98">
        <f t="shared" si="47"/>
        <v>2.8700000000000045</v>
      </c>
      <c r="AB1066" s="350">
        <f t="shared" si="48"/>
        <v>12</v>
      </c>
    </row>
    <row r="1067" spans="2:28" ht="22.15" customHeight="1" x14ac:dyDescent="0.25">
      <c r="B1067" s="276">
        <v>5999566111198</v>
      </c>
      <c r="C1067" s="81">
        <v>4</v>
      </c>
      <c r="D1067" s="23" t="s">
        <v>2277</v>
      </c>
      <c r="H1067" s="346">
        <v>72.900000000000006</v>
      </c>
      <c r="I1067" s="21">
        <v>70.03</v>
      </c>
      <c r="J1067" s="23" t="s">
        <v>879</v>
      </c>
      <c r="K1067" s="21">
        <v>7081910</v>
      </c>
      <c r="O1067" s="347">
        <v>512</v>
      </c>
      <c r="P1067" s="87">
        <v>1</v>
      </c>
      <c r="Q1067" s="87">
        <v>1</v>
      </c>
      <c r="R1067" s="84">
        <v>84.9</v>
      </c>
      <c r="Y1067" s="20">
        <f t="shared" ref="Y1067:Y1088" si="50">COUNTIF(K:K,K1067)</f>
        <v>1</v>
      </c>
      <c r="AA1067" s="98">
        <f t="shared" si="47"/>
        <v>2.8700000000000045</v>
      </c>
      <c r="AB1067" s="350">
        <f t="shared" si="48"/>
        <v>12</v>
      </c>
    </row>
    <row r="1068" spans="2:28" ht="22.15" customHeight="1" x14ac:dyDescent="0.25">
      <c r="B1068" s="276">
        <v>5999566111174</v>
      </c>
      <c r="C1068" s="81">
        <v>4</v>
      </c>
      <c r="D1068" s="23" t="s">
        <v>2278</v>
      </c>
      <c r="H1068" s="346">
        <v>72.900000000000006</v>
      </c>
      <c r="I1068" s="21">
        <v>70.03</v>
      </c>
      <c r="J1068" s="23" t="s">
        <v>879</v>
      </c>
      <c r="K1068" s="21">
        <v>7081912</v>
      </c>
      <c r="O1068" s="347">
        <v>868</v>
      </c>
      <c r="P1068" s="87">
        <v>1</v>
      </c>
      <c r="Q1068" s="87">
        <v>1</v>
      </c>
      <c r="R1068" s="84">
        <v>84.9</v>
      </c>
      <c r="Y1068" s="20">
        <f t="shared" si="50"/>
        <v>1</v>
      </c>
      <c r="AA1068" s="98">
        <f t="shared" si="47"/>
        <v>2.8700000000000045</v>
      </c>
      <c r="AB1068" s="350">
        <f t="shared" si="48"/>
        <v>12</v>
      </c>
    </row>
    <row r="1069" spans="2:28" ht="22.15" customHeight="1" x14ac:dyDescent="0.25">
      <c r="B1069" s="276">
        <v>5999566111211</v>
      </c>
      <c r="C1069" s="81">
        <v>4</v>
      </c>
      <c r="D1069" s="23" t="s">
        <v>2279</v>
      </c>
      <c r="H1069" s="346">
        <v>49.9</v>
      </c>
      <c r="I1069" s="21">
        <v>48.29</v>
      </c>
      <c r="J1069" s="23" t="s">
        <v>879</v>
      </c>
      <c r="K1069" s="21">
        <v>7081906</v>
      </c>
      <c r="O1069" s="347">
        <v>557</v>
      </c>
      <c r="P1069" s="87">
        <v>1</v>
      </c>
      <c r="Q1069" s="87">
        <v>1</v>
      </c>
      <c r="R1069" s="84">
        <v>59.9</v>
      </c>
      <c r="Y1069" s="20">
        <f t="shared" si="50"/>
        <v>1</v>
      </c>
      <c r="AA1069" s="98">
        <f t="shared" si="47"/>
        <v>1.6099999999999994</v>
      </c>
      <c r="AB1069" s="350">
        <f t="shared" si="48"/>
        <v>10</v>
      </c>
    </row>
    <row r="1070" spans="2:28" ht="22.15" customHeight="1" x14ac:dyDescent="0.25">
      <c r="B1070" s="276">
        <v>9002506011338</v>
      </c>
      <c r="C1070" s="81">
        <v>22</v>
      </c>
      <c r="D1070" s="23" t="s">
        <v>2280</v>
      </c>
      <c r="H1070" s="346">
        <v>12.5</v>
      </c>
      <c r="I1070" s="21">
        <v>11.64</v>
      </c>
      <c r="J1070" s="23" t="s">
        <v>884</v>
      </c>
      <c r="K1070" s="21">
        <v>7080147</v>
      </c>
      <c r="O1070" s="347">
        <v>2132</v>
      </c>
      <c r="P1070" s="87">
        <v>1</v>
      </c>
      <c r="Q1070" s="87">
        <v>1</v>
      </c>
      <c r="R1070" s="84">
        <v>13.9</v>
      </c>
      <c r="Y1070" s="20">
        <f t="shared" si="50"/>
        <v>1</v>
      </c>
      <c r="AA1070" s="98">
        <f t="shared" ref="AA1070:AA1133" si="51">H1070-I1070</f>
        <v>0.85999999999999943</v>
      </c>
      <c r="AB1070" s="350">
        <f t="shared" ref="AB1070:AB1133" si="52">R1070-H1070</f>
        <v>1.4000000000000004</v>
      </c>
    </row>
    <row r="1071" spans="2:28" ht="22.15" customHeight="1" x14ac:dyDescent="0.25">
      <c r="B1071" s="276">
        <v>9002506011369</v>
      </c>
      <c r="C1071" s="81">
        <v>22</v>
      </c>
      <c r="D1071" s="23" t="s">
        <v>2281</v>
      </c>
      <c r="H1071" s="346">
        <v>12.5</v>
      </c>
      <c r="I1071" s="21">
        <v>11.6</v>
      </c>
      <c r="J1071" s="23" t="s">
        <v>884</v>
      </c>
      <c r="K1071" s="21">
        <v>7080155</v>
      </c>
      <c r="O1071" s="347">
        <v>1632</v>
      </c>
      <c r="P1071" s="87">
        <v>1</v>
      </c>
      <c r="Q1071" s="87">
        <v>1</v>
      </c>
      <c r="R1071" s="84">
        <v>13.9</v>
      </c>
      <c r="Y1071" s="20">
        <f t="shared" si="50"/>
        <v>1</v>
      </c>
      <c r="AA1071" s="98">
        <f t="shared" si="51"/>
        <v>0.90000000000000036</v>
      </c>
      <c r="AB1071" s="350">
        <f t="shared" si="52"/>
        <v>1.4000000000000004</v>
      </c>
    </row>
    <row r="1072" spans="2:28" ht="22.15" customHeight="1" x14ac:dyDescent="0.25">
      <c r="B1072" s="276">
        <v>9002506011345</v>
      </c>
      <c r="C1072" s="81">
        <v>22</v>
      </c>
      <c r="D1072" s="23" t="s">
        <v>2282</v>
      </c>
      <c r="H1072" s="346">
        <v>12.5</v>
      </c>
      <c r="I1072" s="21">
        <v>11.59</v>
      </c>
      <c r="J1072" s="23" t="s">
        <v>884</v>
      </c>
      <c r="K1072" s="21">
        <v>7080148</v>
      </c>
      <c r="O1072" s="347">
        <v>2278</v>
      </c>
      <c r="P1072" s="87">
        <v>1</v>
      </c>
      <c r="Q1072" s="87">
        <v>1</v>
      </c>
      <c r="R1072" s="84">
        <v>13.9</v>
      </c>
      <c r="Y1072" s="20">
        <f t="shared" si="50"/>
        <v>1</v>
      </c>
      <c r="AA1072" s="98">
        <f t="shared" si="51"/>
        <v>0.91000000000000014</v>
      </c>
      <c r="AB1072" s="350">
        <f t="shared" si="52"/>
        <v>1.4000000000000004</v>
      </c>
    </row>
    <row r="1073" spans="2:28" ht="22.15" customHeight="1" x14ac:dyDescent="0.25">
      <c r="B1073" s="276">
        <v>9002506011420</v>
      </c>
      <c r="C1073" s="81">
        <v>18</v>
      </c>
      <c r="D1073" s="23" t="s">
        <v>2283</v>
      </c>
      <c r="H1073" s="346">
        <v>20.5</v>
      </c>
      <c r="I1073" s="21">
        <v>19.57</v>
      </c>
      <c r="J1073" s="23" t="s">
        <v>884</v>
      </c>
      <c r="K1073" s="21">
        <v>7080154</v>
      </c>
      <c r="O1073" s="347">
        <v>4079</v>
      </c>
      <c r="P1073" s="87">
        <v>1</v>
      </c>
      <c r="Q1073" s="87">
        <v>1</v>
      </c>
      <c r="R1073" s="84">
        <v>23.5</v>
      </c>
      <c r="Y1073" s="20">
        <f t="shared" si="50"/>
        <v>1</v>
      </c>
      <c r="AA1073" s="98">
        <f t="shared" si="51"/>
        <v>0.92999999999999972</v>
      </c>
      <c r="AB1073" s="350">
        <f t="shared" si="52"/>
        <v>3</v>
      </c>
    </row>
    <row r="1074" spans="2:28" ht="22.15" customHeight="1" x14ac:dyDescent="0.25">
      <c r="B1074" s="276">
        <v>9002506011437</v>
      </c>
      <c r="C1074" s="81">
        <v>18</v>
      </c>
      <c r="D1074" s="23" t="s">
        <v>2284</v>
      </c>
      <c r="H1074" s="346">
        <v>20.5</v>
      </c>
      <c r="I1074" s="21">
        <v>19.57</v>
      </c>
      <c r="J1074" s="23" t="s">
        <v>884</v>
      </c>
      <c r="K1074" s="21">
        <v>7080153</v>
      </c>
      <c r="O1074" s="347">
        <v>7069</v>
      </c>
      <c r="P1074" s="87">
        <v>1</v>
      </c>
      <c r="Q1074" s="87">
        <v>1</v>
      </c>
      <c r="R1074" s="84">
        <v>23.5</v>
      </c>
      <c r="Y1074" s="20">
        <f t="shared" si="50"/>
        <v>1</v>
      </c>
      <c r="AA1074" s="98">
        <f t="shared" si="51"/>
        <v>0.92999999999999972</v>
      </c>
      <c r="AB1074" s="350">
        <f t="shared" si="52"/>
        <v>3</v>
      </c>
    </row>
    <row r="1075" spans="2:28" ht="22.15" customHeight="1" x14ac:dyDescent="0.25">
      <c r="B1075" s="276">
        <v>7622210928580</v>
      </c>
      <c r="C1075" s="81">
        <v>12</v>
      </c>
      <c r="D1075" s="23" t="s">
        <v>2285</v>
      </c>
      <c r="H1075" s="346">
        <v>32.9</v>
      </c>
      <c r="I1075" s="21">
        <v>31.67</v>
      </c>
      <c r="J1075" s="23" t="s">
        <v>74</v>
      </c>
      <c r="K1075" s="21">
        <v>2013641</v>
      </c>
      <c r="O1075" s="347">
        <v>1557</v>
      </c>
      <c r="P1075" s="87">
        <v>2</v>
      </c>
      <c r="Q1075" s="87">
        <v>2</v>
      </c>
      <c r="R1075" s="84">
        <v>37.9</v>
      </c>
      <c r="Y1075" s="20">
        <f t="shared" si="50"/>
        <v>1</v>
      </c>
      <c r="AA1075" s="98">
        <f t="shared" si="51"/>
        <v>1.2299999999999969</v>
      </c>
      <c r="AB1075" s="350">
        <f t="shared" si="52"/>
        <v>5</v>
      </c>
    </row>
    <row r="1076" spans="2:28" ht="22.15" customHeight="1" x14ac:dyDescent="0.25">
      <c r="B1076" s="276">
        <v>7622210597335</v>
      </c>
      <c r="C1076" s="81">
        <v>10</v>
      </c>
      <c r="D1076" s="23" t="s">
        <v>2286</v>
      </c>
      <c r="H1076" s="346">
        <v>52.9</v>
      </c>
      <c r="I1076" s="21">
        <v>50.65</v>
      </c>
      <c r="J1076" s="23" t="s">
        <v>74</v>
      </c>
      <c r="K1076" s="21">
        <v>2017033</v>
      </c>
      <c r="O1076" s="347">
        <v>566</v>
      </c>
      <c r="P1076" s="87">
        <v>2</v>
      </c>
      <c r="Q1076" s="87">
        <v>2</v>
      </c>
      <c r="R1076" s="84">
        <v>59.9</v>
      </c>
      <c r="Y1076" s="20">
        <f t="shared" si="50"/>
        <v>1</v>
      </c>
      <c r="AA1076" s="98">
        <f t="shared" si="51"/>
        <v>2.25</v>
      </c>
      <c r="AB1076" s="350">
        <f t="shared" si="52"/>
        <v>7</v>
      </c>
    </row>
    <row r="1077" spans="2:28" ht="22.15" customHeight="1" x14ac:dyDescent="0.25">
      <c r="B1077" s="276">
        <v>7622201141448</v>
      </c>
      <c r="C1077" s="81">
        <v>10</v>
      </c>
      <c r="D1077" s="23" t="s">
        <v>2287</v>
      </c>
      <c r="H1077" s="346">
        <v>52.9</v>
      </c>
      <c r="I1077" s="21">
        <v>51.09</v>
      </c>
      <c r="J1077" s="23" t="s">
        <v>74</v>
      </c>
      <c r="K1077" s="21">
        <v>2110813</v>
      </c>
      <c r="O1077" s="347">
        <v>250</v>
      </c>
      <c r="P1077" s="87">
        <v>2</v>
      </c>
      <c r="Q1077" s="87">
        <v>2</v>
      </c>
      <c r="R1077" s="84">
        <v>59.9</v>
      </c>
      <c r="Y1077" s="20">
        <f t="shared" si="50"/>
        <v>1</v>
      </c>
      <c r="AA1077" s="98">
        <f t="shared" si="51"/>
        <v>1.8099999999999952</v>
      </c>
      <c r="AB1077" s="350">
        <f t="shared" si="52"/>
        <v>7</v>
      </c>
    </row>
    <row r="1078" spans="2:28" ht="22.15" customHeight="1" x14ac:dyDescent="0.25">
      <c r="B1078" s="276">
        <v>7622210594723</v>
      </c>
      <c r="C1078" s="81">
        <v>10</v>
      </c>
      <c r="D1078" s="23" t="s">
        <v>2288</v>
      </c>
      <c r="H1078" s="346">
        <v>52.9</v>
      </c>
      <c r="I1078" s="21">
        <v>51.09</v>
      </c>
      <c r="J1078" s="23" t="s">
        <v>74</v>
      </c>
      <c r="K1078" s="21">
        <v>2015858</v>
      </c>
      <c r="O1078" s="347">
        <v>305</v>
      </c>
      <c r="P1078" s="87">
        <v>2</v>
      </c>
      <c r="Q1078" s="87">
        <v>2</v>
      </c>
      <c r="R1078" s="84">
        <v>59.9</v>
      </c>
      <c r="Y1078" s="20">
        <f t="shared" si="50"/>
        <v>1</v>
      </c>
      <c r="AA1078" s="98">
        <f t="shared" si="51"/>
        <v>1.8099999999999952</v>
      </c>
      <c r="AB1078" s="350">
        <f t="shared" si="52"/>
        <v>7</v>
      </c>
    </row>
    <row r="1079" spans="2:28" ht="22.15" customHeight="1" x14ac:dyDescent="0.25">
      <c r="B1079" s="276">
        <v>5901177158523</v>
      </c>
      <c r="C1079" s="81">
        <v>14</v>
      </c>
      <c r="D1079" s="23" t="s">
        <v>2289</v>
      </c>
      <c r="H1079" s="346">
        <v>39.9</v>
      </c>
      <c r="I1079" s="21">
        <v>38.64</v>
      </c>
      <c r="J1079" s="23" t="s">
        <v>69</v>
      </c>
      <c r="K1079" s="21">
        <v>2115907</v>
      </c>
      <c r="O1079" s="347">
        <v>119</v>
      </c>
      <c r="P1079" s="87">
        <v>1</v>
      </c>
      <c r="Q1079" s="87">
        <v>1</v>
      </c>
      <c r="R1079" s="84">
        <v>44.9</v>
      </c>
      <c r="Y1079" s="20">
        <f t="shared" si="50"/>
        <v>1</v>
      </c>
      <c r="AA1079" s="98">
        <f t="shared" si="51"/>
        <v>1.259999999999998</v>
      </c>
      <c r="AB1079" s="350">
        <f t="shared" si="52"/>
        <v>5</v>
      </c>
    </row>
    <row r="1080" spans="2:28" ht="22.15" customHeight="1" x14ac:dyDescent="0.25">
      <c r="B1080" s="276">
        <v>5901177158493</v>
      </c>
      <c r="C1080" s="81">
        <v>14</v>
      </c>
      <c r="D1080" s="23" t="s">
        <v>2290</v>
      </c>
      <c r="H1080" s="346">
        <v>39.9</v>
      </c>
      <c r="I1080" s="21">
        <v>38.64</v>
      </c>
      <c r="J1080" s="23" t="s">
        <v>69</v>
      </c>
      <c r="K1080" s="21">
        <v>2115908</v>
      </c>
      <c r="O1080" s="347">
        <v>123</v>
      </c>
      <c r="P1080" s="87">
        <v>1</v>
      </c>
      <c r="Q1080" s="87">
        <v>1</v>
      </c>
      <c r="R1080" s="84">
        <v>44.9</v>
      </c>
      <c r="Y1080" s="20">
        <f t="shared" si="50"/>
        <v>1</v>
      </c>
      <c r="AA1080" s="98">
        <f t="shared" si="51"/>
        <v>1.259999999999998</v>
      </c>
      <c r="AB1080" s="350">
        <f t="shared" si="52"/>
        <v>5</v>
      </c>
    </row>
    <row r="1081" spans="2:28" ht="22.15" customHeight="1" x14ac:dyDescent="0.25">
      <c r="B1081" s="276">
        <v>5901177158509</v>
      </c>
      <c r="C1081" s="81">
        <v>14</v>
      </c>
      <c r="D1081" s="23" t="s">
        <v>2291</v>
      </c>
      <c r="H1081" s="346">
        <v>39.9</v>
      </c>
      <c r="I1081" s="21">
        <v>38.64</v>
      </c>
      <c r="J1081" s="23" t="s">
        <v>69</v>
      </c>
      <c r="K1081" s="21">
        <v>2115909</v>
      </c>
      <c r="O1081" s="347">
        <v>116</v>
      </c>
      <c r="P1081" s="87">
        <v>1</v>
      </c>
      <c r="Q1081" s="87">
        <v>1</v>
      </c>
      <c r="R1081" s="84">
        <v>44.9</v>
      </c>
      <c r="Y1081" s="20">
        <f t="shared" si="50"/>
        <v>1</v>
      </c>
      <c r="AA1081" s="98">
        <f t="shared" si="51"/>
        <v>1.259999999999998</v>
      </c>
      <c r="AB1081" s="350">
        <f t="shared" si="52"/>
        <v>5</v>
      </c>
    </row>
    <row r="1082" spans="2:28" ht="22.15" customHeight="1" x14ac:dyDescent="0.25">
      <c r="B1082" s="276">
        <v>5901177158530</v>
      </c>
      <c r="C1082" s="81">
        <v>14</v>
      </c>
      <c r="D1082" s="23" t="s">
        <v>2292</v>
      </c>
      <c r="H1082" s="346">
        <v>39.9</v>
      </c>
      <c r="I1082" s="21">
        <v>38.64</v>
      </c>
      <c r="J1082" s="23" t="s">
        <v>69</v>
      </c>
      <c r="K1082" s="21">
        <v>2115910</v>
      </c>
      <c r="O1082" s="347">
        <v>78</v>
      </c>
      <c r="P1082" s="87">
        <v>1</v>
      </c>
      <c r="Q1082" s="87">
        <v>1</v>
      </c>
      <c r="R1082" s="84">
        <v>44.9</v>
      </c>
      <c r="Y1082" s="20">
        <f t="shared" si="50"/>
        <v>1</v>
      </c>
      <c r="AA1082" s="98">
        <f t="shared" si="51"/>
        <v>1.259999999999998</v>
      </c>
      <c r="AB1082" s="350">
        <f t="shared" si="52"/>
        <v>5</v>
      </c>
    </row>
    <row r="1083" spans="2:28" ht="22.15" customHeight="1" x14ac:dyDescent="0.25">
      <c r="B1083" s="276">
        <v>4006067084300</v>
      </c>
      <c r="C1083" s="81">
        <v>6</v>
      </c>
      <c r="D1083" s="23" t="s">
        <v>2293</v>
      </c>
      <c r="H1083" s="346">
        <v>125</v>
      </c>
      <c r="I1083" s="21">
        <v>120.46</v>
      </c>
      <c r="J1083" s="23" t="s">
        <v>49</v>
      </c>
      <c r="K1083" s="21">
        <v>1040047</v>
      </c>
      <c r="O1083" s="347">
        <v>245</v>
      </c>
      <c r="P1083" s="87">
        <v>2</v>
      </c>
      <c r="Q1083" s="87">
        <v>2</v>
      </c>
      <c r="R1083" s="84">
        <v>135</v>
      </c>
      <c r="Y1083" s="20">
        <f t="shared" si="50"/>
        <v>1</v>
      </c>
      <c r="AA1083" s="98">
        <f t="shared" si="51"/>
        <v>4.5400000000000063</v>
      </c>
      <c r="AB1083" s="350">
        <f t="shared" si="52"/>
        <v>10</v>
      </c>
    </row>
    <row r="1084" spans="2:28" ht="22.15" customHeight="1" x14ac:dyDescent="0.25">
      <c r="B1084" s="276">
        <v>4006067084225</v>
      </c>
      <c r="C1084" s="81">
        <v>6</v>
      </c>
      <c r="D1084" s="23" t="s">
        <v>2294</v>
      </c>
      <c r="H1084" s="346">
        <v>125</v>
      </c>
      <c r="I1084" s="21">
        <v>120.46</v>
      </c>
      <c r="J1084" s="23" t="s">
        <v>49</v>
      </c>
      <c r="K1084" s="21">
        <v>1040046</v>
      </c>
      <c r="O1084" s="347">
        <v>174</v>
      </c>
      <c r="P1084" s="87">
        <v>2</v>
      </c>
      <c r="Q1084" s="87">
        <v>2</v>
      </c>
      <c r="R1084" s="84">
        <v>135</v>
      </c>
      <c r="Y1084" s="20">
        <f t="shared" si="50"/>
        <v>1</v>
      </c>
      <c r="AA1084" s="98">
        <f t="shared" si="51"/>
        <v>4.5400000000000063</v>
      </c>
      <c r="AB1084" s="350">
        <f t="shared" si="52"/>
        <v>10</v>
      </c>
    </row>
    <row r="1085" spans="2:28" ht="22.15" customHeight="1" x14ac:dyDescent="0.25">
      <c r="B1085" s="276">
        <v>4046234939903</v>
      </c>
      <c r="C1085" s="81">
        <v>6</v>
      </c>
      <c r="D1085" s="23" t="s">
        <v>2295</v>
      </c>
      <c r="H1085" s="346">
        <v>125</v>
      </c>
      <c r="I1085" s="21">
        <v>120.46</v>
      </c>
      <c r="J1085" s="23" t="s">
        <v>49</v>
      </c>
      <c r="K1085" s="21">
        <v>1050889</v>
      </c>
      <c r="O1085" s="347">
        <v>781</v>
      </c>
      <c r="P1085" s="87">
        <v>2</v>
      </c>
      <c r="Q1085" s="87">
        <v>2</v>
      </c>
      <c r="R1085" s="84">
        <v>135</v>
      </c>
      <c r="Y1085" s="20">
        <f t="shared" si="50"/>
        <v>1</v>
      </c>
      <c r="AA1085" s="98">
        <f t="shared" si="51"/>
        <v>4.5400000000000063</v>
      </c>
      <c r="AB1085" s="350">
        <f t="shared" si="52"/>
        <v>10</v>
      </c>
    </row>
    <row r="1086" spans="2:28" ht="22.15" customHeight="1" x14ac:dyDescent="0.25">
      <c r="B1086" s="276">
        <v>8684154700607</v>
      </c>
      <c r="C1086" s="81">
        <v>24</v>
      </c>
      <c r="D1086" s="23" t="s">
        <v>2296</v>
      </c>
      <c r="H1086" s="346">
        <v>28.9</v>
      </c>
      <c r="I1086" s="21">
        <v>27.94</v>
      </c>
      <c r="J1086" s="23" t="s">
        <v>62</v>
      </c>
      <c r="K1086" s="21">
        <v>2115159</v>
      </c>
      <c r="O1086" s="347">
        <v>705</v>
      </c>
      <c r="P1086" s="87">
        <v>1</v>
      </c>
      <c r="Q1086" s="87">
        <v>1</v>
      </c>
      <c r="R1086" s="84">
        <v>31.9</v>
      </c>
      <c r="Y1086" s="20">
        <f t="shared" si="50"/>
        <v>1</v>
      </c>
      <c r="AA1086" s="98">
        <f>H1086-I1086</f>
        <v>0.9599999999999973</v>
      </c>
      <c r="AB1086" s="350">
        <f>R1086-H1086</f>
        <v>3</v>
      </c>
    </row>
    <row r="1087" spans="2:28" ht="22.15" customHeight="1" x14ac:dyDescent="0.25">
      <c r="B1087" s="276">
        <v>8699462603076</v>
      </c>
      <c r="C1087" s="81">
        <v>12</v>
      </c>
      <c r="D1087" s="23" t="s">
        <v>2297</v>
      </c>
      <c r="H1087" s="346">
        <v>52.9</v>
      </c>
      <c r="I1087" s="21">
        <v>51.46</v>
      </c>
      <c r="J1087" s="23" t="s">
        <v>62</v>
      </c>
      <c r="K1087" s="21">
        <v>2016777</v>
      </c>
      <c r="O1087" s="347">
        <v>579</v>
      </c>
      <c r="P1087" s="87">
        <v>1</v>
      </c>
      <c r="Q1087" s="87">
        <v>1</v>
      </c>
      <c r="R1087" s="84">
        <v>59.9</v>
      </c>
      <c r="Y1087" s="20">
        <f t="shared" si="50"/>
        <v>1</v>
      </c>
      <c r="AA1087" s="98">
        <f>H1087-I1087</f>
        <v>1.4399999999999977</v>
      </c>
      <c r="AB1087" s="350">
        <f>R1087-H1087</f>
        <v>7</v>
      </c>
    </row>
    <row r="1088" spans="2:28" ht="22.15" customHeight="1" x14ac:dyDescent="0.25">
      <c r="B1088" s="276">
        <v>8699462609962</v>
      </c>
      <c r="C1088" s="81">
        <v>12</v>
      </c>
      <c r="D1088" s="23" t="s">
        <v>2298</v>
      </c>
      <c r="H1088" s="346">
        <v>52.9</v>
      </c>
      <c r="I1088" s="21">
        <v>51.46</v>
      </c>
      <c r="J1088" s="23" t="s">
        <v>62</v>
      </c>
      <c r="K1088" s="21">
        <v>2016776</v>
      </c>
      <c r="O1088" s="347">
        <v>190</v>
      </c>
      <c r="P1088" s="87">
        <v>1</v>
      </c>
      <c r="Q1088" s="87">
        <v>1</v>
      </c>
      <c r="R1088" s="84">
        <v>59.9</v>
      </c>
      <c r="Y1088" s="20">
        <f t="shared" si="50"/>
        <v>1</v>
      </c>
      <c r="AA1088" s="98">
        <f>H1088-I1088</f>
        <v>1.4399999999999977</v>
      </c>
      <c r="AB1088" s="350">
        <f>R1088-H1088</f>
        <v>7</v>
      </c>
    </row>
    <row r="1089" spans="1:28" ht="22.15" customHeight="1" x14ac:dyDescent="0.25">
      <c r="B1089" s="276">
        <v>4037014190010</v>
      </c>
      <c r="C1089" s="81">
        <v>8</v>
      </c>
      <c r="D1089" s="23" t="s">
        <v>2299</v>
      </c>
      <c r="H1089" s="346">
        <v>279</v>
      </c>
      <c r="I1089" s="21">
        <v>267.68</v>
      </c>
      <c r="J1089" s="23" t="s">
        <v>41</v>
      </c>
      <c r="K1089" s="21">
        <v>1051053</v>
      </c>
      <c r="O1089" s="347">
        <v>58</v>
      </c>
      <c r="P1089" s="87">
        <v>1</v>
      </c>
      <c r="Q1089" s="87">
        <v>1</v>
      </c>
      <c r="R1089" s="84">
        <v>305</v>
      </c>
      <c r="Y1089" s="20">
        <f t="shared" ref="Y1089:Y1099" si="53">COUNTIF(K:K,K989)</f>
        <v>1</v>
      </c>
      <c r="AA1089" s="98">
        <f t="shared" ref="AA1089:AA1099" si="54">H989-I989</f>
        <v>0.65999999999999659</v>
      </c>
      <c r="AB1089" s="350">
        <f t="shared" ref="AB1089:AB1099" si="55">R989-H989</f>
        <v>7</v>
      </c>
    </row>
    <row r="1090" spans="1:28" ht="22.15" customHeight="1" x14ac:dyDescent="0.25">
      <c r="B1090" s="276">
        <v>4013743001667</v>
      </c>
      <c r="C1090" s="81">
        <v>12</v>
      </c>
      <c r="D1090" s="23" t="s">
        <v>2300</v>
      </c>
      <c r="H1090" s="346">
        <v>125</v>
      </c>
      <c r="I1090" s="21">
        <v>122.08</v>
      </c>
      <c r="J1090" s="23" t="s">
        <v>41</v>
      </c>
      <c r="K1090" s="21">
        <v>1052074</v>
      </c>
      <c r="O1090" s="347">
        <v>267</v>
      </c>
      <c r="P1090" s="87">
        <v>1</v>
      </c>
      <c r="Q1090" s="87">
        <v>1</v>
      </c>
      <c r="R1090" s="84">
        <v>129</v>
      </c>
      <c r="Y1090" s="20">
        <f t="shared" si="53"/>
        <v>1</v>
      </c>
      <c r="AA1090" s="98">
        <f t="shared" si="54"/>
        <v>3.1099999999999994</v>
      </c>
      <c r="AB1090" s="350">
        <f t="shared" si="55"/>
        <v>7</v>
      </c>
    </row>
    <row r="1091" spans="1:28" ht="22.15" customHeight="1" x14ac:dyDescent="0.25">
      <c r="B1091" s="276">
        <v>8586004532997</v>
      </c>
      <c r="C1091" s="81">
        <v>700</v>
      </c>
      <c r="D1091" s="23" t="s">
        <v>2301</v>
      </c>
      <c r="H1091" s="346">
        <v>2.5</v>
      </c>
      <c r="I1091" s="21">
        <v>2.1800000000000002</v>
      </c>
      <c r="J1091" s="23" t="s">
        <v>413</v>
      </c>
      <c r="K1091" s="21">
        <v>2040747</v>
      </c>
      <c r="O1091" s="347">
        <v>1978</v>
      </c>
      <c r="P1091" s="87">
        <v>1</v>
      </c>
      <c r="Q1091" s="87">
        <v>1</v>
      </c>
      <c r="R1091" s="84">
        <v>2.7</v>
      </c>
      <c r="Y1091" s="20">
        <f t="shared" si="53"/>
        <v>1</v>
      </c>
      <c r="AA1091" s="98">
        <f t="shared" si="54"/>
        <v>3.1099999999999994</v>
      </c>
      <c r="AB1091" s="350">
        <f t="shared" si="55"/>
        <v>7</v>
      </c>
    </row>
    <row r="1092" spans="1:28" ht="22.15" customHeight="1" x14ac:dyDescent="0.25">
      <c r="B1092" s="276">
        <v>8588000061464</v>
      </c>
      <c r="C1092" s="81">
        <v>700</v>
      </c>
      <c r="D1092" s="23" t="s">
        <v>2302</v>
      </c>
      <c r="H1092" s="346">
        <v>2.5</v>
      </c>
      <c r="I1092" s="21">
        <v>2.1800000000000002</v>
      </c>
      <c r="J1092" s="23" t="s">
        <v>413</v>
      </c>
      <c r="K1092" s="21">
        <v>2040748</v>
      </c>
      <c r="O1092" s="347">
        <v>868</v>
      </c>
      <c r="P1092" s="87">
        <v>1</v>
      </c>
      <c r="Q1092" s="87">
        <v>1</v>
      </c>
      <c r="R1092" s="84">
        <v>2.7</v>
      </c>
      <c r="Y1092" s="20">
        <f t="shared" si="53"/>
        <v>1</v>
      </c>
      <c r="AA1092" s="98">
        <f t="shared" si="54"/>
        <v>3.1099999999999994</v>
      </c>
      <c r="AB1092" s="350">
        <f t="shared" si="55"/>
        <v>7</v>
      </c>
    </row>
    <row r="1093" spans="1:28" ht="22.15" customHeight="1" x14ac:dyDescent="0.25">
      <c r="B1093" s="276">
        <v>8586004535127</v>
      </c>
      <c r="C1093" s="81">
        <v>700</v>
      </c>
      <c r="D1093" s="23" t="s">
        <v>2303</v>
      </c>
      <c r="H1093" s="346">
        <v>2.9</v>
      </c>
      <c r="I1093" s="21">
        <v>2.69</v>
      </c>
      <c r="J1093" s="23" t="s">
        <v>413</v>
      </c>
      <c r="K1093" s="21">
        <v>2040749</v>
      </c>
      <c r="O1093" s="347">
        <v>990</v>
      </c>
      <c r="P1093" s="87">
        <v>1</v>
      </c>
      <c r="Q1093" s="87">
        <v>1</v>
      </c>
      <c r="R1093" s="84">
        <v>3.3</v>
      </c>
      <c r="Y1093" s="20">
        <f t="shared" si="53"/>
        <v>1</v>
      </c>
      <c r="AA1093" s="98">
        <f t="shared" si="54"/>
        <v>4.4500000000000028</v>
      </c>
      <c r="AB1093" s="350">
        <f t="shared" si="55"/>
        <v>-2</v>
      </c>
    </row>
    <row r="1094" spans="1:28" ht="22.15" customHeight="1" x14ac:dyDescent="0.25">
      <c r="B1094" s="276">
        <v>5900020046895</v>
      </c>
      <c r="C1094" s="81">
        <v>16</v>
      </c>
      <c r="D1094" s="23" t="s">
        <v>2304</v>
      </c>
      <c r="H1094" s="346">
        <v>8.1999999999999993</v>
      </c>
      <c r="I1094" s="21">
        <v>7.8</v>
      </c>
      <c r="J1094" s="23" t="s">
        <v>421</v>
      </c>
      <c r="K1094" s="21">
        <v>2052123</v>
      </c>
      <c r="O1094" s="347">
        <v>551</v>
      </c>
      <c r="P1094" s="87">
        <v>1</v>
      </c>
      <c r="Q1094" s="87">
        <v>1</v>
      </c>
      <c r="R1094" s="84">
        <v>8.9</v>
      </c>
      <c r="Y1094" s="20">
        <f t="shared" si="53"/>
        <v>1</v>
      </c>
      <c r="AA1094" s="98">
        <f t="shared" si="54"/>
        <v>4.4500000000000028</v>
      </c>
      <c r="AB1094" s="350">
        <f t="shared" si="55"/>
        <v>-2</v>
      </c>
    </row>
    <row r="1095" spans="1:28" ht="22.15" customHeight="1" x14ac:dyDescent="0.25">
      <c r="B1095" s="276">
        <v>5900020018564</v>
      </c>
      <c r="C1095" s="81">
        <v>16</v>
      </c>
      <c r="D1095" s="23" t="s">
        <v>2305</v>
      </c>
      <c r="H1095" s="346">
        <v>8.1999999999999993</v>
      </c>
      <c r="I1095" s="21">
        <v>7.8</v>
      </c>
      <c r="J1095" s="23" t="s">
        <v>421</v>
      </c>
      <c r="K1095" s="21">
        <v>2050246</v>
      </c>
      <c r="O1095" s="347">
        <v>930</v>
      </c>
      <c r="P1095" s="87">
        <v>1</v>
      </c>
      <c r="Q1095" s="87">
        <v>1</v>
      </c>
      <c r="R1095" s="84">
        <v>8.9</v>
      </c>
      <c r="Y1095" s="20">
        <f t="shared" si="53"/>
        <v>1</v>
      </c>
      <c r="AA1095" s="98">
        <f t="shared" si="54"/>
        <v>1.5700000000000003</v>
      </c>
      <c r="AB1095" s="350">
        <f t="shared" si="55"/>
        <v>3</v>
      </c>
    </row>
    <row r="1096" spans="1:28" ht="22.15" customHeight="1" x14ac:dyDescent="0.25">
      <c r="B1096" s="276">
        <v>5900020029447</v>
      </c>
      <c r="C1096" s="81">
        <v>16</v>
      </c>
      <c r="D1096" s="23" t="s">
        <v>2306</v>
      </c>
      <c r="H1096" s="346">
        <v>8.1999999999999993</v>
      </c>
      <c r="I1096" s="21">
        <v>7.8</v>
      </c>
      <c r="J1096" s="23" t="s">
        <v>421</v>
      </c>
      <c r="K1096" s="21">
        <v>2051095</v>
      </c>
      <c r="O1096" s="347">
        <v>699</v>
      </c>
      <c r="P1096" s="87">
        <v>1</v>
      </c>
      <c r="Q1096" s="87">
        <v>1</v>
      </c>
      <c r="R1096" s="84">
        <v>8.9</v>
      </c>
      <c r="Y1096" s="20">
        <f t="shared" si="53"/>
        <v>1</v>
      </c>
      <c r="AA1096" s="98">
        <f t="shared" si="54"/>
        <v>2.2100000000000009</v>
      </c>
      <c r="AB1096" s="350">
        <f t="shared" si="55"/>
        <v>6</v>
      </c>
    </row>
    <row r="1097" spans="1:28" ht="22.15" customHeight="1" x14ac:dyDescent="0.25">
      <c r="B1097" s="276">
        <v>5900020027696</v>
      </c>
      <c r="C1097" s="81">
        <v>12</v>
      </c>
      <c r="D1097" s="23" t="s">
        <v>2307</v>
      </c>
      <c r="H1097" s="346">
        <v>8.1999999999999993</v>
      </c>
      <c r="I1097" s="21">
        <v>7.8</v>
      </c>
      <c r="J1097" s="23" t="s">
        <v>421</v>
      </c>
      <c r="K1097" s="21">
        <v>2050691</v>
      </c>
      <c r="O1097" s="347">
        <v>878</v>
      </c>
      <c r="P1097" s="87">
        <v>1</v>
      </c>
      <c r="Q1097" s="87">
        <v>1</v>
      </c>
      <c r="R1097" s="84">
        <v>8.9</v>
      </c>
      <c r="Y1097" s="20">
        <f t="shared" si="53"/>
        <v>1</v>
      </c>
      <c r="AA1097" s="98">
        <f t="shared" si="54"/>
        <v>2.2100000000000009</v>
      </c>
      <c r="AB1097" s="350">
        <f t="shared" si="55"/>
        <v>6</v>
      </c>
    </row>
    <row r="1098" spans="1:28" ht="22.15" customHeight="1" x14ac:dyDescent="0.25">
      <c r="B1098" s="276">
        <v>5900020027702</v>
      </c>
      <c r="C1098" s="81">
        <v>12</v>
      </c>
      <c r="D1098" s="23" t="s">
        <v>2308</v>
      </c>
      <c r="H1098" s="346">
        <v>8.1999999999999993</v>
      </c>
      <c r="I1098" s="21">
        <v>7.8</v>
      </c>
      <c r="J1098" s="23" t="s">
        <v>421</v>
      </c>
      <c r="K1098" s="21">
        <v>2050694</v>
      </c>
      <c r="O1098" s="347">
        <v>1026</v>
      </c>
      <c r="P1098" s="87">
        <v>1</v>
      </c>
      <c r="Q1098" s="87">
        <v>1</v>
      </c>
      <c r="R1098" s="84">
        <v>8.9</v>
      </c>
      <c r="Y1098" s="20">
        <f t="shared" si="53"/>
        <v>1</v>
      </c>
      <c r="AA1098" s="98">
        <f t="shared" si="54"/>
        <v>2.2100000000000009</v>
      </c>
      <c r="AB1098" s="350">
        <f t="shared" si="55"/>
        <v>6</v>
      </c>
    </row>
    <row r="1099" spans="1:28" ht="22.15" customHeight="1" x14ac:dyDescent="0.25">
      <c r="B1099" s="276">
        <v>5900020027672</v>
      </c>
      <c r="C1099" s="81">
        <v>12</v>
      </c>
      <c r="D1099" s="23" t="s">
        <v>2309</v>
      </c>
      <c r="H1099" s="346">
        <v>8.1999999999999993</v>
      </c>
      <c r="I1099" s="21">
        <v>7.8</v>
      </c>
      <c r="J1099" s="23" t="s">
        <v>421</v>
      </c>
      <c r="K1099" s="21">
        <v>2050692</v>
      </c>
      <c r="O1099" s="347">
        <v>942</v>
      </c>
      <c r="P1099" s="87">
        <v>1</v>
      </c>
      <c r="Q1099" s="87">
        <v>1</v>
      </c>
      <c r="R1099" s="84">
        <v>8.9</v>
      </c>
      <c r="Y1099" s="20">
        <f t="shared" si="53"/>
        <v>1</v>
      </c>
      <c r="AA1099" s="98">
        <f t="shared" si="54"/>
        <v>10.039999999999992</v>
      </c>
      <c r="AB1099" s="350">
        <f t="shared" si="55"/>
        <v>20</v>
      </c>
    </row>
    <row r="1100" spans="1:28" ht="22.15" customHeight="1" x14ac:dyDescent="0.25">
      <c r="A1100" s="21">
        <v>879</v>
      </c>
      <c r="B1100" s="276" t="s">
        <v>2310</v>
      </c>
      <c r="C1100" s="81">
        <v>10</v>
      </c>
      <c r="D1100" s="23" t="s">
        <v>2311</v>
      </c>
      <c r="H1100" s="346">
        <v>64.900000000000006</v>
      </c>
      <c r="I1100" s="21">
        <v>48.293999999999997</v>
      </c>
      <c r="J1100" s="23" t="s">
        <v>1013</v>
      </c>
      <c r="K1100" s="21" t="s">
        <v>2312</v>
      </c>
      <c r="L1100" s="21" t="s">
        <v>1013</v>
      </c>
      <c r="M1100" s="21" t="s">
        <v>2313</v>
      </c>
      <c r="N1100" s="87">
        <v>58.44</v>
      </c>
      <c r="O1100" s="347"/>
      <c r="R1100" s="84" t="s">
        <v>1015</v>
      </c>
      <c r="Y1100" s="20">
        <f>COUNTIF(K:K,K999)</f>
        <v>1</v>
      </c>
      <c r="AA1100" s="98">
        <f>H999-I999</f>
        <v>10.039999999999992</v>
      </c>
      <c r="AB1100" s="350">
        <f>R999-H999</f>
        <v>20</v>
      </c>
    </row>
    <row r="1101" spans="1:28" ht="22.15" customHeight="1" x14ac:dyDescent="0.25">
      <c r="A1101" s="21" t="s">
        <v>2314</v>
      </c>
      <c r="B1101" s="276" t="s">
        <v>2315</v>
      </c>
      <c r="C1101" s="81">
        <v>10</v>
      </c>
      <c r="D1101" s="23" t="s">
        <v>2316</v>
      </c>
      <c r="H1101" s="346">
        <v>64.900000000000006</v>
      </c>
      <c r="I1101" s="21">
        <v>48.293999999999997</v>
      </c>
      <c r="J1101" s="23" t="s">
        <v>1013</v>
      </c>
      <c r="K1101" s="21" t="s">
        <v>2317</v>
      </c>
      <c r="L1101" s="21" t="s">
        <v>2318</v>
      </c>
      <c r="M1101" s="21" t="s">
        <v>2313</v>
      </c>
      <c r="N1101" s="87">
        <v>48.293999999999997</v>
      </c>
      <c r="O1101" s="347"/>
      <c r="R1101" s="84" t="s">
        <v>1015</v>
      </c>
      <c r="Y1101" s="20">
        <f>COUNTIF(K:K,K1000)</f>
        <v>1</v>
      </c>
      <c r="AA1101" s="98">
        <f>H1000-I1000</f>
        <v>10.039999999999992</v>
      </c>
      <c r="AB1101" s="350">
        <f>R1000-H1000</f>
        <v>20</v>
      </c>
    </row>
    <row r="1102" spans="1:28" ht="22.15" customHeight="1" x14ac:dyDescent="0.25">
      <c r="A1102" s="21">
        <v>909</v>
      </c>
      <c r="B1102" s="276" t="s">
        <v>2319</v>
      </c>
      <c r="C1102" s="81">
        <v>10</v>
      </c>
      <c r="D1102" s="23" t="s">
        <v>2320</v>
      </c>
      <c r="H1102" s="346">
        <v>64.900000000000006</v>
      </c>
      <c r="I1102" s="21">
        <v>48.293999999999997</v>
      </c>
      <c r="J1102" s="23" t="s">
        <v>1013</v>
      </c>
      <c r="K1102" s="21" t="s">
        <v>2321</v>
      </c>
      <c r="L1102" s="21" t="s">
        <v>2322</v>
      </c>
      <c r="M1102" s="21" t="s">
        <v>2313</v>
      </c>
      <c r="N1102" s="87">
        <v>48.293999999999997</v>
      </c>
      <c r="O1102" s="347"/>
      <c r="R1102" s="84" t="s">
        <v>1015</v>
      </c>
      <c r="Y1102" s="20">
        <f>COUNTIF(K:K,K1001)</f>
        <v>1</v>
      </c>
      <c r="AA1102" s="98">
        <f>H1001-I1001</f>
        <v>14.04000000000002</v>
      </c>
      <c r="AB1102" s="350">
        <f>R1001-H1001</f>
        <v>20</v>
      </c>
    </row>
    <row r="1103" spans="1:28" ht="22.15" customHeight="1" x14ac:dyDescent="0.25">
      <c r="A1103" s="21" t="s">
        <v>2323</v>
      </c>
      <c r="B1103" s="276" t="s">
        <v>2324</v>
      </c>
      <c r="C1103" s="81">
        <v>10</v>
      </c>
      <c r="D1103" s="23" t="s">
        <v>2325</v>
      </c>
      <c r="H1103" s="346">
        <v>64.900000000000006</v>
      </c>
      <c r="I1103" s="21">
        <v>48.293999999999997</v>
      </c>
      <c r="J1103" s="23" t="s">
        <v>1013</v>
      </c>
      <c r="K1103" s="21" t="s">
        <v>2326</v>
      </c>
      <c r="L1103" s="21" t="s">
        <v>2327</v>
      </c>
      <c r="M1103" s="21" t="s">
        <v>2313</v>
      </c>
      <c r="N1103" s="87">
        <v>48.293999999999997</v>
      </c>
      <c r="O1103" s="347"/>
      <c r="R1103" s="84" t="s">
        <v>1015</v>
      </c>
      <c r="Y1103" s="20">
        <f t="shared" ref="Y1103:Y1134" si="56">COUNTIF(K:K,K1003)</f>
        <v>1</v>
      </c>
      <c r="AA1103" s="98">
        <f t="shared" ref="AA1103:AA1166" si="57">H1003-I1003</f>
        <v>3.3699999999999974</v>
      </c>
      <c r="AB1103" s="350">
        <f t="shared" ref="AB1103:AB1166" si="58">R1003-H1003</f>
        <v>5</v>
      </c>
    </row>
    <row r="1104" spans="1:28" ht="22.15" customHeight="1" x14ac:dyDescent="0.25">
      <c r="A1104" s="21">
        <v>495</v>
      </c>
      <c r="B1104" s="276" t="s">
        <v>2328</v>
      </c>
      <c r="C1104" s="81">
        <v>10</v>
      </c>
      <c r="D1104" s="23" t="s">
        <v>2329</v>
      </c>
      <c r="H1104" s="346">
        <v>64.900000000000006</v>
      </c>
      <c r="I1104" s="21">
        <v>48.293999999999997</v>
      </c>
      <c r="J1104" s="23" t="s">
        <v>1013</v>
      </c>
      <c r="K1104" s="21" t="s">
        <v>2330</v>
      </c>
      <c r="L1104" s="21" t="s">
        <v>2331</v>
      </c>
      <c r="M1104" s="21" t="s">
        <v>2313</v>
      </c>
      <c r="N1104" s="87">
        <v>48.293999999999997</v>
      </c>
      <c r="O1104" s="347"/>
      <c r="R1104" s="84" t="s">
        <v>1015</v>
      </c>
      <c r="Y1104" s="20">
        <f t="shared" si="56"/>
        <v>1</v>
      </c>
      <c r="AA1104" s="98">
        <f t="shared" si="57"/>
        <v>2.8099999999999952</v>
      </c>
      <c r="AB1104" s="350">
        <f t="shared" si="58"/>
        <v>5</v>
      </c>
    </row>
    <row r="1105" spans="1:28" ht="22.15" customHeight="1" x14ac:dyDescent="0.25">
      <c r="A1105" s="21" t="s">
        <v>2332</v>
      </c>
      <c r="B1105" s="276" t="s">
        <v>2333</v>
      </c>
      <c r="C1105" s="81">
        <v>10</v>
      </c>
      <c r="D1105" s="23" t="s">
        <v>2334</v>
      </c>
      <c r="H1105" s="346">
        <v>64.900000000000006</v>
      </c>
      <c r="I1105" s="21">
        <v>48.293999999999997</v>
      </c>
      <c r="J1105" s="23" t="s">
        <v>1013</v>
      </c>
      <c r="K1105" s="21" t="s">
        <v>2335</v>
      </c>
      <c r="L1105" s="21" t="s">
        <v>2336</v>
      </c>
      <c r="M1105" s="21" t="s">
        <v>2313</v>
      </c>
      <c r="N1105" s="87">
        <v>48.293999999999997</v>
      </c>
      <c r="O1105" s="347"/>
      <c r="R1105" s="84" t="s">
        <v>1015</v>
      </c>
      <c r="Y1105" s="20">
        <f t="shared" si="56"/>
        <v>1</v>
      </c>
      <c r="AA1105" s="98">
        <f t="shared" si="57"/>
        <v>4.1600000000000108</v>
      </c>
      <c r="AB1105" s="350">
        <f t="shared" si="58"/>
        <v>9</v>
      </c>
    </row>
    <row r="1106" spans="1:28" ht="22.15" customHeight="1" x14ac:dyDescent="0.25">
      <c r="A1106" s="21" t="s">
        <v>2337</v>
      </c>
      <c r="B1106" s="276" t="s">
        <v>2338</v>
      </c>
      <c r="C1106" s="81">
        <v>10</v>
      </c>
      <c r="D1106" s="23" t="s">
        <v>2339</v>
      </c>
      <c r="H1106" s="346">
        <v>64.900000000000006</v>
      </c>
      <c r="I1106" s="21">
        <v>48.293999999999997</v>
      </c>
      <c r="J1106" s="23" t="s">
        <v>1013</v>
      </c>
      <c r="K1106" s="21" t="s">
        <v>2340</v>
      </c>
      <c r="L1106" s="21" t="s">
        <v>2341</v>
      </c>
      <c r="M1106" s="21" t="s">
        <v>2313</v>
      </c>
      <c r="N1106" s="87">
        <v>48.293999999999997</v>
      </c>
      <c r="O1106" s="347"/>
      <c r="R1106" s="84" t="s">
        <v>1015</v>
      </c>
      <c r="Y1106" s="20">
        <f t="shared" si="56"/>
        <v>1</v>
      </c>
      <c r="AA1106" s="98">
        <f t="shared" si="57"/>
        <v>5.0600000000000023</v>
      </c>
      <c r="AB1106" s="350">
        <f t="shared" si="58"/>
        <v>9.9000000000000057</v>
      </c>
    </row>
    <row r="1107" spans="1:28" ht="22.15" customHeight="1" x14ac:dyDescent="0.25">
      <c r="A1107" s="21" t="s">
        <v>2342</v>
      </c>
      <c r="B1107" s="276" t="s">
        <v>2343</v>
      </c>
      <c r="C1107" s="81">
        <v>10</v>
      </c>
      <c r="D1107" s="23" t="s">
        <v>2344</v>
      </c>
      <c r="H1107" s="346">
        <v>64.900000000000006</v>
      </c>
      <c r="I1107" s="21">
        <v>48.293999999999997</v>
      </c>
      <c r="J1107" s="23" t="s">
        <v>1013</v>
      </c>
      <c r="K1107" s="21" t="s">
        <v>2345</v>
      </c>
      <c r="L1107" s="21" t="s">
        <v>2346</v>
      </c>
      <c r="M1107" s="21" t="s">
        <v>2313</v>
      </c>
      <c r="N1107" s="87">
        <v>48.293999999999997</v>
      </c>
      <c r="O1107" s="347"/>
      <c r="R1107" s="84" t="s">
        <v>1015</v>
      </c>
      <c r="Y1107" s="20">
        <f t="shared" si="56"/>
        <v>1</v>
      </c>
      <c r="AA1107" s="98">
        <f t="shared" si="57"/>
        <v>0.45999999999999908</v>
      </c>
      <c r="AB1107" s="350">
        <f t="shared" si="58"/>
        <v>0.70000000000000107</v>
      </c>
    </row>
    <row r="1108" spans="1:28" ht="22.15" customHeight="1" x14ac:dyDescent="0.25">
      <c r="A1108" s="21" t="s">
        <v>2347</v>
      </c>
      <c r="B1108" s="276" t="s">
        <v>2348</v>
      </c>
      <c r="C1108" s="81">
        <v>10</v>
      </c>
      <c r="D1108" s="23" t="s">
        <v>2349</v>
      </c>
      <c r="H1108" s="346">
        <v>64.900000000000006</v>
      </c>
      <c r="I1108" s="21">
        <v>48.293999999999997</v>
      </c>
      <c r="J1108" s="23" t="s">
        <v>1013</v>
      </c>
      <c r="K1108" s="21" t="s">
        <v>2350</v>
      </c>
      <c r="L1108" s="21" t="s">
        <v>2351</v>
      </c>
      <c r="M1108" s="21" t="s">
        <v>2313</v>
      </c>
      <c r="N1108" s="87">
        <v>48.293999999999997</v>
      </c>
      <c r="O1108" s="347"/>
      <c r="R1108" s="84" t="s">
        <v>1015</v>
      </c>
      <c r="Y1108" s="20">
        <f t="shared" si="56"/>
        <v>1</v>
      </c>
      <c r="AA1108" s="98">
        <f t="shared" si="57"/>
        <v>7.9200000000000017</v>
      </c>
      <c r="AB1108" s="350">
        <f t="shared" si="58"/>
        <v>6</v>
      </c>
    </row>
    <row r="1109" spans="1:28" ht="22.15" customHeight="1" x14ac:dyDescent="0.25">
      <c r="A1109" s="21" t="s">
        <v>2352</v>
      </c>
      <c r="B1109" s="276" t="s">
        <v>2353</v>
      </c>
      <c r="C1109" s="81">
        <v>10</v>
      </c>
      <c r="D1109" s="23" t="s">
        <v>2354</v>
      </c>
      <c r="H1109" s="346">
        <v>64.900000000000006</v>
      </c>
      <c r="I1109" s="21">
        <v>48.293999999999997</v>
      </c>
      <c r="J1109" s="23" t="s">
        <v>1013</v>
      </c>
      <c r="K1109" s="21" t="s">
        <v>2355</v>
      </c>
      <c r="L1109" s="21" t="s">
        <v>2356</v>
      </c>
      <c r="M1109" s="21" t="s">
        <v>2313</v>
      </c>
      <c r="N1109" s="87">
        <v>48.293999999999997</v>
      </c>
      <c r="O1109" s="347"/>
      <c r="R1109" s="84" t="s">
        <v>1015</v>
      </c>
      <c r="Y1109" s="20">
        <f t="shared" si="56"/>
        <v>1</v>
      </c>
      <c r="AA1109" s="98">
        <f t="shared" si="57"/>
        <v>7.9200000000000017</v>
      </c>
      <c r="AB1109" s="350">
        <f t="shared" si="58"/>
        <v>6</v>
      </c>
    </row>
    <row r="1110" spans="1:28" ht="22.15" customHeight="1" x14ac:dyDescent="0.25">
      <c r="A1110" s="21" t="s">
        <v>2357</v>
      </c>
      <c r="B1110" s="276" t="s">
        <v>2358</v>
      </c>
      <c r="C1110" s="81">
        <v>10</v>
      </c>
      <c r="D1110" s="23" t="s">
        <v>2359</v>
      </c>
      <c r="H1110" s="346">
        <v>64.900000000000006</v>
      </c>
      <c r="I1110" s="21">
        <v>48.293999999999997</v>
      </c>
      <c r="J1110" s="23" t="s">
        <v>1013</v>
      </c>
      <c r="K1110" s="21" t="s">
        <v>2360</v>
      </c>
      <c r="L1110" s="21" t="s">
        <v>2361</v>
      </c>
      <c r="M1110" s="21" t="s">
        <v>2313</v>
      </c>
      <c r="N1110" s="87">
        <v>48.293999999999997</v>
      </c>
      <c r="O1110" s="347"/>
      <c r="R1110" s="84" t="s">
        <v>1015</v>
      </c>
      <c r="Y1110" s="20">
        <f t="shared" si="56"/>
        <v>1</v>
      </c>
      <c r="AA1110" s="98">
        <f t="shared" si="57"/>
        <v>7.9200000000000017</v>
      </c>
      <c r="AB1110" s="350">
        <f t="shared" si="58"/>
        <v>6</v>
      </c>
    </row>
    <row r="1111" spans="1:28" ht="22.15" customHeight="1" x14ac:dyDescent="0.25">
      <c r="B1111" s="276" t="s">
        <v>2362</v>
      </c>
      <c r="C1111" s="81">
        <v>24</v>
      </c>
      <c r="D1111" s="23" t="s">
        <v>2363</v>
      </c>
      <c r="H1111" s="346">
        <v>35.5</v>
      </c>
      <c r="I1111" s="21">
        <v>33.759</v>
      </c>
      <c r="J1111" s="23" t="s">
        <v>1156</v>
      </c>
      <c r="K1111" s="21" t="s">
        <v>2364</v>
      </c>
      <c r="L1111" s="21" t="s">
        <v>2365</v>
      </c>
      <c r="M1111" s="21" t="s">
        <v>2366</v>
      </c>
      <c r="O1111" s="347">
        <v>33.759</v>
      </c>
      <c r="P1111" s="87" t="s">
        <v>2367</v>
      </c>
      <c r="R1111" s="84" t="s">
        <v>320</v>
      </c>
      <c r="Y1111" s="20">
        <f t="shared" si="56"/>
        <v>1</v>
      </c>
      <c r="AA1111" s="98">
        <f t="shared" si="57"/>
        <v>7.9200000000000017</v>
      </c>
      <c r="AB1111" s="350">
        <f t="shared" si="58"/>
        <v>6</v>
      </c>
    </row>
    <row r="1112" spans="1:28" ht="22.15" customHeight="1" x14ac:dyDescent="0.25">
      <c r="B1112" s="276" t="s">
        <v>2368</v>
      </c>
      <c r="C1112" s="81">
        <v>12</v>
      </c>
      <c r="D1112" s="23" t="s">
        <v>2369</v>
      </c>
      <c r="H1112" s="346">
        <v>37.9</v>
      </c>
      <c r="I1112" s="21">
        <v>36.179000000000002</v>
      </c>
      <c r="J1112" s="23" t="s">
        <v>1156</v>
      </c>
      <c r="K1112" s="21" t="s">
        <v>2370</v>
      </c>
      <c r="L1112" s="21" t="s">
        <v>2371</v>
      </c>
      <c r="M1112" s="21" t="s">
        <v>2372</v>
      </c>
      <c r="O1112" s="347">
        <v>36.179000000000002</v>
      </c>
      <c r="P1112" s="87" t="s">
        <v>2367</v>
      </c>
      <c r="R1112" s="84" t="s">
        <v>2373</v>
      </c>
      <c r="Y1112" s="20">
        <f t="shared" si="56"/>
        <v>1</v>
      </c>
      <c r="AA1112" s="98">
        <f t="shared" si="57"/>
        <v>0.17999999999999972</v>
      </c>
      <c r="AB1112" s="350">
        <f t="shared" si="58"/>
        <v>1.4000000000000004</v>
      </c>
    </row>
    <row r="1113" spans="1:28" ht="22.15" customHeight="1" x14ac:dyDescent="0.25">
      <c r="B1113" s="276" t="s">
        <v>2374</v>
      </c>
      <c r="C1113" s="81">
        <v>12</v>
      </c>
      <c r="D1113" s="23" t="s">
        <v>2375</v>
      </c>
      <c r="H1113" s="346">
        <v>54.9</v>
      </c>
      <c r="I1113" s="21">
        <v>50.82</v>
      </c>
      <c r="J1113" s="23" t="s">
        <v>1156</v>
      </c>
      <c r="K1113" s="21" t="s">
        <v>2376</v>
      </c>
      <c r="L1113" s="21" t="s">
        <v>2377</v>
      </c>
      <c r="M1113" s="21" t="s">
        <v>2378</v>
      </c>
      <c r="O1113" s="347">
        <v>50.82</v>
      </c>
      <c r="P1113" s="87" t="s">
        <v>2367</v>
      </c>
      <c r="R1113" s="84" t="s">
        <v>304</v>
      </c>
      <c r="Y1113" s="20">
        <f t="shared" si="56"/>
        <v>1</v>
      </c>
      <c r="AA1113" s="98">
        <f t="shared" si="57"/>
        <v>0.17999999999999972</v>
      </c>
      <c r="AB1113" s="350">
        <f t="shared" si="58"/>
        <v>1.4000000000000004</v>
      </c>
    </row>
    <row r="1114" spans="1:28" ht="22.15" customHeight="1" x14ac:dyDescent="0.25">
      <c r="B1114" s="276" t="s">
        <v>2379</v>
      </c>
      <c r="C1114" s="81">
        <v>12</v>
      </c>
      <c r="D1114" s="23" t="s">
        <v>2380</v>
      </c>
      <c r="H1114" s="346">
        <v>54.9</v>
      </c>
      <c r="I1114" s="21">
        <v>50.82</v>
      </c>
      <c r="J1114" s="23" t="s">
        <v>1156</v>
      </c>
      <c r="K1114" s="21" t="s">
        <v>2381</v>
      </c>
      <c r="L1114" s="21" t="s">
        <v>2382</v>
      </c>
      <c r="M1114" s="21" t="s">
        <v>2378</v>
      </c>
      <c r="O1114" s="347">
        <v>50.82</v>
      </c>
      <c r="P1114" s="87" t="s">
        <v>2367</v>
      </c>
      <c r="R1114" s="84" t="s">
        <v>304</v>
      </c>
      <c r="Y1114" s="20">
        <f t="shared" si="56"/>
        <v>1</v>
      </c>
      <c r="AA1114" s="98">
        <f t="shared" si="57"/>
        <v>0.17999999999999972</v>
      </c>
      <c r="AB1114" s="350">
        <f t="shared" si="58"/>
        <v>1.4000000000000004</v>
      </c>
    </row>
    <row r="1115" spans="1:28" ht="22.15" customHeight="1" x14ac:dyDescent="0.25">
      <c r="B1115" s="276" t="s">
        <v>2383</v>
      </c>
      <c r="C1115" s="81">
        <v>12</v>
      </c>
      <c r="D1115" s="23" t="s">
        <v>2384</v>
      </c>
      <c r="H1115" s="346">
        <v>54.9</v>
      </c>
      <c r="I1115" s="21">
        <v>50.82</v>
      </c>
      <c r="J1115" s="23" t="s">
        <v>1156</v>
      </c>
      <c r="K1115" s="21" t="s">
        <v>2385</v>
      </c>
      <c r="L1115" s="21" t="s">
        <v>2386</v>
      </c>
      <c r="M1115" s="21" t="s">
        <v>2378</v>
      </c>
      <c r="O1115" s="347">
        <v>50.82</v>
      </c>
      <c r="P1115" s="87" t="s">
        <v>2367</v>
      </c>
      <c r="R1115" s="84" t="s">
        <v>304</v>
      </c>
      <c r="Y1115" s="20">
        <f t="shared" si="56"/>
        <v>1</v>
      </c>
      <c r="AA1115" s="98">
        <f t="shared" si="57"/>
        <v>0.17999999999999972</v>
      </c>
      <c r="AB1115" s="350">
        <f t="shared" si="58"/>
        <v>1.4000000000000004</v>
      </c>
    </row>
    <row r="1116" spans="1:28" ht="22.15" customHeight="1" x14ac:dyDescent="0.25">
      <c r="A1116" s="21">
        <v>10</v>
      </c>
      <c r="B1116" s="276" t="s">
        <v>2387</v>
      </c>
      <c r="C1116" s="81">
        <v>12</v>
      </c>
      <c r="D1116" s="23" t="s">
        <v>2388</v>
      </c>
      <c r="H1116" s="346">
        <v>54.9</v>
      </c>
      <c r="I1116" s="21">
        <v>50.650599999999997</v>
      </c>
      <c r="J1116" s="23" t="s">
        <v>1013</v>
      </c>
      <c r="K1116" s="21" t="s">
        <v>2389</v>
      </c>
      <c r="L1116" s="21" t="s">
        <v>2390</v>
      </c>
      <c r="M1116" s="21" t="s">
        <v>1165</v>
      </c>
      <c r="N1116" s="87">
        <v>41.86</v>
      </c>
      <c r="O1116" s="347"/>
      <c r="R1116" s="84" t="s">
        <v>304</v>
      </c>
      <c r="Y1116" s="20">
        <f t="shared" si="56"/>
        <v>1</v>
      </c>
      <c r="AA1116" s="98">
        <f t="shared" si="57"/>
        <v>0.17999999999999972</v>
      </c>
      <c r="AB1116" s="350">
        <f t="shared" si="58"/>
        <v>1.4000000000000004</v>
      </c>
    </row>
    <row r="1117" spans="1:28" ht="22.15" customHeight="1" x14ac:dyDescent="0.25">
      <c r="A1117" s="21">
        <v>10</v>
      </c>
      <c r="B1117" s="276" t="s">
        <v>2391</v>
      </c>
      <c r="C1117" s="81">
        <v>12</v>
      </c>
      <c r="D1117" s="23" t="s">
        <v>2392</v>
      </c>
      <c r="H1117" s="346">
        <v>54.9</v>
      </c>
      <c r="I1117" s="21">
        <v>50.650599999999997</v>
      </c>
      <c r="J1117" s="23" t="s">
        <v>1013</v>
      </c>
      <c r="K1117" s="21" t="s">
        <v>2393</v>
      </c>
      <c r="L1117" s="21" t="s">
        <v>2394</v>
      </c>
      <c r="M1117" s="21" t="s">
        <v>1165</v>
      </c>
      <c r="N1117" s="87">
        <v>41.86</v>
      </c>
      <c r="O1117" s="347"/>
      <c r="R1117" s="84" t="s">
        <v>304</v>
      </c>
      <c r="Y1117" s="20">
        <f t="shared" si="56"/>
        <v>1</v>
      </c>
      <c r="AA1117" s="98">
        <f t="shared" si="57"/>
        <v>0.58999999999999986</v>
      </c>
      <c r="AB1117" s="350">
        <f t="shared" si="58"/>
        <v>1</v>
      </c>
    </row>
    <row r="1118" spans="1:28" ht="22.15" customHeight="1" x14ac:dyDescent="0.25">
      <c r="A1118" s="21">
        <v>10</v>
      </c>
      <c r="B1118" s="276" t="s">
        <v>2395</v>
      </c>
      <c r="C1118" s="81">
        <v>12</v>
      </c>
      <c r="D1118" s="23" t="s">
        <v>2396</v>
      </c>
      <c r="H1118" s="346">
        <v>54.9</v>
      </c>
      <c r="I1118" s="21">
        <v>50.650599999999997</v>
      </c>
      <c r="J1118" s="23" t="s">
        <v>1013</v>
      </c>
      <c r="K1118" s="21" t="s">
        <v>2397</v>
      </c>
      <c r="L1118" s="21" t="s">
        <v>2398</v>
      </c>
      <c r="M1118" s="21" t="s">
        <v>1165</v>
      </c>
      <c r="N1118" s="87">
        <v>41.86</v>
      </c>
      <c r="O1118" s="347"/>
      <c r="R1118" s="84" t="s">
        <v>304</v>
      </c>
      <c r="Y1118" s="20">
        <f t="shared" si="56"/>
        <v>1</v>
      </c>
      <c r="AA1118" s="98">
        <f t="shared" si="57"/>
        <v>0.58999999999999986</v>
      </c>
      <c r="AB1118" s="350">
        <f t="shared" si="58"/>
        <v>1</v>
      </c>
    </row>
    <row r="1119" spans="1:28" ht="22.15" customHeight="1" x14ac:dyDescent="0.25">
      <c r="A1119" s="21" t="s">
        <v>103</v>
      </c>
      <c r="B1119" s="276" t="s">
        <v>2399</v>
      </c>
      <c r="C1119" s="81">
        <v>24</v>
      </c>
      <c r="D1119" s="23" t="s">
        <v>2400</v>
      </c>
      <c r="H1119" s="346">
        <v>18.899999999999999</v>
      </c>
      <c r="I1119" s="21">
        <v>17.61</v>
      </c>
      <c r="J1119" s="23" t="s">
        <v>1171</v>
      </c>
      <c r="K1119" s="21" t="s">
        <v>2401</v>
      </c>
      <c r="L1119" s="21" t="s">
        <v>2402</v>
      </c>
      <c r="M1119" s="21" t="s">
        <v>1173</v>
      </c>
      <c r="O1119" s="347"/>
      <c r="R1119" s="84" t="s">
        <v>340</v>
      </c>
      <c r="Y1119" s="20">
        <f t="shared" si="56"/>
        <v>1</v>
      </c>
      <c r="AA1119" s="98">
        <f t="shared" si="57"/>
        <v>0.36000000000000032</v>
      </c>
      <c r="AB1119" s="350">
        <f t="shared" si="58"/>
        <v>0.59999999999999964</v>
      </c>
    </row>
    <row r="1120" spans="1:28" ht="22.15" customHeight="1" x14ac:dyDescent="0.25">
      <c r="A1120" s="21">
        <v>10</v>
      </c>
      <c r="B1120" s="276" t="s">
        <v>2403</v>
      </c>
      <c r="C1120" s="81">
        <v>24</v>
      </c>
      <c r="D1120" s="23" t="s">
        <v>2404</v>
      </c>
      <c r="H1120" s="346">
        <v>46.9</v>
      </c>
      <c r="I1120" s="21">
        <v>43.85964872222393</v>
      </c>
      <c r="J1120" s="23" t="s">
        <v>916</v>
      </c>
      <c r="K1120" s="21" t="s">
        <v>2405</v>
      </c>
      <c r="L1120" s="21" t="s">
        <v>2406</v>
      </c>
      <c r="M1120" s="21" t="s">
        <v>2407</v>
      </c>
      <c r="N1120" s="87">
        <v>36.247643572085892</v>
      </c>
      <c r="O1120" s="347"/>
      <c r="R1120" s="84" t="s">
        <v>738</v>
      </c>
      <c r="Y1120" s="20">
        <f t="shared" si="56"/>
        <v>1</v>
      </c>
      <c r="AA1120" s="98">
        <f t="shared" si="57"/>
        <v>0.30999999999999961</v>
      </c>
      <c r="AB1120" s="350">
        <f t="shared" si="58"/>
        <v>0.60000000000000053</v>
      </c>
    </row>
    <row r="1121" spans="1:28" ht="22.15" customHeight="1" x14ac:dyDescent="0.25">
      <c r="A1121" s="21">
        <v>12</v>
      </c>
      <c r="B1121" s="276" t="s">
        <v>2408</v>
      </c>
      <c r="C1121" s="81">
        <v>24</v>
      </c>
      <c r="D1121" s="23" t="s">
        <v>2409</v>
      </c>
      <c r="H1121" s="346">
        <v>66.900000000000006</v>
      </c>
      <c r="I1121" s="21">
        <v>63.286186950384142</v>
      </c>
      <c r="J1121" s="23" t="s">
        <v>1179</v>
      </c>
      <c r="K1121" s="21" t="s">
        <v>2410</v>
      </c>
      <c r="L1121" s="21" t="s">
        <v>2411</v>
      </c>
      <c r="M1121" s="21" t="s">
        <v>2412</v>
      </c>
      <c r="N1121" s="87">
        <v>52.302633843292682</v>
      </c>
      <c r="O1121" s="347"/>
      <c r="R1121" s="84" t="s">
        <v>2413</v>
      </c>
      <c r="Y1121" s="20">
        <f t="shared" si="56"/>
        <v>1</v>
      </c>
      <c r="AA1121" s="98">
        <f t="shared" si="57"/>
        <v>1.009999999999998</v>
      </c>
      <c r="AB1121" s="350">
        <f t="shared" si="58"/>
        <v>2</v>
      </c>
    </row>
    <row r="1122" spans="1:28" ht="22.15" customHeight="1" x14ac:dyDescent="0.25">
      <c r="A1122" s="21">
        <v>12</v>
      </c>
      <c r="B1122" s="276" t="s">
        <v>2414</v>
      </c>
      <c r="C1122" s="81">
        <v>24</v>
      </c>
      <c r="D1122" s="23" t="s">
        <v>2415</v>
      </c>
      <c r="H1122" s="346">
        <v>72.900000000000006</v>
      </c>
      <c r="I1122" s="21">
        <v>69.401243697500021</v>
      </c>
      <c r="J1122" s="23" t="s">
        <v>1179</v>
      </c>
      <c r="K1122" s="21" t="s">
        <v>2416</v>
      </c>
      <c r="L1122" s="21" t="s">
        <v>2417</v>
      </c>
      <c r="M1122" s="21" t="s">
        <v>2418</v>
      </c>
      <c r="N1122" s="87">
        <v>57.356399750000016</v>
      </c>
      <c r="O1122" s="347"/>
      <c r="R1122" s="84" t="s">
        <v>2419</v>
      </c>
      <c r="Y1122" s="20">
        <f t="shared" si="56"/>
        <v>1</v>
      </c>
      <c r="AA1122" s="98">
        <f t="shared" si="57"/>
        <v>0.19000000000000039</v>
      </c>
      <c r="AB1122" s="350">
        <f t="shared" si="58"/>
        <v>1.2999999999999989</v>
      </c>
    </row>
    <row r="1123" spans="1:28" ht="22.15" customHeight="1" x14ac:dyDescent="0.25">
      <c r="A1123" s="21">
        <v>12</v>
      </c>
      <c r="B1123" s="276" t="s">
        <v>2420</v>
      </c>
      <c r="C1123" s="81">
        <v>12</v>
      </c>
      <c r="D1123" s="23" t="s">
        <v>2421</v>
      </c>
      <c r="H1123" s="346">
        <v>84.9</v>
      </c>
      <c r="I1123" s="21">
        <v>80.53679186437499</v>
      </c>
      <c r="J1123" s="23" t="s">
        <v>1179</v>
      </c>
      <c r="K1123" s="21" t="s">
        <v>2422</v>
      </c>
      <c r="L1123" s="21" t="s">
        <v>2423</v>
      </c>
      <c r="M1123" s="21" t="s">
        <v>2424</v>
      </c>
      <c r="N1123" s="87">
        <v>66.559332119318171</v>
      </c>
      <c r="O1123" s="347"/>
      <c r="R1123" s="84" t="s">
        <v>2425</v>
      </c>
      <c r="Y1123" s="20">
        <f t="shared" si="56"/>
        <v>1</v>
      </c>
      <c r="AA1123" s="98">
        <f t="shared" si="57"/>
        <v>0.17000000000000171</v>
      </c>
      <c r="AB1123" s="350">
        <f t="shared" si="58"/>
        <v>0</v>
      </c>
    </row>
    <row r="1124" spans="1:28" ht="22.15" customHeight="1" x14ac:dyDescent="0.25">
      <c r="A1124" s="21">
        <v>999</v>
      </c>
      <c r="B1124" s="276" t="s">
        <v>2426</v>
      </c>
      <c r="C1124" s="81">
        <v>8</v>
      </c>
      <c r="D1124" s="23" t="s">
        <v>2427</v>
      </c>
      <c r="H1124" s="346">
        <v>129.9</v>
      </c>
      <c r="I1124" s="21">
        <v>120.879</v>
      </c>
      <c r="J1124" s="23" t="s">
        <v>1179</v>
      </c>
      <c r="K1124" s="21" t="s">
        <v>2428</v>
      </c>
      <c r="L1124" s="21" t="s">
        <v>2429</v>
      </c>
      <c r="M1124" s="21" t="s">
        <v>2430</v>
      </c>
      <c r="N1124" s="87">
        <v>99.9</v>
      </c>
      <c r="O1124" s="347"/>
      <c r="R1124" s="84" t="s">
        <v>2431</v>
      </c>
      <c r="Y1124" s="20">
        <f t="shared" si="56"/>
        <v>1</v>
      </c>
      <c r="AA1124" s="98">
        <f t="shared" si="57"/>
        <v>0.17000000000000171</v>
      </c>
      <c r="AB1124" s="350">
        <f t="shared" si="58"/>
        <v>0</v>
      </c>
    </row>
    <row r="1125" spans="1:28" ht="22.15" customHeight="1" x14ac:dyDescent="0.25">
      <c r="A1125" s="21">
        <v>12</v>
      </c>
      <c r="B1125" s="276">
        <v>8699444266169</v>
      </c>
      <c r="C1125" s="81">
        <v>48</v>
      </c>
      <c r="D1125" s="23" t="s">
        <v>2432</v>
      </c>
      <c r="H1125" s="346" t="s">
        <v>1186</v>
      </c>
      <c r="I1125" s="21">
        <v>33.759</v>
      </c>
      <c r="J1125" s="23" t="s">
        <v>1013</v>
      </c>
      <c r="K1125" s="21" t="s">
        <v>2433</v>
      </c>
      <c r="L1125" s="21" t="s">
        <v>2434</v>
      </c>
      <c r="M1125" s="21" t="s">
        <v>1188</v>
      </c>
      <c r="N1125" s="87">
        <v>33.759</v>
      </c>
      <c r="O1125" s="347">
        <v>33.759</v>
      </c>
      <c r="P1125" s="87" t="s">
        <v>2435</v>
      </c>
      <c r="R1125" s="84">
        <v>37.5</v>
      </c>
      <c r="Y1125" s="20">
        <f t="shared" si="56"/>
        <v>1</v>
      </c>
      <c r="AA1125" s="98">
        <f t="shared" si="57"/>
        <v>0.17000000000000171</v>
      </c>
      <c r="AB1125" s="350">
        <f t="shared" si="58"/>
        <v>0</v>
      </c>
    </row>
    <row r="1126" spans="1:28" ht="22.15" customHeight="1" x14ac:dyDescent="0.25">
      <c r="A1126" s="21">
        <v>12</v>
      </c>
      <c r="B1126" s="276">
        <v>8699444266060</v>
      </c>
      <c r="C1126" s="81">
        <v>48</v>
      </c>
      <c r="D1126" s="23" t="s">
        <v>2436</v>
      </c>
      <c r="H1126" s="346" t="s">
        <v>1186</v>
      </c>
      <c r="I1126" s="21">
        <v>33.759</v>
      </c>
      <c r="J1126" s="23" t="s">
        <v>1013</v>
      </c>
      <c r="K1126" s="21" t="s">
        <v>2437</v>
      </c>
      <c r="L1126" s="21" t="s">
        <v>2438</v>
      </c>
      <c r="M1126" s="21" t="s">
        <v>1188</v>
      </c>
      <c r="N1126" s="87">
        <v>33.759</v>
      </c>
      <c r="O1126" s="347">
        <v>33.759</v>
      </c>
      <c r="P1126" s="87" t="s">
        <v>2435</v>
      </c>
      <c r="R1126" s="84">
        <v>37.5</v>
      </c>
      <c r="Y1126" s="20">
        <f t="shared" si="56"/>
        <v>1</v>
      </c>
      <c r="AA1126" s="98">
        <f t="shared" si="57"/>
        <v>0.17000000000000171</v>
      </c>
      <c r="AB1126" s="350">
        <f t="shared" si="58"/>
        <v>0</v>
      </c>
    </row>
    <row r="1127" spans="1:28" ht="22.15" customHeight="1" x14ac:dyDescent="0.25">
      <c r="A1127" s="21">
        <v>12</v>
      </c>
      <c r="B1127" s="276">
        <v>8699444266145</v>
      </c>
      <c r="C1127" s="81">
        <v>48</v>
      </c>
      <c r="D1127" s="23" t="s">
        <v>2439</v>
      </c>
      <c r="H1127" s="346" t="s">
        <v>1186</v>
      </c>
      <c r="I1127" s="21">
        <v>33.759</v>
      </c>
      <c r="J1127" s="23" t="s">
        <v>1013</v>
      </c>
      <c r="K1127" s="21" t="s">
        <v>2440</v>
      </c>
      <c r="L1127" s="21" t="s">
        <v>2441</v>
      </c>
      <c r="M1127" s="21" t="s">
        <v>1188</v>
      </c>
      <c r="N1127" s="87">
        <v>33.759</v>
      </c>
      <c r="O1127" s="347">
        <v>33.759</v>
      </c>
      <c r="P1127" s="87" t="s">
        <v>2435</v>
      </c>
      <c r="R1127" s="84">
        <v>37.5</v>
      </c>
      <c r="Y1127" s="20">
        <f t="shared" si="56"/>
        <v>1</v>
      </c>
      <c r="AA1127" s="98">
        <f t="shared" si="57"/>
        <v>0.59999999999999964</v>
      </c>
      <c r="AB1127" s="350">
        <f t="shared" si="58"/>
        <v>1</v>
      </c>
    </row>
    <row r="1128" spans="1:28" ht="22.15" customHeight="1" x14ac:dyDescent="0.25">
      <c r="A1128" s="21">
        <v>12</v>
      </c>
      <c r="B1128" s="276" t="s">
        <v>2442</v>
      </c>
      <c r="C1128" s="81">
        <v>48</v>
      </c>
      <c r="D1128" s="23" t="s">
        <v>2443</v>
      </c>
      <c r="H1128" s="346" t="s">
        <v>1186</v>
      </c>
      <c r="I1128" s="21">
        <v>33.759</v>
      </c>
      <c r="J1128" s="23" t="s">
        <v>1013</v>
      </c>
      <c r="K1128" s="21" t="s">
        <v>2444</v>
      </c>
      <c r="L1128" s="21" t="s">
        <v>2445</v>
      </c>
      <c r="M1128" s="21" t="s">
        <v>1188</v>
      </c>
      <c r="N1128" s="87">
        <v>33.759</v>
      </c>
      <c r="O1128" s="347">
        <v>33.759</v>
      </c>
      <c r="P1128" s="87" t="s">
        <v>2435</v>
      </c>
      <c r="R1128" s="84">
        <v>37.5</v>
      </c>
      <c r="Y1128" s="20">
        <f t="shared" si="56"/>
        <v>1</v>
      </c>
      <c r="AA1128" s="98">
        <f t="shared" si="57"/>
        <v>0.59999999999999964</v>
      </c>
      <c r="AB1128" s="350">
        <f t="shared" si="58"/>
        <v>1</v>
      </c>
    </row>
    <row r="1129" spans="1:28" ht="22.15" customHeight="1" x14ac:dyDescent="0.25">
      <c r="A1129" s="21">
        <v>12</v>
      </c>
      <c r="B1129" s="276">
        <v>8699444266077</v>
      </c>
      <c r="C1129" s="81">
        <v>48</v>
      </c>
      <c r="D1129" s="23" t="s">
        <v>2446</v>
      </c>
      <c r="H1129" s="346" t="s">
        <v>1186</v>
      </c>
      <c r="I1129" s="21">
        <v>33.759</v>
      </c>
      <c r="J1129" s="23" t="s">
        <v>1013</v>
      </c>
      <c r="K1129" s="21" t="s">
        <v>2447</v>
      </c>
      <c r="L1129" s="21" t="s">
        <v>2448</v>
      </c>
      <c r="M1129" s="21" t="s">
        <v>1188</v>
      </c>
      <c r="N1129" s="87">
        <v>33.759</v>
      </c>
      <c r="O1129" s="347">
        <v>33.759</v>
      </c>
      <c r="P1129" s="87" t="s">
        <v>2435</v>
      </c>
      <c r="R1129" s="84">
        <v>37.5</v>
      </c>
      <c r="Y1129" s="20">
        <f t="shared" si="56"/>
        <v>1</v>
      </c>
      <c r="AA1129" s="98">
        <f t="shared" si="57"/>
        <v>0.59999999999999964</v>
      </c>
      <c r="AB1129" s="350">
        <f t="shared" si="58"/>
        <v>1</v>
      </c>
    </row>
    <row r="1130" spans="1:28" ht="22.15" customHeight="1" x14ac:dyDescent="0.25">
      <c r="A1130" s="21">
        <v>12</v>
      </c>
      <c r="B1130" s="276">
        <v>8699444266152</v>
      </c>
      <c r="C1130" s="81">
        <v>48</v>
      </c>
      <c r="D1130" s="23" t="s">
        <v>2449</v>
      </c>
      <c r="H1130" s="346" t="s">
        <v>1186</v>
      </c>
      <c r="I1130" s="21">
        <v>33.759</v>
      </c>
      <c r="J1130" s="23" t="s">
        <v>1013</v>
      </c>
      <c r="K1130" s="21" t="s">
        <v>2450</v>
      </c>
      <c r="L1130" s="21" t="s">
        <v>2451</v>
      </c>
      <c r="M1130" s="21" t="s">
        <v>1188</v>
      </c>
      <c r="N1130" s="87">
        <v>33.759</v>
      </c>
      <c r="O1130" s="347">
        <v>33.759</v>
      </c>
      <c r="P1130" s="87" t="s">
        <v>2435</v>
      </c>
      <c r="R1130" s="84">
        <v>37.5</v>
      </c>
      <c r="Y1130" s="20">
        <f t="shared" si="56"/>
        <v>1</v>
      </c>
      <c r="AA1130" s="98">
        <f t="shared" si="57"/>
        <v>0.20000000000000018</v>
      </c>
      <c r="AB1130" s="350">
        <f t="shared" si="58"/>
        <v>0.69999999999999929</v>
      </c>
    </row>
    <row r="1131" spans="1:28" ht="22.15" customHeight="1" x14ac:dyDescent="0.25">
      <c r="A1131" s="21">
        <v>12</v>
      </c>
      <c r="B1131" s="276" t="s">
        <v>2452</v>
      </c>
      <c r="C1131" s="81">
        <v>48</v>
      </c>
      <c r="D1131" s="23" t="s">
        <v>2453</v>
      </c>
      <c r="H1131" s="346" t="s">
        <v>1186</v>
      </c>
      <c r="I1131" s="21">
        <v>33.759</v>
      </c>
      <c r="J1131" s="23" t="s">
        <v>1013</v>
      </c>
      <c r="K1131" s="21" t="s">
        <v>2454</v>
      </c>
      <c r="L1131" s="21" t="s">
        <v>2455</v>
      </c>
      <c r="M1131" s="21" t="s">
        <v>1188</v>
      </c>
      <c r="N1131" s="87">
        <v>33.759</v>
      </c>
      <c r="O1131" s="347">
        <v>33.759</v>
      </c>
      <c r="P1131" s="87" t="s">
        <v>2435</v>
      </c>
      <c r="R1131" s="84">
        <v>37.5</v>
      </c>
      <c r="Y1131" s="20">
        <f t="shared" si="56"/>
        <v>1</v>
      </c>
      <c r="AA1131" s="98">
        <f t="shared" si="57"/>
        <v>0.20000000000000018</v>
      </c>
      <c r="AB1131" s="350">
        <f t="shared" si="58"/>
        <v>0.69999999999999929</v>
      </c>
    </row>
    <row r="1132" spans="1:28" ht="22.15" customHeight="1" x14ac:dyDescent="0.25">
      <c r="A1132" s="21">
        <v>12</v>
      </c>
      <c r="B1132" s="276">
        <v>8699444266114</v>
      </c>
      <c r="C1132" s="81">
        <v>48</v>
      </c>
      <c r="D1132" s="23" t="s">
        <v>2456</v>
      </c>
      <c r="H1132" s="346" t="s">
        <v>1186</v>
      </c>
      <c r="I1132" s="21">
        <v>33.759</v>
      </c>
      <c r="J1132" s="23" t="s">
        <v>1013</v>
      </c>
      <c r="K1132" s="21" t="s">
        <v>2457</v>
      </c>
      <c r="L1132" s="21" t="s">
        <v>2458</v>
      </c>
      <c r="M1132" s="21" t="s">
        <v>1188</v>
      </c>
      <c r="N1132" s="87">
        <v>33.759</v>
      </c>
      <c r="O1132" s="347">
        <v>33.759</v>
      </c>
      <c r="P1132" s="87" t="s">
        <v>2435</v>
      </c>
      <c r="R1132" s="84">
        <v>37.5</v>
      </c>
      <c r="Y1132" s="20">
        <f t="shared" si="56"/>
        <v>1</v>
      </c>
      <c r="AA1132" s="98">
        <f t="shared" si="57"/>
        <v>0.20000000000000018</v>
      </c>
      <c r="AB1132" s="350">
        <f t="shared" si="58"/>
        <v>0.69999999999999929</v>
      </c>
    </row>
    <row r="1133" spans="1:28" ht="22.15" customHeight="1" x14ac:dyDescent="0.25">
      <c r="A1133" s="21">
        <v>12</v>
      </c>
      <c r="B1133" s="276" t="s">
        <v>2459</v>
      </c>
      <c r="C1133" s="81">
        <v>48</v>
      </c>
      <c r="D1133" s="23" t="s">
        <v>2460</v>
      </c>
      <c r="H1133" s="346" t="s">
        <v>1186</v>
      </c>
      <c r="I1133" s="21">
        <v>33.759</v>
      </c>
      <c r="J1133" s="23" t="s">
        <v>1013</v>
      </c>
      <c r="K1133" s="21" t="s">
        <v>2461</v>
      </c>
      <c r="L1133" s="21" t="s">
        <v>2462</v>
      </c>
      <c r="M1133" s="21" t="s">
        <v>1188</v>
      </c>
      <c r="N1133" s="87">
        <v>33.759</v>
      </c>
      <c r="O1133" s="347">
        <v>33.759</v>
      </c>
      <c r="P1133" s="87" t="s">
        <v>2435</v>
      </c>
      <c r="R1133" s="84">
        <v>37.5</v>
      </c>
      <c r="Y1133" s="20">
        <f t="shared" si="56"/>
        <v>1</v>
      </c>
      <c r="AA1133" s="98">
        <f t="shared" si="57"/>
        <v>0.20000000000000018</v>
      </c>
      <c r="AB1133" s="350">
        <f t="shared" si="58"/>
        <v>0.69999999999999929</v>
      </c>
    </row>
    <row r="1134" spans="1:28" ht="22.15" customHeight="1" x14ac:dyDescent="0.25">
      <c r="A1134" s="21">
        <v>12</v>
      </c>
      <c r="B1134" s="276">
        <v>8699444266053</v>
      </c>
      <c r="C1134" s="81">
        <v>48</v>
      </c>
      <c r="D1134" s="23" t="s">
        <v>2463</v>
      </c>
      <c r="H1134" s="346" t="s">
        <v>1186</v>
      </c>
      <c r="I1134" s="21">
        <v>33.759</v>
      </c>
      <c r="J1134" s="23" t="s">
        <v>1013</v>
      </c>
      <c r="K1134" s="21" t="s">
        <v>2464</v>
      </c>
      <c r="L1134" s="21" t="s">
        <v>2465</v>
      </c>
      <c r="M1134" s="21" t="s">
        <v>1188</v>
      </c>
      <c r="N1134" s="87">
        <v>33.759</v>
      </c>
      <c r="O1134" s="347">
        <v>33.759</v>
      </c>
      <c r="P1134" s="87" t="s">
        <v>2435</v>
      </c>
      <c r="R1134" s="84">
        <v>37.5</v>
      </c>
      <c r="Y1134" s="20">
        <f t="shared" si="56"/>
        <v>1</v>
      </c>
      <c r="AA1134" s="98">
        <f t="shared" si="57"/>
        <v>0.20000000000000018</v>
      </c>
      <c r="AB1134" s="350">
        <f t="shared" si="58"/>
        <v>0.69999999999999929</v>
      </c>
    </row>
    <row r="1135" spans="1:28" ht="22.15" customHeight="1" x14ac:dyDescent="0.25">
      <c r="A1135" s="21">
        <v>12</v>
      </c>
      <c r="B1135" s="276" t="s">
        <v>2466</v>
      </c>
      <c r="C1135" s="81">
        <v>48</v>
      </c>
      <c r="D1135" s="23" t="s">
        <v>2467</v>
      </c>
      <c r="H1135" s="346" t="s">
        <v>1186</v>
      </c>
      <c r="I1135" s="21">
        <v>33.759</v>
      </c>
      <c r="J1135" s="23" t="s">
        <v>1013</v>
      </c>
      <c r="K1135" s="21" t="s">
        <v>2468</v>
      </c>
      <c r="L1135" s="21" t="s">
        <v>2469</v>
      </c>
      <c r="M1135" s="21" t="s">
        <v>1188</v>
      </c>
      <c r="N1135" s="87">
        <v>33.759</v>
      </c>
      <c r="O1135" s="347">
        <v>33.759</v>
      </c>
      <c r="P1135" s="87" t="s">
        <v>2435</v>
      </c>
      <c r="R1135" s="84">
        <v>37.5</v>
      </c>
      <c r="Y1135" s="20">
        <f t="shared" ref="Y1135:Y1166" si="59">COUNTIF(K:K,K1035)</f>
        <v>1</v>
      </c>
      <c r="AA1135" s="98">
        <f t="shared" si="57"/>
        <v>0.20000000000000018</v>
      </c>
      <c r="AB1135" s="350">
        <f t="shared" si="58"/>
        <v>0.69999999999999929</v>
      </c>
    </row>
    <row r="1136" spans="1:28" ht="22.15" customHeight="1" x14ac:dyDescent="0.25">
      <c r="A1136" s="21">
        <v>12</v>
      </c>
      <c r="B1136" s="276" t="s">
        <v>2470</v>
      </c>
      <c r="C1136" s="81">
        <v>48</v>
      </c>
      <c r="D1136" s="23" t="s">
        <v>2471</v>
      </c>
      <c r="H1136" s="346" t="s">
        <v>1186</v>
      </c>
      <c r="I1136" s="21">
        <v>33.759</v>
      </c>
      <c r="J1136" s="23" t="s">
        <v>1013</v>
      </c>
      <c r="K1136" s="21" t="s">
        <v>2472</v>
      </c>
      <c r="L1136" s="21" t="s">
        <v>2473</v>
      </c>
      <c r="M1136" s="21" t="s">
        <v>1188</v>
      </c>
      <c r="N1136" s="87">
        <v>33.759</v>
      </c>
      <c r="O1136" s="347">
        <v>33.759</v>
      </c>
      <c r="P1136" s="87" t="s">
        <v>2435</v>
      </c>
      <c r="R1136" s="84">
        <v>37.5</v>
      </c>
      <c r="Y1136" s="20">
        <f t="shared" si="59"/>
        <v>1</v>
      </c>
      <c r="AA1136" s="98">
        <f t="shared" si="57"/>
        <v>0.20000000000000018</v>
      </c>
      <c r="AB1136" s="350">
        <f t="shared" si="58"/>
        <v>0.69999999999999929</v>
      </c>
    </row>
    <row r="1137" spans="1:28" ht="22.15" customHeight="1" x14ac:dyDescent="0.25">
      <c r="A1137" s="21">
        <v>12</v>
      </c>
      <c r="B1137" s="276" t="s">
        <v>2474</v>
      </c>
      <c r="C1137" s="81">
        <v>48</v>
      </c>
      <c r="D1137" s="23" t="s">
        <v>2475</v>
      </c>
      <c r="H1137" s="346" t="s">
        <v>1186</v>
      </c>
      <c r="I1137" s="21">
        <v>33.759</v>
      </c>
      <c r="J1137" s="23" t="s">
        <v>1013</v>
      </c>
      <c r="K1137" s="21" t="s">
        <v>2476</v>
      </c>
      <c r="L1137" s="21" t="s">
        <v>2477</v>
      </c>
      <c r="M1137" s="21" t="s">
        <v>1188</v>
      </c>
      <c r="N1137" s="87">
        <v>33.759</v>
      </c>
      <c r="O1137" s="347">
        <v>33.759</v>
      </c>
      <c r="P1137" s="87" t="s">
        <v>2435</v>
      </c>
      <c r="R1137" s="84">
        <v>37.5</v>
      </c>
      <c r="Y1137" s="20">
        <f t="shared" si="59"/>
        <v>1</v>
      </c>
      <c r="AA1137" s="98">
        <f t="shared" si="57"/>
        <v>0.20000000000000018</v>
      </c>
      <c r="AB1137" s="350">
        <f t="shared" si="58"/>
        <v>0.69999999999999929</v>
      </c>
    </row>
    <row r="1138" spans="1:28" ht="22.15" customHeight="1" x14ac:dyDescent="0.25">
      <c r="A1138" s="21">
        <v>12</v>
      </c>
      <c r="B1138" s="276">
        <v>8699444266107</v>
      </c>
      <c r="C1138" s="81">
        <v>48</v>
      </c>
      <c r="D1138" s="23" t="s">
        <v>2478</v>
      </c>
      <c r="H1138" s="346" t="s">
        <v>1186</v>
      </c>
      <c r="I1138" s="21">
        <v>33.759</v>
      </c>
      <c r="J1138" s="23" t="s">
        <v>1013</v>
      </c>
      <c r="K1138" s="21" t="s">
        <v>2479</v>
      </c>
      <c r="L1138" s="21" t="s">
        <v>2480</v>
      </c>
      <c r="M1138" s="21" t="s">
        <v>1188</v>
      </c>
      <c r="N1138" s="87">
        <v>33.759</v>
      </c>
      <c r="O1138" s="347">
        <v>33.759</v>
      </c>
      <c r="P1138" s="87" t="s">
        <v>2435</v>
      </c>
      <c r="R1138" s="84">
        <v>37.5</v>
      </c>
      <c r="Y1138" s="20">
        <f t="shared" si="59"/>
        <v>1</v>
      </c>
      <c r="AA1138" s="98">
        <f t="shared" si="57"/>
        <v>0.20000000000000018</v>
      </c>
      <c r="AB1138" s="350">
        <f t="shared" si="58"/>
        <v>0.69999999999999929</v>
      </c>
    </row>
    <row r="1139" spans="1:28" ht="22.15" customHeight="1" x14ac:dyDescent="0.25">
      <c r="A1139" s="21">
        <v>12</v>
      </c>
      <c r="B1139" s="276">
        <v>8699444266091</v>
      </c>
      <c r="C1139" s="81">
        <v>48</v>
      </c>
      <c r="D1139" s="23" t="s">
        <v>2481</v>
      </c>
      <c r="H1139" s="346" t="s">
        <v>1186</v>
      </c>
      <c r="I1139" s="21">
        <v>33.759</v>
      </c>
      <c r="J1139" s="23" t="s">
        <v>1013</v>
      </c>
      <c r="K1139" s="21" t="s">
        <v>2482</v>
      </c>
      <c r="L1139" s="21" t="s">
        <v>2483</v>
      </c>
      <c r="M1139" s="21" t="s">
        <v>1188</v>
      </c>
      <c r="N1139" s="87">
        <v>33.759</v>
      </c>
      <c r="O1139" s="347">
        <v>33.759</v>
      </c>
      <c r="P1139" s="87" t="s">
        <v>2435</v>
      </c>
      <c r="R1139" s="84">
        <v>37.5</v>
      </c>
      <c r="Y1139" s="20">
        <f t="shared" si="59"/>
        <v>1</v>
      </c>
      <c r="AA1139" s="98">
        <f t="shared" si="57"/>
        <v>0.20000000000000018</v>
      </c>
      <c r="AB1139" s="350">
        <f t="shared" si="58"/>
        <v>0.69999999999999929</v>
      </c>
    </row>
    <row r="1140" spans="1:28" ht="22.15" customHeight="1" x14ac:dyDescent="0.25">
      <c r="A1140" s="21">
        <v>12</v>
      </c>
      <c r="B1140" s="276">
        <v>8699444266121</v>
      </c>
      <c r="C1140" s="81">
        <v>48</v>
      </c>
      <c r="D1140" s="23" t="s">
        <v>2484</v>
      </c>
      <c r="H1140" s="346" t="s">
        <v>1186</v>
      </c>
      <c r="I1140" s="21">
        <v>33.759</v>
      </c>
      <c r="J1140" s="23" t="s">
        <v>1013</v>
      </c>
      <c r="K1140" s="21" t="s">
        <v>2485</v>
      </c>
      <c r="L1140" s="21" t="s">
        <v>2486</v>
      </c>
      <c r="M1140" s="21" t="s">
        <v>1188</v>
      </c>
      <c r="N1140" s="87">
        <v>33.759</v>
      </c>
      <c r="O1140" s="347">
        <v>33.759</v>
      </c>
      <c r="P1140" s="87" t="s">
        <v>2435</v>
      </c>
      <c r="R1140" s="84">
        <v>37.5</v>
      </c>
      <c r="Y1140" s="20">
        <f t="shared" si="59"/>
        <v>1</v>
      </c>
      <c r="AA1140" s="98">
        <f t="shared" si="57"/>
        <v>0.20000000000000018</v>
      </c>
      <c r="AB1140" s="350">
        <f t="shared" si="58"/>
        <v>0.69999999999999929</v>
      </c>
    </row>
    <row r="1141" spans="1:28" ht="22.15" customHeight="1" x14ac:dyDescent="0.25">
      <c r="A1141" s="21">
        <v>12</v>
      </c>
      <c r="B1141" s="276">
        <v>8699444266084</v>
      </c>
      <c r="C1141" s="81">
        <v>48</v>
      </c>
      <c r="D1141" s="23" t="s">
        <v>2487</v>
      </c>
      <c r="H1141" s="346" t="s">
        <v>1186</v>
      </c>
      <c r="I1141" s="21">
        <v>33.759</v>
      </c>
      <c r="J1141" s="23" t="s">
        <v>1013</v>
      </c>
      <c r="K1141" s="21" t="s">
        <v>2488</v>
      </c>
      <c r="L1141" s="21" t="s">
        <v>2489</v>
      </c>
      <c r="M1141" s="21" t="s">
        <v>1188</v>
      </c>
      <c r="N1141" s="87">
        <v>33.759</v>
      </c>
      <c r="O1141" s="347">
        <v>33.759</v>
      </c>
      <c r="P1141" s="87" t="s">
        <v>2435</v>
      </c>
      <c r="R1141" s="84">
        <v>37.5</v>
      </c>
      <c r="Y1141" s="20">
        <f t="shared" si="59"/>
        <v>1</v>
      </c>
      <c r="AA1141" s="98">
        <f t="shared" si="57"/>
        <v>0.23000000000000043</v>
      </c>
      <c r="AB1141" s="350">
        <f t="shared" si="58"/>
        <v>0.70000000000000018</v>
      </c>
    </row>
    <row r="1142" spans="1:28" ht="22.15" customHeight="1" x14ac:dyDescent="0.25">
      <c r="A1142" s="21">
        <v>12</v>
      </c>
      <c r="B1142" s="276">
        <v>8699444266138</v>
      </c>
      <c r="C1142" s="81">
        <v>48</v>
      </c>
      <c r="D1142" s="23" t="s">
        <v>2490</v>
      </c>
      <c r="H1142" s="346" t="s">
        <v>1186</v>
      </c>
      <c r="I1142" s="21">
        <v>33.759</v>
      </c>
      <c r="J1142" s="23" t="s">
        <v>1013</v>
      </c>
      <c r="K1142" s="21" t="s">
        <v>2491</v>
      </c>
      <c r="L1142" s="21" t="s">
        <v>2492</v>
      </c>
      <c r="M1142" s="21" t="s">
        <v>1188</v>
      </c>
      <c r="N1142" s="87">
        <v>33.759</v>
      </c>
      <c r="O1142" s="347">
        <v>33.759</v>
      </c>
      <c r="P1142" s="87" t="s">
        <v>2435</v>
      </c>
      <c r="R1142" s="84">
        <v>37.5</v>
      </c>
      <c r="Y1142" s="20">
        <f t="shared" si="59"/>
        <v>1</v>
      </c>
      <c r="AA1142" s="98">
        <f t="shared" si="57"/>
        <v>0.23000000000000043</v>
      </c>
      <c r="AB1142" s="350">
        <f t="shared" si="58"/>
        <v>0.70000000000000018</v>
      </c>
    </row>
    <row r="1143" spans="1:28" ht="22.15" customHeight="1" x14ac:dyDescent="0.25">
      <c r="A1143" s="21">
        <v>12</v>
      </c>
      <c r="B1143" s="276" t="s">
        <v>2493</v>
      </c>
      <c r="C1143" s="81">
        <v>48</v>
      </c>
      <c r="D1143" s="23" t="s">
        <v>2494</v>
      </c>
      <c r="H1143" s="346" t="s">
        <v>1186</v>
      </c>
      <c r="I1143" s="21">
        <v>33.759</v>
      </c>
      <c r="J1143" s="23" t="s">
        <v>1013</v>
      </c>
      <c r="K1143" s="21" t="s">
        <v>2495</v>
      </c>
      <c r="L1143" s="21" t="s">
        <v>2496</v>
      </c>
      <c r="M1143" s="21" t="s">
        <v>1188</v>
      </c>
      <c r="N1143" s="87">
        <v>33.759</v>
      </c>
      <c r="O1143" s="347">
        <v>33.759</v>
      </c>
      <c r="P1143" s="87" t="s">
        <v>2435</v>
      </c>
      <c r="R1143" s="84">
        <v>37.5</v>
      </c>
      <c r="Y1143" s="20">
        <f t="shared" si="59"/>
        <v>1</v>
      </c>
      <c r="AA1143" s="98">
        <f t="shared" si="57"/>
        <v>1.3299999999999983</v>
      </c>
      <c r="AB1143" s="350">
        <f t="shared" si="58"/>
        <v>2</v>
      </c>
    </row>
    <row r="1144" spans="1:28" ht="22.15" customHeight="1" x14ac:dyDescent="0.25">
      <c r="A1144" s="21">
        <v>12</v>
      </c>
      <c r="B1144" s="276">
        <v>7027301999</v>
      </c>
      <c r="C1144" s="81">
        <v>24</v>
      </c>
      <c r="D1144" s="23" t="s">
        <v>2497</v>
      </c>
      <c r="H1144" s="346" t="s">
        <v>1190</v>
      </c>
      <c r="I1144" s="21">
        <v>23.494327999999999</v>
      </c>
      <c r="J1144" s="23" t="s">
        <v>1013</v>
      </c>
      <c r="K1144" s="21" t="s">
        <v>2498</v>
      </c>
      <c r="L1144" s="21" t="s">
        <v>1013</v>
      </c>
      <c r="M1144" s="21" t="s">
        <v>1192</v>
      </c>
      <c r="N1144" s="87">
        <v>23.494327999999999</v>
      </c>
      <c r="O1144" s="347">
        <v>23.494327999999999</v>
      </c>
      <c r="P1144" s="87" t="s">
        <v>2499</v>
      </c>
      <c r="R1144" s="84">
        <v>26.5</v>
      </c>
      <c r="Y1144" s="20">
        <f t="shared" si="59"/>
        <v>1</v>
      </c>
      <c r="AA1144" s="98">
        <f t="shared" si="57"/>
        <v>1.3299999999999983</v>
      </c>
      <c r="AB1144" s="350">
        <f t="shared" si="58"/>
        <v>2</v>
      </c>
    </row>
    <row r="1145" spans="1:28" ht="22.15" customHeight="1" x14ac:dyDescent="0.25">
      <c r="A1145" s="21">
        <v>12</v>
      </c>
      <c r="B1145" s="276">
        <v>8697926008481</v>
      </c>
      <c r="C1145" s="81">
        <v>48</v>
      </c>
      <c r="D1145" s="23" t="s">
        <v>2500</v>
      </c>
      <c r="H1145" s="346" t="s">
        <v>1190</v>
      </c>
      <c r="I1145" s="21">
        <v>23.494327999999999</v>
      </c>
      <c r="J1145" s="23" t="s">
        <v>1013</v>
      </c>
      <c r="K1145" s="21" t="s">
        <v>2501</v>
      </c>
      <c r="L1145" s="21" t="s">
        <v>1013</v>
      </c>
      <c r="M1145" s="21" t="s">
        <v>2502</v>
      </c>
      <c r="N1145" s="87">
        <v>23.494327999999999</v>
      </c>
      <c r="O1145" s="347">
        <v>23.494327999999999</v>
      </c>
      <c r="P1145" s="87" t="s">
        <v>2499</v>
      </c>
      <c r="R1145" s="84">
        <v>26.5</v>
      </c>
      <c r="Y1145" s="20">
        <f t="shared" si="59"/>
        <v>1</v>
      </c>
      <c r="AA1145" s="98">
        <f t="shared" si="57"/>
        <v>1.3299999999999983</v>
      </c>
      <c r="AB1145" s="350">
        <f t="shared" si="58"/>
        <v>2</v>
      </c>
    </row>
    <row r="1146" spans="1:28" ht="22.15" customHeight="1" x14ac:dyDescent="0.25">
      <c r="A1146" s="21">
        <v>12</v>
      </c>
      <c r="B1146" s="276">
        <v>8697926008504</v>
      </c>
      <c r="C1146" s="81">
        <v>24</v>
      </c>
      <c r="D1146" s="23" t="s">
        <v>2503</v>
      </c>
      <c r="H1146" s="346" t="s">
        <v>1190</v>
      </c>
      <c r="I1146" s="21">
        <v>23.494327999999999</v>
      </c>
      <c r="J1146" s="23" t="s">
        <v>1013</v>
      </c>
      <c r="K1146" s="21" t="s">
        <v>2504</v>
      </c>
      <c r="L1146" s="21" t="s">
        <v>1013</v>
      </c>
      <c r="M1146" s="21" t="s">
        <v>1192</v>
      </c>
      <c r="N1146" s="87">
        <v>23.494327999999999</v>
      </c>
      <c r="O1146" s="347">
        <v>23.494327999999999</v>
      </c>
      <c r="P1146" s="87" t="s">
        <v>2499</v>
      </c>
      <c r="R1146" s="84">
        <v>26.5</v>
      </c>
      <c r="Y1146" s="20">
        <f t="shared" si="59"/>
        <v>1</v>
      </c>
      <c r="AA1146" s="98">
        <f t="shared" si="57"/>
        <v>1.3299999999999983</v>
      </c>
      <c r="AB1146" s="350">
        <f t="shared" si="58"/>
        <v>2</v>
      </c>
    </row>
    <row r="1147" spans="1:28" ht="22.15" customHeight="1" x14ac:dyDescent="0.25">
      <c r="A1147" s="21">
        <v>12</v>
      </c>
      <c r="B1147" s="276">
        <v>8697755699591</v>
      </c>
      <c r="C1147" s="81">
        <v>24</v>
      </c>
      <c r="D1147" s="23" t="s">
        <v>2505</v>
      </c>
      <c r="H1147" s="346" t="s">
        <v>1190</v>
      </c>
      <c r="I1147" s="21">
        <v>23.494327999999999</v>
      </c>
      <c r="J1147" s="23" t="s">
        <v>1013</v>
      </c>
      <c r="K1147" s="21" t="s">
        <v>2506</v>
      </c>
      <c r="L1147" s="21" t="s">
        <v>1013</v>
      </c>
      <c r="M1147" s="21" t="s">
        <v>1192</v>
      </c>
      <c r="N1147" s="87">
        <v>23.494327999999999</v>
      </c>
      <c r="O1147" s="347">
        <v>23.494327999999999</v>
      </c>
      <c r="P1147" s="87" t="s">
        <v>2499</v>
      </c>
      <c r="R1147" s="84">
        <v>26.5</v>
      </c>
      <c r="Y1147" s="20">
        <f t="shared" si="59"/>
        <v>1</v>
      </c>
      <c r="AA1147" s="98">
        <f t="shared" si="57"/>
        <v>1.3299999999999983</v>
      </c>
      <c r="AB1147" s="350">
        <f t="shared" si="58"/>
        <v>2</v>
      </c>
    </row>
    <row r="1148" spans="1:28" ht="22.15" customHeight="1" x14ac:dyDescent="0.25">
      <c r="A1148" s="21">
        <v>12</v>
      </c>
      <c r="B1148" s="276">
        <v>8697755693643</v>
      </c>
      <c r="C1148" s="81">
        <v>24</v>
      </c>
      <c r="D1148" s="23" t="s">
        <v>2507</v>
      </c>
      <c r="H1148" s="346" t="s">
        <v>1190</v>
      </c>
      <c r="I1148" s="21">
        <v>23.498200000000001</v>
      </c>
      <c r="J1148" s="23" t="s">
        <v>1013</v>
      </c>
      <c r="K1148" s="21" t="s">
        <v>2508</v>
      </c>
      <c r="L1148" s="21" t="s">
        <v>1013</v>
      </c>
      <c r="M1148" s="21" t="s">
        <v>1192</v>
      </c>
      <c r="N1148" s="87">
        <v>23.498200000000001</v>
      </c>
      <c r="O1148" s="347">
        <v>23.498200000000001</v>
      </c>
      <c r="P1148" s="87" t="s">
        <v>2509</v>
      </c>
      <c r="R1148" s="84">
        <v>26.5</v>
      </c>
      <c r="Y1148" s="20">
        <f t="shared" si="59"/>
        <v>1</v>
      </c>
      <c r="AA1148" s="98">
        <f t="shared" si="57"/>
        <v>1.3299999999999983</v>
      </c>
      <c r="AB1148" s="350">
        <f t="shared" si="58"/>
        <v>2</v>
      </c>
    </row>
    <row r="1149" spans="1:28" ht="22.15" customHeight="1" x14ac:dyDescent="0.25">
      <c r="A1149" s="21">
        <v>12</v>
      </c>
      <c r="B1149" s="276">
        <v>8697755693810</v>
      </c>
      <c r="C1149" s="81">
        <v>24</v>
      </c>
      <c r="D1149" s="23" t="s">
        <v>2510</v>
      </c>
      <c r="H1149" s="346" t="s">
        <v>1190</v>
      </c>
      <c r="I1149" s="21">
        <v>23.498200000000001</v>
      </c>
      <c r="J1149" s="23" t="s">
        <v>1013</v>
      </c>
      <c r="K1149" s="21" t="s">
        <v>2511</v>
      </c>
      <c r="L1149" s="21" t="s">
        <v>1013</v>
      </c>
      <c r="M1149" s="21" t="s">
        <v>1192</v>
      </c>
      <c r="N1149" s="87">
        <v>23.498200000000001</v>
      </c>
      <c r="O1149" s="347">
        <v>23.498200000000001</v>
      </c>
      <c r="P1149" s="87" t="s">
        <v>2509</v>
      </c>
      <c r="R1149" s="84">
        <v>26.5</v>
      </c>
      <c r="Y1149" s="20">
        <f t="shared" si="59"/>
        <v>1</v>
      </c>
      <c r="AA1149" s="98">
        <f t="shared" si="57"/>
        <v>1.3299999999999983</v>
      </c>
      <c r="AB1149" s="350">
        <f t="shared" si="58"/>
        <v>2</v>
      </c>
    </row>
    <row r="1150" spans="1:28" ht="22.15" customHeight="1" x14ac:dyDescent="0.25">
      <c r="A1150" s="21">
        <v>12</v>
      </c>
      <c r="B1150" s="276">
        <v>7027303999</v>
      </c>
      <c r="C1150" s="81">
        <v>24</v>
      </c>
      <c r="D1150" s="23" t="s">
        <v>2512</v>
      </c>
      <c r="H1150" s="346" t="s">
        <v>1190</v>
      </c>
      <c r="I1150" s="21">
        <v>23.494327999999999</v>
      </c>
      <c r="J1150" s="23" t="s">
        <v>1013</v>
      </c>
      <c r="K1150" s="21" t="s">
        <v>2513</v>
      </c>
      <c r="L1150" s="21" t="s">
        <v>2514</v>
      </c>
      <c r="M1150" s="21" t="s">
        <v>1192</v>
      </c>
      <c r="N1150" s="87">
        <v>23.494327999999999</v>
      </c>
      <c r="O1150" s="347">
        <v>23.494327999999999</v>
      </c>
      <c r="P1150" s="87" t="s">
        <v>2499</v>
      </c>
      <c r="R1150" s="84">
        <v>26.5</v>
      </c>
      <c r="Y1150" s="20">
        <f t="shared" si="59"/>
        <v>1</v>
      </c>
      <c r="AA1150" s="98">
        <f t="shared" si="57"/>
        <v>1.3299999999999983</v>
      </c>
      <c r="AB1150" s="350">
        <f t="shared" si="58"/>
        <v>2</v>
      </c>
    </row>
    <row r="1151" spans="1:28" ht="22.15" customHeight="1" x14ac:dyDescent="0.25">
      <c r="A1151" s="21">
        <v>12</v>
      </c>
      <c r="B1151" s="276">
        <v>8697755693797</v>
      </c>
      <c r="C1151" s="81">
        <v>24</v>
      </c>
      <c r="D1151" s="23" t="s">
        <v>2515</v>
      </c>
      <c r="H1151" s="346" t="s">
        <v>1190</v>
      </c>
      <c r="I1151" s="21">
        <v>23.498200000000001</v>
      </c>
      <c r="J1151" s="23" t="s">
        <v>1013</v>
      </c>
      <c r="K1151" s="21" t="s">
        <v>2516</v>
      </c>
      <c r="L1151" s="21" t="s">
        <v>1013</v>
      </c>
      <c r="M1151" s="21" t="s">
        <v>1192</v>
      </c>
      <c r="N1151" s="87">
        <v>23.498200000000001</v>
      </c>
      <c r="O1151" s="347">
        <v>23.498200000000001</v>
      </c>
      <c r="P1151" s="87" t="s">
        <v>2509</v>
      </c>
      <c r="R1151" s="84">
        <v>26.5</v>
      </c>
      <c r="Y1151" s="20">
        <f t="shared" si="59"/>
        <v>1</v>
      </c>
      <c r="AA1151" s="98">
        <f t="shared" si="57"/>
        <v>1.3299999999999983</v>
      </c>
      <c r="AB1151" s="350">
        <f t="shared" si="58"/>
        <v>2</v>
      </c>
    </row>
    <row r="1152" spans="1:28" ht="22.15" customHeight="1" x14ac:dyDescent="0.25">
      <c r="A1152" s="21">
        <v>12</v>
      </c>
      <c r="B1152" s="276">
        <v>8697755699386</v>
      </c>
      <c r="C1152" s="81">
        <v>24</v>
      </c>
      <c r="D1152" s="23" t="s">
        <v>2517</v>
      </c>
      <c r="H1152" s="346" t="s">
        <v>1190</v>
      </c>
      <c r="I1152" s="21">
        <v>23.494327999999999</v>
      </c>
      <c r="J1152" s="23" t="s">
        <v>1013</v>
      </c>
      <c r="K1152" s="21" t="s">
        <v>2518</v>
      </c>
      <c r="L1152" s="21" t="s">
        <v>2519</v>
      </c>
      <c r="M1152" s="21" t="s">
        <v>1192</v>
      </c>
      <c r="N1152" s="87">
        <v>23.494327999999999</v>
      </c>
      <c r="O1152" s="347">
        <v>23.494327999999999</v>
      </c>
      <c r="P1152" s="87" t="s">
        <v>2499</v>
      </c>
      <c r="R1152" s="84">
        <v>26.5</v>
      </c>
      <c r="Y1152" s="20">
        <f t="shared" si="59"/>
        <v>1</v>
      </c>
      <c r="AA1152" s="98">
        <f t="shared" si="57"/>
        <v>1.3299999999999983</v>
      </c>
      <c r="AB1152" s="350">
        <f t="shared" si="58"/>
        <v>2</v>
      </c>
    </row>
    <row r="1153" spans="1:28" ht="22.15" customHeight="1" x14ac:dyDescent="0.25">
      <c r="A1153" s="21">
        <v>12</v>
      </c>
      <c r="B1153" s="276">
        <v>8697755699409</v>
      </c>
      <c r="C1153" s="81">
        <v>24</v>
      </c>
      <c r="D1153" s="23" t="s">
        <v>2520</v>
      </c>
      <c r="H1153" s="346" t="s">
        <v>1190</v>
      </c>
      <c r="I1153" s="21">
        <v>23.494327999999999</v>
      </c>
      <c r="J1153" s="23" t="s">
        <v>1013</v>
      </c>
      <c r="K1153" s="21" t="s">
        <v>2521</v>
      </c>
      <c r="L1153" s="21" t="s">
        <v>1013</v>
      </c>
      <c r="M1153" s="21" t="s">
        <v>1192</v>
      </c>
      <c r="N1153" s="87">
        <v>23.494327999999999</v>
      </c>
      <c r="O1153" s="347">
        <v>23.494327999999999</v>
      </c>
      <c r="P1153" s="87" t="s">
        <v>2499</v>
      </c>
      <c r="R1153" s="84">
        <v>26.5</v>
      </c>
      <c r="Y1153" s="20">
        <f t="shared" si="59"/>
        <v>1</v>
      </c>
      <c r="AA1153" s="98">
        <f t="shared" si="57"/>
        <v>1.3299999999999983</v>
      </c>
      <c r="AB1153" s="350">
        <f t="shared" si="58"/>
        <v>2</v>
      </c>
    </row>
    <row r="1154" spans="1:28" ht="22.15" customHeight="1" x14ac:dyDescent="0.25">
      <c r="A1154" s="21">
        <v>12</v>
      </c>
      <c r="B1154" s="276">
        <v>8697755693568</v>
      </c>
      <c r="C1154" s="81">
        <v>24</v>
      </c>
      <c r="D1154" s="23" t="s">
        <v>2522</v>
      </c>
      <c r="H1154" s="346" t="s">
        <v>1190</v>
      </c>
      <c r="I1154" s="21">
        <v>23.498200000000001</v>
      </c>
      <c r="J1154" s="23" t="s">
        <v>1013</v>
      </c>
      <c r="K1154" s="21" t="s">
        <v>2523</v>
      </c>
      <c r="L1154" s="21" t="s">
        <v>1013</v>
      </c>
      <c r="M1154" s="21" t="s">
        <v>1192</v>
      </c>
      <c r="N1154" s="87">
        <v>23.498200000000001</v>
      </c>
      <c r="O1154" s="347">
        <v>23.498200000000001</v>
      </c>
      <c r="P1154" s="87" t="s">
        <v>2509</v>
      </c>
      <c r="R1154" s="84">
        <v>26.5</v>
      </c>
      <c r="Y1154" s="20">
        <f t="shared" si="59"/>
        <v>1</v>
      </c>
      <c r="AA1154" s="98">
        <f t="shared" si="57"/>
        <v>1.3299999999999983</v>
      </c>
      <c r="AB1154" s="350">
        <f t="shared" si="58"/>
        <v>2</v>
      </c>
    </row>
    <row r="1155" spans="1:28" ht="22.15" customHeight="1" x14ac:dyDescent="0.25">
      <c r="A1155" s="21">
        <v>12</v>
      </c>
      <c r="B1155" s="276">
        <v>8697926008559</v>
      </c>
      <c r="C1155" s="81">
        <v>48</v>
      </c>
      <c r="D1155" s="23" t="s">
        <v>2524</v>
      </c>
      <c r="H1155" s="346" t="s">
        <v>1190</v>
      </c>
      <c r="I1155" s="21">
        <v>23.494327999999999</v>
      </c>
      <c r="J1155" s="23" t="s">
        <v>1013</v>
      </c>
      <c r="K1155" s="21" t="s">
        <v>2525</v>
      </c>
      <c r="L1155" s="21" t="s">
        <v>1013</v>
      </c>
      <c r="M1155" s="21" t="s">
        <v>2502</v>
      </c>
      <c r="N1155" s="87">
        <v>23.494327999999999</v>
      </c>
      <c r="O1155" s="347">
        <v>23.494327999999999</v>
      </c>
      <c r="P1155" s="87" t="s">
        <v>2499</v>
      </c>
      <c r="R1155" s="84">
        <v>26.5</v>
      </c>
      <c r="Y1155" s="20">
        <f t="shared" si="59"/>
        <v>1</v>
      </c>
      <c r="AA1155" s="98">
        <f t="shared" si="57"/>
        <v>1.3299999999999983</v>
      </c>
      <c r="AB1155" s="350">
        <f t="shared" si="58"/>
        <v>2</v>
      </c>
    </row>
    <row r="1156" spans="1:28" ht="22.15" customHeight="1" x14ac:dyDescent="0.25">
      <c r="A1156" s="21">
        <v>12</v>
      </c>
      <c r="B1156" s="276">
        <v>8697926003042</v>
      </c>
      <c r="C1156" s="81">
        <v>48</v>
      </c>
      <c r="D1156" s="23" t="s">
        <v>2526</v>
      </c>
      <c r="H1156" s="346" t="s">
        <v>1190</v>
      </c>
      <c r="I1156" s="21">
        <v>23.494327999999999</v>
      </c>
      <c r="J1156" s="23" t="s">
        <v>1013</v>
      </c>
      <c r="K1156" s="21" t="s">
        <v>2527</v>
      </c>
      <c r="L1156" s="21" t="s">
        <v>2528</v>
      </c>
      <c r="M1156" s="21" t="s">
        <v>2502</v>
      </c>
      <c r="N1156" s="87">
        <v>23.494327999999999</v>
      </c>
      <c r="O1156" s="347">
        <v>23.494327999999999</v>
      </c>
      <c r="P1156" s="87" t="s">
        <v>2499</v>
      </c>
      <c r="R1156" s="84">
        <v>26.5</v>
      </c>
      <c r="Y1156" s="20">
        <f t="shared" si="59"/>
        <v>1</v>
      </c>
      <c r="AA1156" s="98">
        <f t="shared" si="57"/>
        <v>1.3299999999999983</v>
      </c>
      <c r="AB1156" s="350">
        <f t="shared" si="58"/>
        <v>2</v>
      </c>
    </row>
    <row r="1157" spans="1:28" ht="22.15" customHeight="1" x14ac:dyDescent="0.25">
      <c r="A1157" s="21">
        <v>12</v>
      </c>
      <c r="B1157" s="276">
        <v>7027305999</v>
      </c>
      <c r="C1157" s="81">
        <v>24</v>
      </c>
      <c r="D1157" s="23" t="s">
        <v>2529</v>
      </c>
      <c r="H1157" s="346" t="s">
        <v>1190</v>
      </c>
      <c r="I1157" s="21">
        <v>23.494327999999999</v>
      </c>
      <c r="J1157" s="23" t="s">
        <v>1013</v>
      </c>
      <c r="K1157" s="21" t="s">
        <v>2530</v>
      </c>
      <c r="L1157" s="21" t="s">
        <v>2531</v>
      </c>
      <c r="M1157" s="21" t="s">
        <v>1192</v>
      </c>
      <c r="N1157" s="87">
        <v>23.494327999999999</v>
      </c>
      <c r="O1157" s="347">
        <v>23.494327999999999</v>
      </c>
      <c r="P1157" s="87" t="s">
        <v>2499</v>
      </c>
      <c r="R1157" s="84">
        <v>26.5</v>
      </c>
      <c r="Y1157" s="20">
        <f t="shared" si="59"/>
        <v>1</v>
      </c>
      <c r="AA1157" s="98">
        <f t="shared" si="57"/>
        <v>1.3299999999999983</v>
      </c>
      <c r="AB1157" s="350">
        <f t="shared" si="58"/>
        <v>2</v>
      </c>
    </row>
    <row r="1158" spans="1:28" ht="22.15" customHeight="1" x14ac:dyDescent="0.25">
      <c r="A1158" s="21">
        <v>12</v>
      </c>
      <c r="B1158" s="276">
        <v>7027306999</v>
      </c>
      <c r="C1158" s="81">
        <v>24</v>
      </c>
      <c r="D1158" s="23" t="s">
        <v>2532</v>
      </c>
      <c r="H1158" s="346" t="s">
        <v>1190</v>
      </c>
      <c r="I1158" s="21">
        <v>23.494327999999999</v>
      </c>
      <c r="J1158" s="23" t="s">
        <v>1013</v>
      </c>
      <c r="K1158" s="21" t="s">
        <v>2533</v>
      </c>
      <c r="L1158" s="21" t="s">
        <v>1013</v>
      </c>
      <c r="M1158" s="21" t="s">
        <v>1192</v>
      </c>
      <c r="N1158" s="87">
        <v>23.494327999999999</v>
      </c>
      <c r="O1158" s="347">
        <v>23.494327999999999</v>
      </c>
      <c r="P1158" s="87" t="s">
        <v>2499</v>
      </c>
      <c r="R1158" s="84">
        <v>26.5</v>
      </c>
      <c r="Y1158" s="20">
        <f t="shared" si="59"/>
        <v>1</v>
      </c>
      <c r="AA1158" s="98">
        <f t="shared" si="57"/>
        <v>1.6500000000000004</v>
      </c>
      <c r="AB1158" s="350">
        <f t="shared" si="58"/>
        <v>1</v>
      </c>
    </row>
    <row r="1159" spans="1:28" ht="22.15" customHeight="1" x14ac:dyDescent="0.25">
      <c r="A1159" s="21">
        <v>12</v>
      </c>
      <c r="B1159" s="276">
        <v>8697926008511</v>
      </c>
      <c r="C1159" s="81">
        <v>24</v>
      </c>
      <c r="D1159" s="23" t="s">
        <v>2534</v>
      </c>
      <c r="H1159" s="346" t="s">
        <v>1190</v>
      </c>
      <c r="I1159" s="21">
        <v>23.494327999999999</v>
      </c>
      <c r="J1159" s="23" t="s">
        <v>1013</v>
      </c>
      <c r="K1159" s="21" t="s">
        <v>2535</v>
      </c>
      <c r="L1159" s="21" t="s">
        <v>1013</v>
      </c>
      <c r="M1159" s="21" t="s">
        <v>1192</v>
      </c>
      <c r="N1159" s="87">
        <v>23.494327999999999</v>
      </c>
      <c r="O1159" s="347">
        <v>23.494327999999999</v>
      </c>
      <c r="P1159" s="87" t="s">
        <v>2499</v>
      </c>
      <c r="R1159" s="84">
        <v>26.5</v>
      </c>
      <c r="Y1159" s="20">
        <f t="shared" si="59"/>
        <v>1</v>
      </c>
      <c r="AA1159" s="98">
        <f t="shared" si="57"/>
        <v>1.6500000000000004</v>
      </c>
      <c r="AB1159" s="350">
        <f t="shared" si="58"/>
        <v>1</v>
      </c>
    </row>
    <row r="1160" spans="1:28" ht="22.15" customHeight="1" x14ac:dyDescent="0.25">
      <c r="A1160" s="21">
        <v>12</v>
      </c>
      <c r="B1160" s="276">
        <v>8697755695753</v>
      </c>
      <c r="C1160" s="81">
        <v>48</v>
      </c>
      <c r="D1160" s="23" t="s">
        <v>2536</v>
      </c>
      <c r="H1160" s="346" t="s">
        <v>1190</v>
      </c>
      <c r="I1160" s="21">
        <v>23.494327999999999</v>
      </c>
      <c r="J1160" s="23" t="s">
        <v>1013</v>
      </c>
      <c r="K1160" s="21" t="s">
        <v>2537</v>
      </c>
      <c r="L1160" s="21" t="s">
        <v>1013</v>
      </c>
      <c r="M1160" s="21" t="s">
        <v>2502</v>
      </c>
      <c r="N1160" s="87">
        <v>23.494327999999999</v>
      </c>
      <c r="O1160" s="347">
        <v>23.494327999999999</v>
      </c>
      <c r="P1160" s="87" t="s">
        <v>2499</v>
      </c>
      <c r="R1160" s="84">
        <v>26.5</v>
      </c>
      <c r="Y1160" s="20">
        <f t="shared" si="59"/>
        <v>1</v>
      </c>
      <c r="AA1160" s="98">
        <f t="shared" si="57"/>
        <v>3.370000000000001</v>
      </c>
      <c r="AB1160" s="350">
        <f t="shared" si="58"/>
        <v>4.3999999999999986</v>
      </c>
    </row>
    <row r="1161" spans="1:28" ht="22.15" customHeight="1" x14ac:dyDescent="0.25">
      <c r="A1161" s="21">
        <v>12</v>
      </c>
      <c r="B1161" s="276">
        <v>8697755699584</v>
      </c>
      <c r="C1161" s="81">
        <v>24</v>
      </c>
      <c r="D1161" s="23" t="s">
        <v>2538</v>
      </c>
      <c r="H1161" s="346" t="s">
        <v>1190</v>
      </c>
      <c r="I1161" s="21">
        <v>23.494327999999999</v>
      </c>
      <c r="J1161" s="23" t="s">
        <v>1013</v>
      </c>
      <c r="K1161" s="21" t="s">
        <v>2539</v>
      </c>
      <c r="L1161" s="21" t="s">
        <v>1013</v>
      </c>
      <c r="M1161" s="21" t="s">
        <v>1192</v>
      </c>
      <c r="N1161" s="87">
        <v>23.494327999999999</v>
      </c>
      <c r="O1161" s="347">
        <v>23.494327999999999</v>
      </c>
      <c r="P1161" s="87" t="s">
        <v>2499</v>
      </c>
      <c r="R1161" s="84">
        <v>26.5</v>
      </c>
      <c r="Y1161" s="20">
        <f t="shared" si="59"/>
        <v>1</v>
      </c>
      <c r="AA1161" s="98">
        <f t="shared" si="57"/>
        <v>3.370000000000001</v>
      </c>
      <c r="AB1161" s="350">
        <f t="shared" si="58"/>
        <v>4.3999999999999986</v>
      </c>
    </row>
    <row r="1162" spans="1:28" ht="22.15" customHeight="1" x14ac:dyDescent="0.25">
      <c r="A1162" s="21">
        <v>12</v>
      </c>
      <c r="B1162" s="276">
        <v>8697755693803</v>
      </c>
      <c r="C1162" s="81">
        <v>24</v>
      </c>
      <c r="D1162" s="23" t="s">
        <v>2540</v>
      </c>
      <c r="H1162" s="346" t="s">
        <v>1190</v>
      </c>
      <c r="I1162" s="21">
        <v>23.498200000000001</v>
      </c>
      <c r="J1162" s="23" t="s">
        <v>1013</v>
      </c>
      <c r="K1162" s="21" t="s">
        <v>2541</v>
      </c>
      <c r="L1162" s="21" t="s">
        <v>1013</v>
      </c>
      <c r="M1162" s="21" t="s">
        <v>1192</v>
      </c>
      <c r="N1162" s="87">
        <v>23.498200000000001</v>
      </c>
      <c r="O1162" s="347">
        <v>23.498200000000001</v>
      </c>
      <c r="P1162" s="87" t="s">
        <v>2509</v>
      </c>
      <c r="R1162" s="84">
        <v>26.5</v>
      </c>
      <c r="Y1162" s="20">
        <f t="shared" si="59"/>
        <v>1</v>
      </c>
      <c r="AA1162" s="98">
        <f t="shared" si="57"/>
        <v>3.370000000000001</v>
      </c>
      <c r="AB1162" s="350">
        <f t="shared" si="58"/>
        <v>4.3999999999999986</v>
      </c>
    </row>
    <row r="1163" spans="1:28" ht="22.15" customHeight="1" x14ac:dyDescent="0.25">
      <c r="A1163" s="21">
        <v>12</v>
      </c>
      <c r="B1163" s="276">
        <v>8697755699393</v>
      </c>
      <c r="C1163" s="81">
        <v>24</v>
      </c>
      <c r="D1163" s="23" t="s">
        <v>2542</v>
      </c>
      <c r="H1163" s="346" t="s">
        <v>1190</v>
      </c>
      <c r="I1163" s="21">
        <v>23.498200000000001</v>
      </c>
      <c r="J1163" s="23" t="s">
        <v>1013</v>
      </c>
      <c r="K1163" s="21" t="s">
        <v>2543</v>
      </c>
      <c r="L1163" s="21" t="s">
        <v>1013</v>
      </c>
      <c r="M1163" s="21" t="s">
        <v>1192</v>
      </c>
      <c r="N1163" s="87">
        <v>23.498200000000001</v>
      </c>
      <c r="O1163" s="347">
        <v>23.498200000000001</v>
      </c>
      <c r="P1163" s="87" t="s">
        <v>2509</v>
      </c>
      <c r="R1163" s="84">
        <v>26.5</v>
      </c>
      <c r="Y1163" s="20">
        <f t="shared" si="59"/>
        <v>1</v>
      </c>
      <c r="AA1163" s="98">
        <f t="shared" si="57"/>
        <v>0.91000000000000014</v>
      </c>
      <c r="AB1163" s="350">
        <f t="shared" si="58"/>
        <v>4</v>
      </c>
    </row>
    <row r="1164" spans="1:28" ht="22.15" customHeight="1" x14ac:dyDescent="0.25">
      <c r="A1164" s="21">
        <v>12</v>
      </c>
      <c r="B1164" s="276">
        <v>7027309999</v>
      </c>
      <c r="C1164" s="81">
        <v>24</v>
      </c>
      <c r="D1164" s="23" t="s">
        <v>2544</v>
      </c>
      <c r="H1164" s="346" t="s">
        <v>1190</v>
      </c>
      <c r="I1164" s="21">
        <v>23.494327999999999</v>
      </c>
      <c r="J1164" s="23" t="s">
        <v>1013</v>
      </c>
      <c r="K1164" s="21" t="s">
        <v>2545</v>
      </c>
      <c r="L1164" s="21" t="s">
        <v>1013</v>
      </c>
      <c r="M1164" s="21" t="s">
        <v>1192</v>
      </c>
      <c r="N1164" s="87">
        <v>23.494327999999999</v>
      </c>
      <c r="O1164" s="347">
        <v>23.494327999999999</v>
      </c>
      <c r="P1164" s="87" t="s">
        <v>2499</v>
      </c>
      <c r="R1164" s="84">
        <v>26.5</v>
      </c>
      <c r="Y1164" s="20">
        <f t="shared" si="59"/>
        <v>1</v>
      </c>
      <c r="AA1164" s="98">
        <f t="shared" si="57"/>
        <v>0.91000000000000014</v>
      </c>
      <c r="AB1164" s="350">
        <f t="shared" si="58"/>
        <v>4</v>
      </c>
    </row>
    <row r="1165" spans="1:28" ht="22.15" customHeight="1" x14ac:dyDescent="0.25">
      <c r="A1165" s="21">
        <v>12</v>
      </c>
      <c r="B1165" s="276">
        <v>7027310999</v>
      </c>
      <c r="C1165" s="81">
        <v>24</v>
      </c>
      <c r="D1165" s="23" t="s">
        <v>2546</v>
      </c>
      <c r="H1165" s="346" t="s">
        <v>1190</v>
      </c>
      <c r="I1165" s="21">
        <v>23.494327999999999</v>
      </c>
      <c r="J1165" s="23" t="s">
        <v>1013</v>
      </c>
      <c r="K1165" s="21" t="s">
        <v>2547</v>
      </c>
      <c r="L1165" s="21" t="s">
        <v>1013</v>
      </c>
      <c r="M1165" s="21" t="s">
        <v>1192</v>
      </c>
      <c r="N1165" s="87">
        <v>23.494327999999999</v>
      </c>
      <c r="O1165" s="347">
        <v>23.494327999999999</v>
      </c>
      <c r="P1165" s="87" t="s">
        <v>2499</v>
      </c>
      <c r="R1165" s="84">
        <v>26.5</v>
      </c>
      <c r="Y1165" s="20">
        <f t="shared" si="59"/>
        <v>1</v>
      </c>
      <c r="AA1165" s="98">
        <f t="shared" si="57"/>
        <v>2.8700000000000045</v>
      </c>
      <c r="AB1165" s="350">
        <f t="shared" si="58"/>
        <v>12</v>
      </c>
    </row>
    <row r="1166" spans="1:28" ht="22.15" customHeight="1" x14ac:dyDescent="0.25">
      <c r="A1166" s="21">
        <v>12</v>
      </c>
      <c r="B1166" s="276">
        <v>8697755699577</v>
      </c>
      <c r="C1166" s="81">
        <v>24</v>
      </c>
      <c r="D1166" s="23" t="s">
        <v>2548</v>
      </c>
      <c r="H1166" s="346" t="s">
        <v>1190</v>
      </c>
      <c r="I1166" s="21">
        <v>23.494327999999999</v>
      </c>
      <c r="J1166" s="23" t="s">
        <v>1013</v>
      </c>
      <c r="K1166" s="21" t="s">
        <v>2549</v>
      </c>
      <c r="L1166" s="21" t="s">
        <v>1013</v>
      </c>
      <c r="M1166" s="21" t="s">
        <v>1192</v>
      </c>
      <c r="N1166" s="87">
        <v>23.494327999999999</v>
      </c>
      <c r="O1166" s="347">
        <v>23.494327999999999</v>
      </c>
      <c r="P1166" s="87" t="s">
        <v>2499</v>
      </c>
      <c r="R1166" s="84">
        <v>26.5</v>
      </c>
      <c r="Y1166" s="20">
        <f t="shared" si="59"/>
        <v>1</v>
      </c>
      <c r="AA1166" s="98">
        <f t="shared" si="57"/>
        <v>2.8700000000000045</v>
      </c>
      <c r="AB1166" s="350">
        <f t="shared" si="58"/>
        <v>12</v>
      </c>
    </row>
    <row r="1167" spans="1:28" ht="22.15" customHeight="1" x14ac:dyDescent="0.25">
      <c r="A1167" s="21">
        <v>12</v>
      </c>
      <c r="B1167" s="276">
        <v>8697755699416</v>
      </c>
      <c r="C1167" s="81">
        <v>24</v>
      </c>
      <c r="D1167" s="23" t="s">
        <v>2550</v>
      </c>
      <c r="H1167" s="346" t="s">
        <v>1190</v>
      </c>
      <c r="I1167" s="21">
        <v>23.494327999999999</v>
      </c>
      <c r="J1167" s="23" t="s">
        <v>1013</v>
      </c>
      <c r="K1167" s="21" t="s">
        <v>2551</v>
      </c>
      <c r="L1167" s="21" t="s">
        <v>1013</v>
      </c>
      <c r="M1167" s="21" t="s">
        <v>1192</v>
      </c>
      <c r="N1167" s="87">
        <v>23.494327999999999</v>
      </c>
      <c r="O1167" s="347">
        <v>23.494327999999999</v>
      </c>
      <c r="P1167" s="87" t="s">
        <v>2499</v>
      </c>
      <c r="R1167" s="84">
        <v>26.5</v>
      </c>
      <c r="Y1167" s="20">
        <f t="shared" ref="Y1167:Y1198" si="60">COUNTIF(K:K,K1067)</f>
        <v>1</v>
      </c>
      <c r="AA1167" s="98">
        <f t="shared" ref="AA1167:AA1198" si="61">H1067-I1067</f>
        <v>2.8700000000000045</v>
      </c>
      <c r="AB1167" s="350">
        <f t="shared" ref="AB1167:AB1198" si="62">R1067-H1067</f>
        <v>12</v>
      </c>
    </row>
    <row r="1168" spans="1:28" ht="22.15" customHeight="1" x14ac:dyDescent="0.25">
      <c r="A1168" s="21">
        <v>12</v>
      </c>
      <c r="B1168" s="276">
        <v>8697755698730</v>
      </c>
      <c r="C1168" s="81">
        <v>24</v>
      </c>
      <c r="D1168" s="23" t="s">
        <v>2552</v>
      </c>
      <c r="H1168" s="346" t="s">
        <v>1190</v>
      </c>
      <c r="I1168" s="21">
        <v>23.498200000000001</v>
      </c>
      <c r="J1168" s="23" t="s">
        <v>1013</v>
      </c>
      <c r="K1168" s="21" t="s">
        <v>2553</v>
      </c>
      <c r="L1168" s="21" t="s">
        <v>1013</v>
      </c>
      <c r="M1168" s="21" t="s">
        <v>1192</v>
      </c>
      <c r="N1168" s="87">
        <v>23.498200000000001</v>
      </c>
      <c r="O1168" s="347">
        <v>23.498200000000001</v>
      </c>
      <c r="P1168" s="87" t="s">
        <v>2509</v>
      </c>
      <c r="R1168" s="84">
        <v>26.5</v>
      </c>
      <c r="Y1168" s="20">
        <f t="shared" si="60"/>
        <v>1</v>
      </c>
      <c r="AA1168" s="98">
        <f t="shared" si="61"/>
        <v>2.8700000000000045</v>
      </c>
      <c r="AB1168" s="350">
        <f t="shared" si="62"/>
        <v>12</v>
      </c>
    </row>
    <row r="1169" spans="1:28" ht="22.15" customHeight="1" x14ac:dyDescent="0.25">
      <c r="A1169" s="21">
        <v>12</v>
      </c>
      <c r="B1169" s="276">
        <v>8697755699614</v>
      </c>
      <c r="C1169" s="81">
        <v>24</v>
      </c>
      <c r="D1169" s="23" t="s">
        <v>2554</v>
      </c>
      <c r="H1169" s="346" t="s">
        <v>1190</v>
      </c>
      <c r="I1169" s="21">
        <v>23.498200000000001</v>
      </c>
      <c r="J1169" s="23" t="s">
        <v>1013</v>
      </c>
      <c r="K1169" s="21" t="s">
        <v>2555</v>
      </c>
      <c r="L1169" s="21" t="s">
        <v>1013</v>
      </c>
      <c r="M1169" s="21" t="s">
        <v>1192</v>
      </c>
      <c r="N1169" s="87">
        <v>23.498200000000001</v>
      </c>
      <c r="O1169" s="347">
        <v>23.498200000000001</v>
      </c>
      <c r="P1169" s="87" t="s">
        <v>2509</v>
      </c>
      <c r="R1169" s="84">
        <v>26.5</v>
      </c>
      <c r="Y1169" s="20">
        <f t="shared" si="60"/>
        <v>1</v>
      </c>
      <c r="AA1169" s="98">
        <f t="shared" si="61"/>
        <v>1.6099999999999994</v>
      </c>
      <c r="AB1169" s="350">
        <f t="shared" si="62"/>
        <v>10</v>
      </c>
    </row>
    <row r="1170" spans="1:28" ht="22.15" customHeight="1" x14ac:dyDescent="0.25">
      <c r="A1170" s="21">
        <v>12</v>
      </c>
      <c r="B1170" s="276">
        <v>8697755698006</v>
      </c>
      <c r="C1170" s="81">
        <v>24</v>
      </c>
      <c r="D1170" s="23" t="s">
        <v>2556</v>
      </c>
      <c r="H1170" s="346" t="s">
        <v>1190</v>
      </c>
      <c r="I1170" s="21">
        <v>23.494327999999999</v>
      </c>
      <c r="J1170" s="23" t="s">
        <v>1013</v>
      </c>
      <c r="K1170" s="21" t="s">
        <v>2557</v>
      </c>
      <c r="L1170" s="21" t="s">
        <v>1013</v>
      </c>
      <c r="M1170" s="21" t="s">
        <v>1192</v>
      </c>
      <c r="N1170" s="87">
        <v>23.494327999999999</v>
      </c>
      <c r="O1170" s="347">
        <v>23.494327999999999</v>
      </c>
      <c r="P1170" s="87" t="s">
        <v>2499</v>
      </c>
      <c r="R1170" s="84">
        <v>26.5</v>
      </c>
      <c r="Y1170" s="20">
        <f t="shared" si="60"/>
        <v>1</v>
      </c>
      <c r="AA1170" s="98">
        <f t="shared" si="61"/>
        <v>0.85999999999999943</v>
      </c>
      <c r="AB1170" s="350">
        <f t="shared" si="62"/>
        <v>1.4000000000000004</v>
      </c>
    </row>
    <row r="1171" spans="1:28" ht="22.15" customHeight="1" x14ac:dyDescent="0.25">
      <c r="A1171" s="21">
        <v>12</v>
      </c>
      <c r="B1171" s="276">
        <v>8697755691069</v>
      </c>
      <c r="C1171" s="81">
        <v>24</v>
      </c>
      <c r="D1171" s="23" t="s">
        <v>2558</v>
      </c>
      <c r="H1171" s="346" t="s">
        <v>1190</v>
      </c>
      <c r="I1171" s="21">
        <v>23.494327999999999</v>
      </c>
      <c r="J1171" s="23" t="s">
        <v>1013</v>
      </c>
      <c r="K1171" s="21" t="s">
        <v>2559</v>
      </c>
      <c r="L1171" s="21" t="s">
        <v>1013</v>
      </c>
      <c r="M1171" s="21" t="s">
        <v>1192</v>
      </c>
      <c r="N1171" s="87">
        <v>23.494327999999999</v>
      </c>
      <c r="O1171" s="347">
        <v>23.494327999999999</v>
      </c>
      <c r="P1171" s="87" t="s">
        <v>2499</v>
      </c>
      <c r="R1171" s="84">
        <v>26.5</v>
      </c>
      <c r="Y1171" s="20">
        <f t="shared" si="60"/>
        <v>1</v>
      </c>
      <c r="AA1171" s="98">
        <f t="shared" si="61"/>
        <v>0.90000000000000036</v>
      </c>
      <c r="AB1171" s="350">
        <f t="shared" si="62"/>
        <v>1.4000000000000004</v>
      </c>
    </row>
    <row r="1172" spans="1:28" ht="22.15" customHeight="1" x14ac:dyDescent="0.25">
      <c r="A1172" s="21">
        <v>12</v>
      </c>
      <c r="B1172" s="276">
        <v>8697926008429</v>
      </c>
      <c r="C1172" s="81">
        <v>24</v>
      </c>
      <c r="D1172" s="23" t="s">
        <v>2560</v>
      </c>
      <c r="H1172" s="346" t="s">
        <v>1190</v>
      </c>
      <c r="I1172" s="21">
        <v>23.494327999999999</v>
      </c>
      <c r="J1172" s="23" t="s">
        <v>1013</v>
      </c>
      <c r="K1172" s="21" t="s">
        <v>2561</v>
      </c>
      <c r="L1172" s="21" t="s">
        <v>2562</v>
      </c>
      <c r="M1172" s="21" t="s">
        <v>1192</v>
      </c>
      <c r="N1172" s="87">
        <v>23.494327999999999</v>
      </c>
      <c r="O1172" s="347">
        <v>23.494327999999999</v>
      </c>
      <c r="P1172" s="87" t="s">
        <v>2499</v>
      </c>
      <c r="R1172" s="84">
        <v>26.5</v>
      </c>
      <c r="Y1172" s="20">
        <f t="shared" si="60"/>
        <v>1</v>
      </c>
      <c r="AA1172" s="98">
        <f t="shared" si="61"/>
        <v>0.91000000000000014</v>
      </c>
      <c r="AB1172" s="350">
        <f t="shared" si="62"/>
        <v>1.4000000000000004</v>
      </c>
    </row>
    <row r="1173" spans="1:28" ht="22.15" customHeight="1" x14ac:dyDescent="0.25">
      <c r="A1173" s="21">
        <v>12</v>
      </c>
      <c r="B1173" s="276">
        <v>8697755697993</v>
      </c>
      <c r="C1173" s="81">
        <v>24</v>
      </c>
      <c r="D1173" s="23" t="s">
        <v>2563</v>
      </c>
      <c r="H1173" s="346" t="s">
        <v>1190</v>
      </c>
      <c r="I1173" s="21">
        <v>23.494327999999999</v>
      </c>
      <c r="J1173" s="23" t="s">
        <v>1013</v>
      </c>
      <c r="K1173" s="21" t="s">
        <v>2564</v>
      </c>
      <c r="L1173" s="21" t="s">
        <v>1013</v>
      </c>
      <c r="M1173" s="21" t="s">
        <v>1192</v>
      </c>
      <c r="N1173" s="87">
        <v>23.494327999999999</v>
      </c>
      <c r="O1173" s="347">
        <v>23.494327999999999</v>
      </c>
      <c r="P1173" s="87" t="s">
        <v>2499</v>
      </c>
      <c r="R1173" s="84">
        <v>26.5</v>
      </c>
      <c r="Y1173" s="20">
        <f t="shared" si="60"/>
        <v>1</v>
      </c>
      <c r="AA1173" s="98">
        <f t="shared" si="61"/>
        <v>0.92999999999999972</v>
      </c>
      <c r="AB1173" s="350">
        <f t="shared" si="62"/>
        <v>3</v>
      </c>
    </row>
    <row r="1174" spans="1:28" ht="22.15" customHeight="1" x14ac:dyDescent="0.25">
      <c r="A1174" s="21">
        <v>12</v>
      </c>
      <c r="B1174" s="276">
        <v>8697926008474</v>
      </c>
      <c r="C1174" s="81">
        <v>24</v>
      </c>
      <c r="D1174" s="23" t="s">
        <v>2565</v>
      </c>
      <c r="H1174" s="346" t="s">
        <v>1190</v>
      </c>
      <c r="I1174" s="21">
        <v>23.494327999999999</v>
      </c>
      <c r="J1174" s="23" t="s">
        <v>1013</v>
      </c>
      <c r="K1174" s="21" t="s">
        <v>2566</v>
      </c>
      <c r="L1174" s="21" t="s">
        <v>1013</v>
      </c>
      <c r="M1174" s="21" t="s">
        <v>1192</v>
      </c>
      <c r="N1174" s="87">
        <v>23.494327999999999</v>
      </c>
      <c r="O1174" s="347">
        <v>23.494327999999999</v>
      </c>
      <c r="P1174" s="87" t="s">
        <v>2499</v>
      </c>
      <c r="R1174" s="84">
        <v>26.5</v>
      </c>
      <c r="Y1174" s="20">
        <f t="shared" si="60"/>
        <v>1</v>
      </c>
      <c r="AA1174" s="98">
        <f t="shared" si="61"/>
        <v>0.92999999999999972</v>
      </c>
      <c r="AB1174" s="350">
        <f t="shared" si="62"/>
        <v>3</v>
      </c>
    </row>
    <row r="1175" spans="1:28" ht="22.15" customHeight="1" x14ac:dyDescent="0.25">
      <c r="A1175" s="21">
        <v>12</v>
      </c>
      <c r="B1175" s="276">
        <v>8697926008498</v>
      </c>
      <c r="C1175" s="81">
        <v>24</v>
      </c>
      <c r="D1175" s="23" t="s">
        <v>2567</v>
      </c>
      <c r="H1175" s="346" t="s">
        <v>1190</v>
      </c>
      <c r="I1175" s="21">
        <v>23.494327999999999</v>
      </c>
      <c r="J1175" s="23" t="s">
        <v>1013</v>
      </c>
      <c r="K1175" s="21" t="s">
        <v>2568</v>
      </c>
      <c r="L1175" s="21" t="s">
        <v>1013</v>
      </c>
      <c r="M1175" s="21" t="s">
        <v>1192</v>
      </c>
      <c r="N1175" s="87">
        <v>23.494327999999999</v>
      </c>
      <c r="O1175" s="347">
        <v>23.494327999999999</v>
      </c>
      <c r="P1175" s="87" t="s">
        <v>2499</v>
      </c>
      <c r="R1175" s="84">
        <v>26.5</v>
      </c>
      <c r="Y1175" s="20">
        <f t="shared" si="60"/>
        <v>1</v>
      </c>
      <c r="AA1175" s="98">
        <f t="shared" si="61"/>
        <v>1.2299999999999969</v>
      </c>
      <c r="AB1175" s="350">
        <f t="shared" si="62"/>
        <v>5</v>
      </c>
    </row>
    <row r="1176" spans="1:28" ht="22.15" customHeight="1" x14ac:dyDescent="0.25">
      <c r="A1176" s="21">
        <v>12</v>
      </c>
      <c r="B1176" s="276">
        <v>8696630138347</v>
      </c>
      <c r="C1176" s="81">
        <v>24</v>
      </c>
      <c r="D1176" s="23" t="s">
        <v>2569</v>
      </c>
      <c r="H1176" s="346" t="s">
        <v>826</v>
      </c>
      <c r="I1176" s="21">
        <v>16.774471999999999</v>
      </c>
      <c r="J1176" s="23" t="s">
        <v>1013</v>
      </c>
      <c r="K1176" s="21" t="s">
        <v>2570</v>
      </c>
      <c r="L1176" s="21" t="s">
        <v>1013</v>
      </c>
      <c r="M1176" s="21" t="s">
        <v>1195</v>
      </c>
      <c r="N1176" s="87">
        <v>16.774471999999999</v>
      </c>
      <c r="O1176" s="347">
        <v>16.774471999999999</v>
      </c>
      <c r="P1176" s="87" t="s">
        <v>2499</v>
      </c>
      <c r="R1176" s="84">
        <v>18.899999999999999</v>
      </c>
      <c r="Y1176" s="20">
        <f t="shared" si="60"/>
        <v>1</v>
      </c>
      <c r="AA1176" s="98">
        <f t="shared" si="61"/>
        <v>2.25</v>
      </c>
      <c r="AB1176" s="350">
        <f t="shared" si="62"/>
        <v>7</v>
      </c>
    </row>
    <row r="1177" spans="1:28" ht="22.15" customHeight="1" x14ac:dyDescent="0.25">
      <c r="A1177" s="21">
        <v>12</v>
      </c>
      <c r="B1177" s="276">
        <v>8699444263342</v>
      </c>
      <c r="C1177" s="81">
        <v>24</v>
      </c>
      <c r="D1177" s="23" t="s">
        <v>2571</v>
      </c>
      <c r="H1177" s="346" t="s">
        <v>826</v>
      </c>
      <c r="I1177" s="21">
        <v>16.774471999999999</v>
      </c>
      <c r="J1177" s="23" t="s">
        <v>1013</v>
      </c>
      <c r="K1177" s="21" t="s">
        <v>2572</v>
      </c>
      <c r="L1177" s="21" t="s">
        <v>1013</v>
      </c>
      <c r="M1177" s="21" t="s">
        <v>1195</v>
      </c>
      <c r="N1177" s="87">
        <v>16.774471999999999</v>
      </c>
      <c r="O1177" s="347">
        <v>16.774471999999999</v>
      </c>
      <c r="P1177" s="87" t="s">
        <v>2499</v>
      </c>
      <c r="R1177" s="84">
        <v>18.899999999999999</v>
      </c>
      <c r="Y1177" s="20">
        <f t="shared" si="60"/>
        <v>1</v>
      </c>
      <c r="AA1177" s="98">
        <f t="shared" si="61"/>
        <v>1.8099999999999952</v>
      </c>
      <c r="AB1177" s="350">
        <f t="shared" si="62"/>
        <v>7</v>
      </c>
    </row>
    <row r="1178" spans="1:28" ht="22.15" customHeight="1" x14ac:dyDescent="0.25">
      <c r="A1178" s="21">
        <v>12</v>
      </c>
      <c r="B1178" s="276">
        <v>8696630138354</v>
      </c>
      <c r="C1178" s="81">
        <v>24</v>
      </c>
      <c r="D1178" s="23" t="s">
        <v>2573</v>
      </c>
      <c r="H1178" s="346" t="s">
        <v>826</v>
      </c>
      <c r="I1178" s="21">
        <v>16.774471999999999</v>
      </c>
      <c r="J1178" s="23" t="s">
        <v>1013</v>
      </c>
      <c r="K1178" s="21" t="s">
        <v>2574</v>
      </c>
      <c r="L1178" s="21" t="s">
        <v>1013</v>
      </c>
      <c r="M1178" s="21" t="s">
        <v>1195</v>
      </c>
      <c r="N1178" s="87">
        <v>16.774471999999999</v>
      </c>
      <c r="O1178" s="347">
        <v>16.774471999999999</v>
      </c>
      <c r="P1178" s="87" t="s">
        <v>2499</v>
      </c>
      <c r="R1178" s="84">
        <v>18.899999999999999</v>
      </c>
      <c r="Y1178" s="20">
        <f t="shared" si="60"/>
        <v>1</v>
      </c>
      <c r="AA1178" s="98">
        <f t="shared" si="61"/>
        <v>1.8099999999999952</v>
      </c>
      <c r="AB1178" s="350">
        <f t="shared" si="62"/>
        <v>7</v>
      </c>
    </row>
    <row r="1179" spans="1:28" ht="22.15" customHeight="1" x14ac:dyDescent="0.25">
      <c r="A1179" s="21">
        <v>12</v>
      </c>
      <c r="B1179" s="276">
        <v>8699444266640</v>
      </c>
      <c r="C1179" s="81">
        <v>24</v>
      </c>
      <c r="D1179" s="23" t="s">
        <v>2575</v>
      </c>
      <c r="H1179" s="346" t="s">
        <v>826</v>
      </c>
      <c r="I1179" s="21">
        <v>16.774471999999999</v>
      </c>
      <c r="J1179" s="23" t="s">
        <v>1013</v>
      </c>
      <c r="K1179" s="21" t="s">
        <v>2576</v>
      </c>
      <c r="L1179" s="21" t="s">
        <v>1013</v>
      </c>
      <c r="M1179" s="21" t="s">
        <v>1195</v>
      </c>
      <c r="N1179" s="87">
        <v>16.774471999999999</v>
      </c>
      <c r="O1179" s="347">
        <v>16.774471999999999</v>
      </c>
      <c r="P1179" s="87" t="s">
        <v>2499</v>
      </c>
      <c r="R1179" s="84">
        <v>18.899999999999999</v>
      </c>
      <c r="Y1179" s="20">
        <f t="shared" si="60"/>
        <v>1</v>
      </c>
      <c r="AA1179" s="98">
        <f t="shared" si="61"/>
        <v>1.259999999999998</v>
      </c>
      <c r="AB1179" s="350">
        <f t="shared" si="62"/>
        <v>5</v>
      </c>
    </row>
    <row r="1180" spans="1:28" ht="22.15" customHeight="1" x14ac:dyDescent="0.25">
      <c r="A1180" s="21">
        <v>12</v>
      </c>
      <c r="B1180" s="276">
        <v>8696630142290</v>
      </c>
      <c r="C1180" s="81">
        <v>24</v>
      </c>
      <c r="D1180" s="23" t="s">
        <v>2577</v>
      </c>
      <c r="H1180" s="346" t="s">
        <v>826</v>
      </c>
      <c r="I1180" s="21">
        <v>16.770600000000002</v>
      </c>
      <c r="J1180" s="23" t="s">
        <v>1013</v>
      </c>
      <c r="K1180" s="21" t="s">
        <v>2578</v>
      </c>
      <c r="L1180" s="21" t="s">
        <v>1013</v>
      </c>
      <c r="M1180" s="21" t="s">
        <v>2579</v>
      </c>
      <c r="N1180" s="87">
        <v>16.770600000000002</v>
      </c>
      <c r="O1180" s="347">
        <v>16.770600000000002</v>
      </c>
      <c r="P1180" s="87" t="s">
        <v>2509</v>
      </c>
      <c r="R1180" s="84">
        <v>18.899999999999999</v>
      </c>
      <c r="Y1180" s="20">
        <f t="shared" si="60"/>
        <v>1</v>
      </c>
      <c r="AA1180" s="98">
        <f t="shared" si="61"/>
        <v>1.259999999999998</v>
      </c>
      <c r="AB1180" s="350">
        <f t="shared" si="62"/>
        <v>5</v>
      </c>
    </row>
    <row r="1181" spans="1:28" ht="22.15" customHeight="1" x14ac:dyDescent="0.25">
      <c r="A1181" s="21">
        <v>12</v>
      </c>
      <c r="B1181" s="276">
        <v>8696630142306</v>
      </c>
      <c r="C1181" s="81">
        <v>24</v>
      </c>
      <c r="D1181" s="23" t="s">
        <v>2580</v>
      </c>
      <c r="H1181" s="346" t="s">
        <v>826</v>
      </c>
      <c r="I1181" s="21">
        <v>16.770600000000002</v>
      </c>
      <c r="J1181" s="23" t="s">
        <v>1013</v>
      </c>
      <c r="K1181" s="21" t="s">
        <v>2581</v>
      </c>
      <c r="L1181" s="21" t="s">
        <v>1013</v>
      </c>
      <c r="M1181" s="21" t="s">
        <v>2579</v>
      </c>
      <c r="N1181" s="87">
        <v>16.770600000000002</v>
      </c>
      <c r="O1181" s="347">
        <v>16.770600000000002</v>
      </c>
      <c r="P1181" s="87" t="s">
        <v>2509</v>
      </c>
      <c r="R1181" s="84">
        <v>18.899999999999999</v>
      </c>
      <c r="Y1181" s="20">
        <f t="shared" si="60"/>
        <v>1</v>
      </c>
      <c r="AA1181" s="98">
        <f t="shared" si="61"/>
        <v>1.259999999999998</v>
      </c>
      <c r="AB1181" s="350">
        <f t="shared" si="62"/>
        <v>5</v>
      </c>
    </row>
    <row r="1182" spans="1:28" ht="22.15" customHeight="1" x14ac:dyDescent="0.25">
      <c r="A1182" s="21">
        <v>12</v>
      </c>
      <c r="B1182" s="276">
        <v>8696630142313</v>
      </c>
      <c r="C1182" s="81">
        <v>24</v>
      </c>
      <c r="D1182" s="23" t="s">
        <v>2582</v>
      </c>
      <c r="H1182" s="346" t="s">
        <v>826</v>
      </c>
      <c r="I1182" s="21">
        <v>16.774471999999999</v>
      </c>
      <c r="J1182" s="23" t="s">
        <v>1013</v>
      </c>
      <c r="K1182" s="21" t="s">
        <v>2583</v>
      </c>
      <c r="L1182" s="21" t="s">
        <v>1013</v>
      </c>
      <c r="M1182" s="21" t="s">
        <v>1195</v>
      </c>
      <c r="N1182" s="87">
        <v>16.774471999999999</v>
      </c>
      <c r="O1182" s="347">
        <v>16.774471999999999</v>
      </c>
      <c r="P1182" s="87" t="s">
        <v>2499</v>
      </c>
      <c r="R1182" s="84">
        <v>18.899999999999999</v>
      </c>
      <c r="Y1182" s="20">
        <f t="shared" si="60"/>
        <v>1</v>
      </c>
      <c r="AA1182" s="98">
        <f t="shared" si="61"/>
        <v>1.259999999999998</v>
      </c>
      <c r="AB1182" s="350">
        <f t="shared" si="62"/>
        <v>5</v>
      </c>
    </row>
    <row r="1183" spans="1:28" ht="22.15" customHeight="1" x14ac:dyDescent="0.25">
      <c r="A1183" s="21">
        <v>12</v>
      </c>
      <c r="B1183" s="276">
        <v>8699444266633</v>
      </c>
      <c r="C1183" s="81">
        <v>24</v>
      </c>
      <c r="D1183" s="23" t="s">
        <v>2584</v>
      </c>
      <c r="H1183" s="346" t="s">
        <v>826</v>
      </c>
      <c r="I1183" s="21">
        <v>16.774471999999999</v>
      </c>
      <c r="J1183" s="23" t="s">
        <v>1013</v>
      </c>
      <c r="K1183" s="21" t="s">
        <v>2585</v>
      </c>
      <c r="L1183" s="21" t="s">
        <v>1013</v>
      </c>
      <c r="M1183" s="21" t="s">
        <v>1195</v>
      </c>
      <c r="N1183" s="87">
        <v>16.774471999999999</v>
      </c>
      <c r="O1183" s="347">
        <v>16.774471999999999</v>
      </c>
      <c r="P1183" s="87" t="s">
        <v>2499</v>
      </c>
      <c r="R1183" s="84">
        <v>18.899999999999999</v>
      </c>
      <c r="Y1183" s="20">
        <f t="shared" si="60"/>
        <v>1</v>
      </c>
      <c r="AA1183" s="98">
        <f t="shared" si="61"/>
        <v>4.5400000000000063</v>
      </c>
      <c r="AB1183" s="350">
        <f t="shared" si="62"/>
        <v>10</v>
      </c>
    </row>
    <row r="1184" spans="1:28" ht="22.15" customHeight="1" x14ac:dyDescent="0.25">
      <c r="A1184" s="21">
        <v>12</v>
      </c>
      <c r="B1184" s="276">
        <v>8699444266183</v>
      </c>
      <c r="C1184" s="81">
        <v>24</v>
      </c>
      <c r="D1184" s="23" t="s">
        <v>2586</v>
      </c>
      <c r="H1184" s="346" t="s">
        <v>826</v>
      </c>
      <c r="I1184" s="21">
        <v>16.774471999999999</v>
      </c>
      <c r="J1184" s="23" t="s">
        <v>1013</v>
      </c>
      <c r="K1184" s="21" t="s">
        <v>2587</v>
      </c>
      <c r="L1184" s="21" t="s">
        <v>1013</v>
      </c>
      <c r="M1184" s="21" t="s">
        <v>1195</v>
      </c>
      <c r="N1184" s="87">
        <v>16.774471999999999</v>
      </c>
      <c r="O1184" s="347">
        <v>16.774471999999999</v>
      </c>
      <c r="P1184" s="87" t="s">
        <v>2499</v>
      </c>
      <c r="R1184" s="84">
        <v>18.899999999999999</v>
      </c>
      <c r="Y1184" s="20">
        <f t="shared" si="60"/>
        <v>1</v>
      </c>
      <c r="AA1184" s="98">
        <f t="shared" si="61"/>
        <v>4.5400000000000063</v>
      </c>
      <c r="AB1184" s="350">
        <f t="shared" si="62"/>
        <v>10</v>
      </c>
    </row>
    <row r="1185" spans="1:28" ht="22.15" customHeight="1" x14ac:dyDescent="0.25">
      <c r="A1185" s="21">
        <v>12</v>
      </c>
      <c r="B1185" s="276">
        <v>8699444266664</v>
      </c>
      <c r="C1185" s="81">
        <v>24</v>
      </c>
      <c r="D1185" s="23" t="s">
        <v>2588</v>
      </c>
      <c r="H1185" s="346" t="s">
        <v>826</v>
      </c>
      <c r="I1185" s="21">
        <v>16.774471999999999</v>
      </c>
      <c r="J1185" s="23" t="s">
        <v>1013</v>
      </c>
      <c r="K1185" s="21" t="s">
        <v>2589</v>
      </c>
      <c r="L1185" s="21" t="s">
        <v>1013</v>
      </c>
      <c r="M1185" s="21" t="s">
        <v>1195</v>
      </c>
      <c r="N1185" s="87">
        <v>16.774471999999999</v>
      </c>
      <c r="O1185" s="347">
        <v>16.774471999999999</v>
      </c>
      <c r="P1185" s="87" t="s">
        <v>2499</v>
      </c>
      <c r="R1185" s="84">
        <v>18.899999999999999</v>
      </c>
      <c r="Y1185" s="20">
        <f t="shared" si="60"/>
        <v>1</v>
      </c>
      <c r="AA1185" s="98">
        <f t="shared" si="61"/>
        <v>4.5400000000000063</v>
      </c>
      <c r="AB1185" s="350">
        <f t="shared" si="62"/>
        <v>10</v>
      </c>
    </row>
    <row r="1186" spans="1:28" ht="22.15" customHeight="1" x14ac:dyDescent="0.25">
      <c r="A1186" s="21">
        <v>12</v>
      </c>
      <c r="B1186" s="276">
        <v>8696630138361</v>
      </c>
      <c r="C1186" s="81">
        <v>24</v>
      </c>
      <c r="D1186" s="23" t="s">
        <v>2590</v>
      </c>
      <c r="H1186" s="346" t="s">
        <v>826</v>
      </c>
      <c r="I1186" s="21">
        <v>16.774471999999999</v>
      </c>
      <c r="J1186" s="23" t="s">
        <v>1013</v>
      </c>
      <c r="K1186" s="21" t="s">
        <v>2591</v>
      </c>
      <c r="L1186" s="21" t="s">
        <v>1013</v>
      </c>
      <c r="M1186" s="21" t="s">
        <v>1195</v>
      </c>
      <c r="N1186" s="87">
        <v>16.774471999999999</v>
      </c>
      <c r="O1186" s="347">
        <v>16.774471999999999</v>
      </c>
      <c r="P1186" s="87" t="s">
        <v>2499</v>
      </c>
      <c r="R1186" s="84">
        <v>18.899999999999999</v>
      </c>
      <c r="Y1186" s="20">
        <f t="shared" si="60"/>
        <v>1</v>
      </c>
      <c r="AA1186" s="98">
        <f t="shared" si="61"/>
        <v>0.9599999999999973</v>
      </c>
      <c r="AB1186" s="350">
        <f t="shared" si="62"/>
        <v>3</v>
      </c>
    </row>
    <row r="1187" spans="1:28" ht="22.15" customHeight="1" x14ac:dyDescent="0.25">
      <c r="A1187" s="21">
        <v>12</v>
      </c>
      <c r="B1187" s="276">
        <v>8696630138378</v>
      </c>
      <c r="C1187" s="81">
        <v>24</v>
      </c>
      <c r="D1187" s="23" t="s">
        <v>2592</v>
      </c>
      <c r="H1187" s="346" t="s">
        <v>826</v>
      </c>
      <c r="I1187" s="21">
        <v>16.774471999999999</v>
      </c>
      <c r="J1187" s="23" t="s">
        <v>1013</v>
      </c>
      <c r="K1187" s="21" t="s">
        <v>2593</v>
      </c>
      <c r="L1187" s="21" t="s">
        <v>1013</v>
      </c>
      <c r="M1187" s="21" t="s">
        <v>1195</v>
      </c>
      <c r="N1187" s="87">
        <v>16.774471999999999</v>
      </c>
      <c r="O1187" s="347">
        <v>16.774471999999999</v>
      </c>
      <c r="P1187" s="87" t="s">
        <v>2499</v>
      </c>
      <c r="R1187" s="84">
        <v>18.899999999999999</v>
      </c>
      <c r="Y1187" s="20">
        <f t="shared" si="60"/>
        <v>1</v>
      </c>
      <c r="AA1187" s="98">
        <f t="shared" si="61"/>
        <v>1.4399999999999977</v>
      </c>
      <c r="AB1187" s="350">
        <f t="shared" si="62"/>
        <v>7</v>
      </c>
    </row>
    <row r="1188" spans="1:28" ht="22.15" customHeight="1" x14ac:dyDescent="0.25">
      <c r="A1188" s="21">
        <v>12</v>
      </c>
      <c r="B1188" s="276">
        <v>8696630138385</v>
      </c>
      <c r="C1188" s="81">
        <v>24</v>
      </c>
      <c r="D1188" s="23" t="s">
        <v>2594</v>
      </c>
      <c r="H1188" s="346" t="s">
        <v>826</v>
      </c>
      <c r="I1188" s="21">
        <v>16.774471999999999</v>
      </c>
      <c r="J1188" s="23" t="s">
        <v>1013</v>
      </c>
      <c r="K1188" s="21" t="s">
        <v>2595</v>
      </c>
      <c r="L1188" s="21" t="s">
        <v>1013</v>
      </c>
      <c r="M1188" s="21" t="s">
        <v>1195</v>
      </c>
      <c r="N1188" s="87">
        <v>16.774471999999999</v>
      </c>
      <c r="O1188" s="347">
        <v>16.774471999999999</v>
      </c>
      <c r="P1188" s="87" t="s">
        <v>2499</v>
      </c>
      <c r="R1188" s="84">
        <v>18.899999999999999</v>
      </c>
      <c r="Y1188" s="20">
        <f t="shared" si="60"/>
        <v>1</v>
      </c>
      <c r="AA1188" s="98">
        <f t="shared" si="61"/>
        <v>1.4399999999999977</v>
      </c>
      <c r="AB1188" s="350">
        <f t="shared" si="62"/>
        <v>7</v>
      </c>
    </row>
    <row r="1189" spans="1:28" ht="22.15" customHeight="1" x14ac:dyDescent="0.25">
      <c r="A1189" s="21">
        <v>12</v>
      </c>
      <c r="B1189" s="276">
        <v>8696630138392</v>
      </c>
      <c r="C1189" s="81">
        <v>24</v>
      </c>
      <c r="D1189" s="23" t="s">
        <v>2596</v>
      </c>
      <c r="H1189" s="346" t="s">
        <v>826</v>
      </c>
      <c r="I1189" s="21">
        <v>16.774471999999999</v>
      </c>
      <c r="J1189" s="23" t="s">
        <v>1013</v>
      </c>
      <c r="K1189" s="21" t="s">
        <v>2597</v>
      </c>
      <c r="L1189" s="21" t="s">
        <v>1013</v>
      </c>
      <c r="M1189" s="21" t="s">
        <v>2598</v>
      </c>
      <c r="N1189" s="87">
        <v>16.774471999999999</v>
      </c>
      <c r="O1189" s="347">
        <v>16.774471999999999</v>
      </c>
      <c r="P1189" s="87" t="s">
        <v>2499</v>
      </c>
      <c r="R1189" s="84">
        <v>18.899999999999999</v>
      </c>
      <c r="Y1189" s="20">
        <f t="shared" si="60"/>
        <v>1</v>
      </c>
      <c r="AA1189" s="98">
        <f t="shared" si="61"/>
        <v>11.319999999999993</v>
      </c>
      <c r="AB1189" s="350">
        <f t="shared" si="62"/>
        <v>26</v>
      </c>
    </row>
    <row r="1190" spans="1:28" ht="22.15" customHeight="1" x14ac:dyDescent="0.25">
      <c r="A1190" s="21">
        <v>12</v>
      </c>
      <c r="B1190" s="276">
        <v>8696630142320</v>
      </c>
      <c r="C1190" s="81">
        <v>24</v>
      </c>
      <c r="D1190" s="23" t="s">
        <v>2599</v>
      </c>
      <c r="H1190" s="346" t="s">
        <v>826</v>
      </c>
      <c r="I1190" s="21">
        <v>16.774471999999999</v>
      </c>
      <c r="J1190" s="23" t="s">
        <v>1013</v>
      </c>
      <c r="K1190" s="21" t="s">
        <v>2600</v>
      </c>
      <c r="L1190" s="21" t="s">
        <v>1013</v>
      </c>
      <c r="M1190" s="21" t="s">
        <v>1195</v>
      </c>
      <c r="N1190" s="87">
        <v>16.774471999999999</v>
      </c>
      <c r="O1190" s="347">
        <v>16.774471999999999</v>
      </c>
      <c r="P1190" s="87" t="s">
        <v>2499</v>
      </c>
      <c r="R1190" s="84">
        <v>18.899999999999999</v>
      </c>
      <c r="Y1190" s="20">
        <f t="shared" si="60"/>
        <v>1</v>
      </c>
      <c r="AA1190" s="98">
        <f t="shared" si="61"/>
        <v>2.9200000000000017</v>
      </c>
      <c r="AB1190" s="350">
        <f t="shared" si="62"/>
        <v>4</v>
      </c>
    </row>
    <row r="1191" spans="1:28" ht="22.15" customHeight="1" x14ac:dyDescent="0.25">
      <c r="A1191" s="21">
        <v>12</v>
      </c>
      <c r="B1191" s="276">
        <v>8699444266626</v>
      </c>
      <c r="C1191" s="81">
        <v>24</v>
      </c>
      <c r="D1191" s="23" t="s">
        <v>2601</v>
      </c>
      <c r="H1191" s="346" t="s">
        <v>826</v>
      </c>
      <c r="I1191" s="21">
        <v>16.774471999999999</v>
      </c>
      <c r="J1191" s="23" t="s">
        <v>1013</v>
      </c>
      <c r="K1191" s="21" t="s">
        <v>2602</v>
      </c>
      <c r="L1191" s="21" t="s">
        <v>1013</v>
      </c>
      <c r="M1191" s="21" t="s">
        <v>1195</v>
      </c>
      <c r="N1191" s="87">
        <v>16.774471999999999</v>
      </c>
      <c r="O1191" s="347">
        <v>16.774471999999999</v>
      </c>
      <c r="P1191" s="87" t="s">
        <v>2499</v>
      </c>
      <c r="R1191" s="84">
        <v>18.899999999999999</v>
      </c>
      <c r="Y1191" s="20">
        <f t="shared" si="60"/>
        <v>1</v>
      </c>
      <c r="AA1191" s="98">
        <f t="shared" si="61"/>
        <v>0.31999999999999984</v>
      </c>
      <c r="AB1191" s="350">
        <f t="shared" si="62"/>
        <v>0.20000000000000018</v>
      </c>
    </row>
    <row r="1192" spans="1:28" ht="22.15" customHeight="1" x14ac:dyDescent="0.25">
      <c r="A1192" s="21">
        <v>12</v>
      </c>
      <c r="B1192" s="276">
        <v>8696630142337</v>
      </c>
      <c r="C1192" s="81">
        <v>24</v>
      </c>
      <c r="D1192" s="23" t="s">
        <v>2603</v>
      </c>
      <c r="H1192" s="346" t="s">
        <v>826</v>
      </c>
      <c r="I1192" s="21">
        <v>16.774471999999999</v>
      </c>
      <c r="J1192" s="23" t="s">
        <v>1013</v>
      </c>
      <c r="K1192" s="21" t="s">
        <v>2604</v>
      </c>
      <c r="L1192" s="21" t="s">
        <v>1013</v>
      </c>
      <c r="M1192" s="21" t="s">
        <v>1195</v>
      </c>
      <c r="N1192" s="87">
        <v>16.774471999999999</v>
      </c>
      <c r="O1192" s="347">
        <v>16.774471999999999</v>
      </c>
      <c r="P1192" s="87" t="s">
        <v>2499</v>
      </c>
      <c r="R1192" s="84">
        <v>18.899999999999999</v>
      </c>
      <c r="Y1192" s="20">
        <f t="shared" si="60"/>
        <v>1</v>
      </c>
      <c r="AA1192" s="98">
        <f t="shared" si="61"/>
        <v>0.31999999999999984</v>
      </c>
      <c r="AB1192" s="350">
        <f t="shared" si="62"/>
        <v>0.20000000000000018</v>
      </c>
    </row>
    <row r="1193" spans="1:28" ht="22.15" customHeight="1" x14ac:dyDescent="0.25">
      <c r="A1193" s="21">
        <v>12</v>
      </c>
      <c r="B1193" s="276">
        <v>8699444266800</v>
      </c>
      <c r="C1193" s="81">
        <v>24</v>
      </c>
      <c r="D1193" s="23" t="s">
        <v>2605</v>
      </c>
      <c r="H1193" s="346" t="s">
        <v>826</v>
      </c>
      <c r="I1193" s="21">
        <v>16.770600000000002</v>
      </c>
      <c r="J1193" s="23" t="s">
        <v>1013</v>
      </c>
      <c r="K1193" s="21" t="s">
        <v>2606</v>
      </c>
      <c r="L1193" s="21" t="s">
        <v>1013</v>
      </c>
      <c r="M1193" s="21" t="s">
        <v>2579</v>
      </c>
      <c r="N1193" s="87">
        <v>16.770600000000002</v>
      </c>
      <c r="O1193" s="347">
        <v>16.770600000000002</v>
      </c>
      <c r="P1193" s="87" t="s">
        <v>2509</v>
      </c>
      <c r="R1193" s="84">
        <v>18.899999999999999</v>
      </c>
      <c r="Y1193" s="20">
        <f t="shared" si="60"/>
        <v>1</v>
      </c>
      <c r="AA1193" s="98">
        <f t="shared" si="61"/>
        <v>0.20999999999999996</v>
      </c>
      <c r="AB1193" s="350">
        <f t="shared" si="62"/>
        <v>0.39999999999999991</v>
      </c>
    </row>
    <row r="1194" spans="1:28" ht="22.15" customHeight="1" x14ac:dyDescent="0.25">
      <c r="A1194" s="21">
        <v>12</v>
      </c>
      <c r="B1194" s="276">
        <v>8696630138408</v>
      </c>
      <c r="C1194" s="81">
        <v>24</v>
      </c>
      <c r="D1194" s="23" t="s">
        <v>2607</v>
      </c>
      <c r="H1194" s="346" t="s">
        <v>826</v>
      </c>
      <c r="I1194" s="21">
        <v>16.774471999999999</v>
      </c>
      <c r="J1194" s="23" t="s">
        <v>1013</v>
      </c>
      <c r="K1194" s="21" t="s">
        <v>2608</v>
      </c>
      <c r="L1194" s="21" t="s">
        <v>1013</v>
      </c>
      <c r="M1194" s="21" t="s">
        <v>1195</v>
      </c>
      <c r="N1194" s="87">
        <v>16.774471999999999</v>
      </c>
      <c r="O1194" s="347">
        <v>16.774471999999999</v>
      </c>
      <c r="P1194" s="87" t="s">
        <v>2499</v>
      </c>
      <c r="R1194" s="84">
        <v>18.899999999999999</v>
      </c>
      <c r="Y1194" s="20">
        <f t="shared" si="60"/>
        <v>1</v>
      </c>
      <c r="AA1194" s="98">
        <f t="shared" si="61"/>
        <v>0.39999999999999947</v>
      </c>
      <c r="AB1194" s="350">
        <f t="shared" si="62"/>
        <v>0.70000000000000107</v>
      </c>
    </row>
    <row r="1195" spans="1:28" ht="22.15" customHeight="1" x14ac:dyDescent="0.25">
      <c r="A1195" s="21">
        <v>12</v>
      </c>
      <c r="B1195" s="276">
        <v>8696630142344</v>
      </c>
      <c r="C1195" s="81">
        <v>24</v>
      </c>
      <c r="D1195" s="23" t="s">
        <v>2609</v>
      </c>
      <c r="H1195" s="346" t="s">
        <v>826</v>
      </c>
      <c r="I1195" s="21">
        <v>16.774471999999999</v>
      </c>
      <c r="J1195" s="23" t="s">
        <v>1013</v>
      </c>
      <c r="K1195" s="21" t="s">
        <v>2610</v>
      </c>
      <c r="L1195" s="21" t="s">
        <v>1013</v>
      </c>
      <c r="M1195" s="21" t="s">
        <v>1195</v>
      </c>
      <c r="N1195" s="87">
        <v>16.774471999999999</v>
      </c>
      <c r="O1195" s="347">
        <v>16.774471999999999</v>
      </c>
      <c r="P1195" s="87" t="s">
        <v>2499</v>
      </c>
      <c r="R1195" s="84">
        <v>18.899999999999999</v>
      </c>
      <c r="Y1195" s="20">
        <f t="shared" si="60"/>
        <v>1</v>
      </c>
      <c r="AA1195" s="98">
        <f t="shared" si="61"/>
        <v>0.39999999999999947</v>
      </c>
      <c r="AB1195" s="350">
        <f t="shared" si="62"/>
        <v>0.70000000000000107</v>
      </c>
    </row>
    <row r="1196" spans="1:28" ht="22.15" customHeight="1" x14ac:dyDescent="0.25">
      <c r="A1196" s="21">
        <v>12</v>
      </c>
      <c r="B1196" s="276">
        <v>8699444266657</v>
      </c>
      <c r="C1196" s="81">
        <v>24</v>
      </c>
      <c r="D1196" s="23" t="s">
        <v>2611</v>
      </c>
      <c r="H1196" s="346" t="s">
        <v>826</v>
      </c>
      <c r="I1196" s="21">
        <v>16.774471999999999</v>
      </c>
      <c r="J1196" s="23" t="s">
        <v>1013</v>
      </c>
      <c r="K1196" s="21" t="s">
        <v>2612</v>
      </c>
      <c r="L1196" s="21" t="s">
        <v>1013</v>
      </c>
      <c r="M1196" s="21" t="s">
        <v>1195</v>
      </c>
      <c r="N1196" s="87">
        <v>16.774471999999999</v>
      </c>
      <c r="O1196" s="347">
        <v>16.774471999999999</v>
      </c>
      <c r="P1196" s="87" t="s">
        <v>2499</v>
      </c>
      <c r="R1196" s="84">
        <v>18.899999999999999</v>
      </c>
      <c r="Y1196" s="20">
        <f t="shared" si="60"/>
        <v>1</v>
      </c>
      <c r="AA1196" s="98">
        <f t="shared" si="61"/>
        <v>0.39999999999999947</v>
      </c>
      <c r="AB1196" s="350">
        <f t="shared" si="62"/>
        <v>0.70000000000000107</v>
      </c>
    </row>
    <row r="1197" spans="1:28" ht="22.15" customHeight="1" x14ac:dyDescent="0.25">
      <c r="A1197" s="21">
        <v>12</v>
      </c>
      <c r="B1197" s="276">
        <v>8696630138415</v>
      </c>
      <c r="C1197" s="81">
        <v>24</v>
      </c>
      <c r="D1197" s="23" t="s">
        <v>2613</v>
      </c>
      <c r="H1197" s="346" t="s">
        <v>826</v>
      </c>
      <c r="I1197" s="21">
        <v>16.774471999999999</v>
      </c>
      <c r="J1197" s="23" t="s">
        <v>1013</v>
      </c>
      <c r="K1197" s="21" t="s">
        <v>2614</v>
      </c>
      <c r="L1197" s="21" t="s">
        <v>1013</v>
      </c>
      <c r="M1197" s="21" t="s">
        <v>1195</v>
      </c>
      <c r="N1197" s="87">
        <v>16.774471999999999</v>
      </c>
      <c r="O1197" s="347">
        <v>16.774471999999999</v>
      </c>
      <c r="P1197" s="87" t="s">
        <v>2499</v>
      </c>
      <c r="R1197" s="84">
        <v>18.899999999999999</v>
      </c>
      <c r="Y1197" s="20">
        <f t="shared" si="60"/>
        <v>1</v>
      </c>
      <c r="AA1197" s="98">
        <f t="shared" si="61"/>
        <v>0.39999999999999947</v>
      </c>
      <c r="AB1197" s="350">
        <f t="shared" si="62"/>
        <v>0.70000000000000107</v>
      </c>
    </row>
    <row r="1198" spans="1:28" ht="22.15" customHeight="1" x14ac:dyDescent="0.25">
      <c r="A1198" s="21">
        <v>12</v>
      </c>
      <c r="B1198" s="276">
        <v>8696630142368</v>
      </c>
      <c r="C1198" s="81">
        <v>24</v>
      </c>
      <c r="D1198" s="23" t="s">
        <v>2615</v>
      </c>
      <c r="H1198" s="346" t="s">
        <v>826</v>
      </c>
      <c r="I1198" s="21">
        <v>16.774471999999999</v>
      </c>
      <c r="J1198" s="23" t="s">
        <v>1013</v>
      </c>
      <c r="K1198" s="21" t="s">
        <v>2616</v>
      </c>
      <c r="L1198" s="21" t="s">
        <v>1013</v>
      </c>
      <c r="M1198" s="21" t="s">
        <v>1195</v>
      </c>
      <c r="N1198" s="87">
        <v>16.774471999999999</v>
      </c>
      <c r="O1198" s="347">
        <v>16.774471999999999</v>
      </c>
      <c r="P1198" s="87" t="s">
        <v>2499</v>
      </c>
      <c r="R1198" s="84">
        <v>18.899999999999999</v>
      </c>
      <c r="Y1198" s="20">
        <f t="shared" si="60"/>
        <v>1</v>
      </c>
      <c r="AA1198" s="98">
        <f t="shared" si="61"/>
        <v>0.39999999999999947</v>
      </c>
      <c r="AB1198" s="350">
        <f t="shared" si="62"/>
        <v>0.70000000000000107</v>
      </c>
    </row>
    <row r="1199" spans="1:28" ht="22.15" customHeight="1" x14ac:dyDescent="0.25">
      <c r="A1199" s="21">
        <v>12</v>
      </c>
      <c r="B1199" s="276">
        <v>8699444266176</v>
      </c>
      <c r="C1199" s="81">
        <v>24</v>
      </c>
      <c r="D1199" s="23" t="s">
        <v>2617</v>
      </c>
      <c r="H1199" s="346" t="s">
        <v>826</v>
      </c>
      <c r="I1199" s="21">
        <v>16.774471999999999</v>
      </c>
      <c r="J1199" s="23" t="s">
        <v>1013</v>
      </c>
      <c r="K1199" s="21" t="s">
        <v>2618</v>
      </c>
      <c r="L1199" s="21" t="s">
        <v>1013</v>
      </c>
      <c r="M1199" s="21" t="s">
        <v>1195</v>
      </c>
      <c r="N1199" s="87">
        <v>16.774471999999999</v>
      </c>
      <c r="O1199" s="347">
        <v>16.774471999999999</v>
      </c>
      <c r="P1199" s="87" t="s">
        <v>2499</v>
      </c>
      <c r="R1199" s="84">
        <v>18.899999999999999</v>
      </c>
      <c r="Y1199" s="20">
        <f>COUNTIF(K:K,K1099)</f>
        <v>1</v>
      </c>
      <c r="AA1199" s="98">
        <f>H1099-I1099</f>
        <v>0.39999999999999947</v>
      </c>
      <c r="AB1199" s="350">
        <f>R1099-H1099</f>
        <v>0.70000000000000107</v>
      </c>
    </row>
    <row r="1200" spans="1:28" ht="22.15" customHeight="1" x14ac:dyDescent="0.25">
      <c r="A1200" s="21">
        <v>12</v>
      </c>
      <c r="B1200" s="276">
        <v>8696630142375</v>
      </c>
      <c r="C1200" s="81">
        <v>24</v>
      </c>
      <c r="D1200" s="23" t="s">
        <v>2619</v>
      </c>
      <c r="H1200" s="346" t="s">
        <v>826</v>
      </c>
      <c r="I1200" s="21">
        <v>16.774471999999999</v>
      </c>
      <c r="J1200" s="23" t="s">
        <v>1013</v>
      </c>
      <c r="K1200" s="21" t="s">
        <v>2620</v>
      </c>
      <c r="L1200" s="21" t="s">
        <v>1013</v>
      </c>
      <c r="M1200" s="21" t="s">
        <v>1195</v>
      </c>
      <c r="N1200" s="87">
        <v>16.774471999999999</v>
      </c>
      <c r="O1200" s="347">
        <v>16.774471999999999</v>
      </c>
      <c r="P1200" s="87" t="s">
        <v>2499</v>
      </c>
      <c r="R1200" s="84">
        <v>18.899999999999999</v>
      </c>
      <c r="Y1200" s="20">
        <f>COUNTIF(K:K,K1099)</f>
        <v>1</v>
      </c>
      <c r="AA1200" s="98">
        <f>H1099-I1099</f>
        <v>0.39999999999999947</v>
      </c>
      <c r="AB1200" s="350">
        <f>R1099-H1099</f>
        <v>0.70000000000000107</v>
      </c>
    </row>
    <row r="1201" spans="1:28" ht="22.15" customHeight="1" x14ac:dyDescent="0.25">
      <c r="A1201" s="21">
        <v>12</v>
      </c>
      <c r="B1201" s="276">
        <v>8696630138422</v>
      </c>
      <c r="C1201" s="81">
        <v>24</v>
      </c>
      <c r="D1201" s="23" t="s">
        <v>2621</v>
      </c>
      <c r="H1201" s="346" t="s">
        <v>826</v>
      </c>
      <c r="I1201" s="21">
        <v>16.774471999999999</v>
      </c>
      <c r="J1201" s="23" t="s">
        <v>1013</v>
      </c>
      <c r="K1201" s="21" t="s">
        <v>2622</v>
      </c>
      <c r="L1201" s="21" t="s">
        <v>1013</v>
      </c>
      <c r="M1201" s="21" t="s">
        <v>1195</v>
      </c>
      <c r="N1201" s="87">
        <v>16.774471999999999</v>
      </c>
      <c r="O1201" s="347">
        <v>16.774471999999999</v>
      </c>
      <c r="P1201" s="87" t="s">
        <v>2499</v>
      </c>
      <c r="R1201" s="84">
        <v>18.899999999999999</v>
      </c>
      <c r="Y1201" s="20">
        <f>COUNTIF(K:K,K1100)</f>
        <v>1</v>
      </c>
      <c r="AA1201" s="98">
        <f>H1100-I1100</f>
        <v>16.606000000000009</v>
      </c>
      <c r="AB1201" s="350" t="e">
        <f>R1100-H1100</f>
        <v>#VALUE!</v>
      </c>
    </row>
    <row r="1202" spans="1:28" ht="22.15" customHeight="1" x14ac:dyDescent="0.25">
      <c r="A1202" s="21">
        <v>12</v>
      </c>
      <c r="B1202" s="276">
        <v>8699444266817</v>
      </c>
      <c r="C1202" s="81">
        <v>24</v>
      </c>
      <c r="D1202" s="23" t="s">
        <v>2623</v>
      </c>
      <c r="H1202" s="346" t="s">
        <v>826</v>
      </c>
      <c r="I1202" s="21">
        <v>16.770600000000002</v>
      </c>
      <c r="J1202" s="23" t="s">
        <v>1013</v>
      </c>
      <c r="K1202" s="21" t="s">
        <v>2624</v>
      </c>
      <c r="L1202" s="21" t="s">
        <v>1013</v>
      </c>
      <c r="M1202" s="21" t="s">
        <v>2579</v>
      </c>
      <c r="N1202" s="87">
        <v>16.770600000000002</v>
      </c>
      <c r="O1202" s="347">
        <v>16.770600000000002</v>
      </c>
      <c r="P1202" s="87" t="s">
        <v>2509</v>
      </c>
      <c r="R1202" s="84">
        <v>18.899999999999999</v>
      </c>
      <c r="Y1202" s="20">
        <f>COUNTIF(K:K,K1101)</f>
        <v>1</v>
      </c>
      <c r="AA1202" s="98">
        <f>H1101-I1101</f>
        <v>16.606000000000009</v>
      </c>
      <c r="AB1202" s="350" t="e">
        <f>R1101-H1101</f>
        <v>#VALUE!</v>
      </c>
    </row>
    <row r="1203" spans="1:28" ht="22.15" customHeight="1" x14ac:dyDescent="0.25">
      <c r="H1203" s="346"/>
      <c r="O1203" s="347"/>
      <c r="Y1203" s="20">
        <f t="shared" ref="Y1203:Y1218" si="63">COUNTIF(K:K,K1103)</f>
        <v>1</v>
      </c>
      <c r="AA1203" s="98">
        <f t="shared" ref="AA1203:AA1218" si="64">H1103-I1103</f>
        <v>16.606000000000009</v>
      </c>
      <c r="AB1203" s="350" t="e">
        <f t="shared" ref="AB1203:AB1218" si="65">R1103-H1103</f>
        <v>#VALUE!</v>
      </c>
    </row>
    <row r="1204" spans="1:28" ht="22.15" customHeight="1" x14ac:dyDescent="0.25">
      <c r="H1204" s="346"/>
      <c r="O1204" s="347"/>
      <c r="Y1204" s="20">
        <f t="shared" si="63"/>
        <v>1</v>
      </c>
      <c r="AA1204" s="98">
        <f t="shared" si="64"/>
        <v>16.606000000000009</v>
      </c>
      <c r="AB1204" s="350" t="e">
        <f t="shared" si="65"/>
        <v>#VALUE!</v>
      </c>
    </row>
    <row r="1205" spans="1:28" ht="22.15" customHeight="1" x14ac:dyDescent="0.25">
      <c r="H1205" s="346"/>
      <c r="O1205" s="347"/>
      <c r="Y1205" s="20">
        <f t="shared" si="63"/>
        <v>1</v>
      </c>
      <c r="AA1205" s="98">
        <f t="shared" si="64"/>
        <v>16.606000000000009</v>
      </c>
      <c r="AB1205" s="350" t="e">
        <f t="shared" si="65"/>
        <v>#VALUE!</v>
      </c>
    </row>
    <row r="1206" spans="1:28" ht="22.15" customHeight="1" x14ac:dyDescent="0.25">
      <c r="H1206" s="346"/>
      <c r="O1206" s="347"/>
      <c r="Y1206" s="20">
        <f t="shared" si="63"/>
        <v>1</v>
      </c>
      <c r="AA1206" s="98">
        <f t="shared" si="64"/>
        <v>16.606000000000009</v>
      </c>
      <c r="AB1206" s="350" t="e">
        <f t="shared" si="65"/>
        <v>#VALUE!</v>
      </c>
    </row>
    <row r="1207" spans="1:28" ht="22.15" customHeight="1" x14ac:dyDescent="0.25">
      <c r="H1207" s="346"/>
      <c r="O1207" s="347"/>
      <c r="Y1207" s="20">
        <f t="shared" si="63"/>
        <v>1</v>
      </c>
      <c r="AA1207" s="98">
        <f t="shared" si="64"/>
        <v>16.606000000000009</v>
      </c>
      <c r="AB1207" s="350" t="e">
        <f t="shared" si="65"/>
        <v>#VALUE!</v>
      </c>
    </row>
    <row r="1208" spans="1:28" ht="22.15" customHeight="1" x14ac:dyDescent="0.25">
      <c r="H1208" s="346"/>
      <c r="O1208" s="347"/>
      <c r="Y1208" s="20">
        <f t="shared" si="63"/>
        <v>1</v>
      </c>
      <c r="AA1208" s="98">
        <f t="shared" si="64"/>
        <v>16.606000000000009</v>
      </c>
      <c r="AB1208" s="350" t="e">
        <f t="shared" si="65"/>
        <v>#VALUE!</v>
      </c>
    </row>
    <row r="1209" spans="1:28" ht="22.15" customHeight="1" x14ac:dyDescent="0.25">
      <c r="H1209" s="346"/>
      <c r="O1209" s="347"/>
      <c r="Y1209" s="20">
        <f t="shared" si="63"/>
        <v>1</v>
      </c>
      <c r="AA1209" s="98">
        <f t="shared" si="64"/>
        <v>16.606000000000009</v>
      </c>
      <c r="AB1209" s="350" t="e">
        <f t="shared" si="65"/>
        <v>#VALUE!</v>
      </c>
    </row>
    <row r="1210" spans="1:28" ht="22.15" customHeight="1" x14ac:dyDescent="0.25">
      <c r="H1210" s="346"/>
      <c r="O1210" s="347"/>
      <c r="Y1210" s="20">
        <f t="shared" si="63"/>
        <v>1</v>
      </c>
      <c r="AA1210" s="98">
        <f t="shared" si="64"/>
        <v>16.606000000000009</v>
      </c>
      <c r="AB1210" s="350" t="e">
        <f t="shared" si="65"/>
        <v>#VALUE!</v>
      </c>
    </row>
    <row r="1211" spans="1:28" ht="22.15" customHeight="1" x14ac:dyDescent="0.25">
      <c r="H1211" s="346"/>
      <c r="O1211" s="347"/>
      <c r="Y1211" s="20">
        <f t="shared" si="63"/>
        <v>1</v>
      </c>
      <c r="AA1211" s="98">
        <f t="shared" si="64"/>
        <v>1.7409999999999997</v>
      </c>
      <c r="AB1211" s="350" t="e">
        <f t="shared" si="65"/>
        <v>#VALUE!</v>
      </c>
    </row>
    <row r="1212" spans="1:28" ht="22.15" customHeight="1" x14ac:dyDescent="0.25">
      <c r="H1212" s="346"/>
      <c r="O1212" s="347"/>
      <c r="Y1212" s="20">
        <f t="shared" si="63"/>
        <v>1</v>
      </c>
      <c r="AA1212" s="98">
        <f t="shared" si="64"/>
        <v>1.7209999999999965</v>
      </c>
      <c r="AB1212" s="350" t="e">
        <f t="shared" si="65"/>
        <v>#VALUE!</v>
      </c>
    </row>
    <row r="1213" spans="1:28" ht="22.15" customHeight="1" x14ac:dyDescent="0.25">
      <c r="H1213" s="346"/>
      <c r="O1213" s="347"/>
      <c r="Y1213" s="20">
        <f t="shared" si="63"/>
        <v>1</v>
      </c>
      <c r="AA1213" s="98">
        <f t="shared" si="64"/>
        <v>4.0799999999999983</v>
      </c>
      <c r="AB1213" s="350" t="e">
        <f t="shared" si="65"/>
        <v>#VALUE!</v>
      </c>
    </row>
    <row r="1214" spans="1:28" ht="22.15" customHeight="1" x14ac:dyDescent="0.25">
      <c r="H1214" s="346"/>
      <c r="O1214" s="347"/>
      <c r="Y1214" s="20">
        <f t="shared" si="63"/>
        <v>1</v>
      </c>
      <c r="AA1214" s="98">
        <f t="shared" si="64"/>
        <v>4.0799999999999983</v>
      </c>
      <c r="AB1214" s="350" t="e">
        <f t="shared" si="65"/>
        <v>#VALUE!</v>
      </c>
    </row>
    <row r="1215" spans="1:28" ht="22.15" customHeight="1" x14ac:dyDescent="0.25">
      <c r="H1215" s="346"/>
      <c r="O1215" s="347"/>
      <c r="Y1215" s="20">
        <f t="shared" si="63"/>
        <v>1</v>
      </c>
      <c r="AA1215" s="98">
        <f t="shared" si="64"/>
        <v>4.0799999999999983</v>
      </c>
      <c r="AB1215" s="350" t="e">
        <f t="shared" si="65"/>
        <v>#VALUE!</v>
      </c>
    </row>
    <row r="1216" spans="1:28" ht="22.15" customHeight="1" x14ac:dyDescent="0.25">
      <c r="H1216" s="346"/>
      <c r="O1216" s="347"/>
      <c r="Y1216" s="20">
        <f t="shared" si="63"/>
        <v>1</v>
      </c>
      <c r="AA1216" s="98">
        <f t="shared" si="64"/>
        <v>4.2494000000000014</v>
      </c>
      <c r="AB1216" s="350" t="e">
        <f t="shared" si="65"/>
        <v>#VALUE!</v>
      </c>
    </row>
    <row r="1217" spans="8:28" ht="22.15" customHeight="1" x14ac:dyDescent="0.25">
      <c r="H1217" s="346"/>
      <c r="O1217" s="347"/>
      <c r="Y1217" s="20">
        <f t="shared" si="63"/>
        <v>1</v>
      </c>
      <c r="AA1217" s="98">
        <f t="shared" si="64"/>
        <v>4.2494000000000014</v>
      </c>
      <c r="AB1217" s="350" t="e">
        <f t="shared" si="65"/>
        <v>#VALUE!</v>
      </c>
    </row>
    <row r="1218" spans="8:28" ht="22.15" customHeight="1" x14ac:dyDescent="0.25">
      <c r="H1218" s="346"/>
      <c r="O1218" s="347"/>
      <c r="Y1218" s="20">
        <f t="shared" si="63"/>
        <v>1</v>
      </c>
      <c r="AA1218" s="98">
        <f t="shared" si="64"/>
        <v>4.2494000000000014</v>
      </c>
      <c r="AB1218" s="350" t="e">
        <f t="shared" si="65"/>
        <v>#VALUE!</v>
      </c>
    </row>
    <row r="1219" spans="8:28" ht="22.15" customHeight="1" x14ac:dyDescent="0.25">
      <c r="H1219" s="346"/>
      <c r="O1219" s="347"/>
      <c r="Y1219" s="20">
        <f t="shared" ref="Y1219:Y1228" si="66">COUNTIF(K:K,K1109)</f>
        <v>1</v>
      </c>
      <c r="AA1219" s="98">
        <f t="shared" ref="AA1219:AA1228" si="67">H1109-I1109</f>
        <v>16.606000000000009</v>
      </c>
      <c r="AB1219" s="350" t="e">
        <f t="shared" ref="AB1219:AB1228" si="68">R1109-H1109</f>
        <v>#VALUE!</v>
      </c>
    </row>
    <row r="1220" spans="8:28" ht="22.15" customHeight="1" x14ac:dyDescent="0.25">
      <c r="H1220" s="346"/>
      <c r="O1220" s="347"/>
      <c r="Y1220" s="20">
        <f t="shared" si="66"/>
        <v>1</v>
      </c>
      <c r="AA1220" s="98">
        <f t="shared" si="67"/>
        <v>16.606000000000009</v>
      </c>
      <c r="AB1220" s="350" t="e">
        <f t="shared" si="68"/>
        <v>#VALUE!</v>
      </c>
    </row>
    <row r="1221" spans="8:28" ht="22.15" customHeight="1" x14ac:dyDescent="0.25">
      <c r="H1221" s="346"/>
      <c r="O1221" s="347"/>
      <c r="Y1221" s="20">
        <f t="shared" si="66"/>
        <v>1</v>
      </c>
      <c r="AA1221" s="98">
        <f t="shared" si="67"/>
        <v>1.7409999999999997</v>
      </c>
      <c r="AB1221" s="350" t="e">
        <f t="shared" si="68"/>
        <v>#VALUE!</v>
      </c>
    </row>
    <row r="1222" spans="8:28" ht="22.15" customHeight="1" x14ac:dyDescent="0.25">
      <c r="H1222" s="346"/>
      <c r="O1222" s="347"/>
      <c r="Y1222" s="20">
        <f t="shared" si="66"/>
        <v>1</v>
      </c>
      <c r="AA1222" s="98">
        <f t="shared" si="67"/>
        <v>1.7209999999999965</v>
      </c>
      <c r="AB1222" s="350" t="e">
        <f t="shared" si="68"/>
        <v>#VALUE!</v>
      </c>
    </row>
    <row r="1223" spans="8:28" ht="22.15" customHeight="1" x14ac:dyDescent="0.25">
      <c r="H1223" s="346"/>
      <c r="O1223" s="347"/>
      <c r="Y1223" s="20">
        <f t="shared" si="66"/>
        <v>1</v>
      </c>
      <c r="AA1223" s="98">
        <f t="shared" si="67"/>
        <v>4.0799999999999983</v>
      </c>
      <c r="AB1223" s="350" t="e">
        <f t="shared" si="68"/>
        <v>#VALUE!</v>
      </c>
    </row>
    <row r="1224" spans="8:28" ht="22.15" customHeight="1" x14ac:dyDescent="0.25">
      <c r="H1224" s="346"/>
      <c r="O1224" s="347"/>
      <c r="Y1224" s="20">
        <f t="shared" si="66"/>
        <v>1</v>
      </c>
      <c r="AA1224" s="98">
        <f t="shared" si="67"/>
        <v>4.0799999999999983</v>
      </c>
      <c r="AB1224" s="350" t="e">
        <f t="shared" si="68"/>
        <v>#VALUE!</v>
      </c>
    </row>
    <row r="1225" spans="8:28" ht="22.15" customHeight="1" x14ac:dyDescent="0.25">
      <c r="H1225" s="346"/>
      <c r="O1225" s="347"/>
      <c r="Y1225" s="20">
        <f t="shared" si="66"/>
        <v>1</v>
      </c>
      <c r="AA1225" s="98">
        <f t="shared" si="67"/>
        <v>4.0799999999999983</v>
      </c>
      <c r="AB1225" s="350" t="e">
        <f t="shared" si="68"/>
        <v>#VALUE!</v>
      </c>
    </row>
    <row r="1226" spans="8:28" ht="22.15" customHeight="1" x14ac:dyDescent="0.25">
      <c r="H1226" s="346"/>
      <c r="O1226" s="347"/>
      <c r="Y1226" s="20">
        <f t="shared" si="66"/>
        <v>1</v>
      </c>
      <c r="AA1226" s="98">
        <f t="shared" si="67"/>
        <v>4.2494000000000014</v>
      </c>
      <c r="AB1226" s="350" t="e">
        <f t="shared" si="68"/>
        <v>#VALUE!</v>
      </c>
    </row>
    <row r="1227" spans="8:28" ht="22.15" customHeight="1" x14ac:dyDescent="0.25">
      <c r="H1227" s="346"/>
      <c r="O1227" s="347"/>
      <c r="Y1227" s="20">
        <f t="shared" si="66"/>
        <v>1</v>
      </c>
      <c r="AA1227" s="98">
        <f t="shared" si="67"/>
        <v>4.2494000000000014</v>
      </c>
      <c r="AB1227" s="350" t="e">
        <f t="shared" si="68"/>
        <v>#VALUE!</v>
      </c>
    </row>
    <row r="1228" spans="8:28" ht="22.15" customHeight="1" x14ac:dyDescent="0.25">
      <c r="H1228" s="346"/>
      <c r="O1228" s="347"/>
      <c r="Y1228" s="20">
        <f t="shared" si="66"/>
        <v>1</v>
      </c>
      <c r="AA1228" s="98">
        <f t="shared" si="67"/>
        <v>4.2494000000000014</v>
      </c>
      <c r="AB1228" s="350" t="e">
        <f t="shared" si="68"/>
        <v>#VALUE!</v>
      </c>
    </row>
    <row r="1229" spans="8:28" ht="22.15" customHeight="1" x14ac:dyDescent="0.25">
      <c r="H1229" s="346"/>
      <c r="O1229" s="347"/>
      <c r="Y1229" s="20">
        <f t="shared" ref="Y1229:Y1260" si="69">COUNTIF(K:K,K1129)</f>
        <v>1</v>
      </c>
      <c r="AA1229" s="98" t="e">
        <f t="shared" ref="AA1229:AA1292" si="70">H1129-I1129</f>
        <v>#VALUE!</v>
      </c>
      <c r="AB1229" s="350" t="e">
        <f t="shared" ref="AB1229:AB1292" si="71">R1129-H1129</f>
        <v>#VALUE!</v>
      </c>
    </row>
    <row r="1230" spans="8:28" ht="22.15" customHeight="1" x14ac:dyDescent="0.25">
      <c r="H1230" s="346"/>
      <c r="O1230" s="347"/>
      <c r="Y1230" s="20">
        <f t="shared" si="69"/>
        <v>1</v>
      </c>
      <c r="AA1230" s="98" t="e">
        <f t="shared" si="70"/>
        <v>#VALUE!</v>
      </c>
      <c r="AB1230" s="350" t="e">
        <f t="shared" si="71"/>
        <v>#VALUE!</v>
      </c>
    </row>
    <row r="1231" spans="8:28" ht="22.15" customHeight="1" x14ac:dyDescent="0.25">
      <c r="H1231" s="346"/>
      <c r="O1231" s="347"/>
      <c r="Y1231" s="20">
        <f t="shared" si="69"/>
        <v>1</v>
      </c>
      <c r="AA1231" s="98" t="e">
        <f t="shared" si="70"/>
        <v>#VALUE!</v>
      </c>
      <c r="AB1231" s="350" t="e">
        <f t="shared" si="71"/>
        <v>#VALUE!</v>
      </c>
    </row>
    <row r="1232" spans="8:28" ht="22.15" customHeight="1" x14ac:dyDescent="0.25">
      <c r="H1232" s="346"/>
      <c r="O1232" s="347"/>
      <c r="Y1232" s="20">
        <f t="shared" si="69"/>
        <v>1</v>
      </c>
      <c r="AA1232" s="98" t="e">
        <f t="shared" si="70"/>
        <v>#VALUE!</v>
      </c>
      <c r="AB1232" s="350" t="e">
        <f t="shared" si="71"/>
        <v>#VALUE!</v>
      </c>
    </row>
    <row r="1233" spans="8:28" ht="22.15" customHeight="1" x14ac:dyDescent="0.25">
      <c r="H1233" s="346"/>
      <c r="O1233" s="347"/>
      <c r="Y1233" s="20">
        <f t="shared" si="69"/>
        <v>1</v>
      </c>
      <c r="AA1233" s="98" t="e">
        <f t="shared" si="70"/>
        <v>#VALUE!</v>
      </c>
      <c r="AB1233" s="350" t="e">
        <f t="shared" si="71"/>
        <v>#VALUE!</v>
      </c>
    </row>
    <row r="1234" spans="8:28" ht="22.15" customHeight="1" x14ac:dyDescent="0.25">
      <c r="H1234" s="346"/>
      <c r="O1234" s="347"/>
      <c r="Y1234" s="20">
        <f t="shared" si="69"/>
        <v>1</v>
      </c>
      <c r="AA1234" s="98" t="e">
        <f t="shared" si="70"/>
        <v>#VALUE!</v>
      </c>
      <c r="AB1234" s="350" t="e">
        <f t="shared" si="71"/>
        <v>#VALUE!</v>
      </c>
    </row>
    <row r="1235" spans="8:28" ht="22.15" customHeight="1" x14ac:dyDescent="0.25">
      <c r="H1235" s="346"/>
      <c r="O1235" s="347"/>
      <c r="Y1235" s="20">
        <f t="shared" si="69"/>
        <v>1</v>
      </c>
      <c r="AA1235" s="98" t="e">
        <f t="shared" si="70"/>
        <v>#VALUE!</v>
      </c>
      <c r="AB1235" s="350" t="e">
        <f t="shared" si="71"/>
        <v>#VALUE!</v>
      </c>
    </row>
    <row r="1236" spans="8:28" ht="22.15" customHeight="1" x14ac:dyDescent="0.25">
      <c r="H1236" s="346"/>
      <c r="O1236" s="347"/>
      <c r="Y1236" s="20">
        <f t="shared" si="69"/>
        <v>1</v>
      </c>
      <c r="AA1236" s="98" t="e">
        <f t="shared" si="70"/>
        <v>#VALUE!</v>
      </c>
      <c r="AB1236" s="350" t="e">
        <f t="shared" si="71"/>
        <v>#VALUE!</v>
      </c>
    </row>
    <row r="1237" spans="8:28" ht="22.15" customHeight="1" x14ac:dyDescent="0.25">
      <c r="H1237" s="346"/>
      <c r="O1237" s="347"/>
      <c r="Y1237" s="20">
        <f t="shared" si="69"/>
        <v>1</v>
      </c>
      <c r="AA1237" s="98" t="e">
        <f t="shared" si="70"/>
        <v>#VALUE!</v>
      </c>
      <c r="AB1237" s="350" t="e">
        <f t="shared" si="71"/>
        <v>#VALUE!</v>
      </c>
    </row>
    <row r="1238" spans="8:28" ht="22.15" customHeight="1" x14ac:dyDescent="0.25">
      <c r="H1238" s="346"/>
      <c r="O1238" s="347"/>
      <c r="Y1238" s="20">
        <f t="shared" si="69"/>
        <v>1</v>
      </c>
      <c r="AA1238" s="98" t="e">
        <f t="shared" si="70"/>
        <v>#VALUE!</v>
      </c>
      <c r="AB1238" s="350" t="e">
        <f t="shared" si="71"/>
        <v>#VALUE!</v>
      </c>
    </row>
    <row r="1239" spans="8:28" ht="22.15" customHeight="1" x14ac:dyDescent="0.25">
      <c r="H1239" s="346"/>
      <c r="O1239" s="347"/>
      <c r="Y1239" s="20">
        <f t="shared" si="69"/>
        <v>1</v>
      </c>
      <c r="AA1239" s="98" t="e">
        <f t="shared" si="70"/>
        <v>#VALUE!</v>
      </c>
      <c r="AB1239" s="350" t="e">
        <f t="shared" si="71"/>
        <v>#VALUE!</v>
      </c>
    </row>
    <row r="1240" spans="8:28" ht="22.15" customHeight="1" x14ac:dyDescent="0.25">
      <c r="H1240" s="346"/>
      <c r="O1240" s="347"/>
      <c r="Y1240" s="20">
        <f t="shared" si="69"/>
        <v>1</v>
      </c>
      <c r="AA1240" s="98" t="e">
        <f t="shared" si="70"/>
        <v>#VALUE!</v>
      </c>
      <c r="AB1240" s="350" t="e">
        <f t="shared" si="71"/>
        <v>#VALUE!</v>
      </c>
    </row>
    <row r="1241" spans="8:28" ht="22.15" customHeight="1" x14ac:dyDescent="0.25">
      <c r="H1241" s="346"/>
      <c r="O1241" s="347"/>
      <c r="Y1241" s="20">
        <f t="shared" si="69"/>
        <v>1</v>
      </c>
      <c r="AA1241" s="98" t="e">
        <f t="shared" si="70"/>
        <v>#VALUE!</v>
      </c>
      <c r="AB1241" s="350" t="e">
        <f t="shared" si="71"/>
        <v>#VALUE!</v>
      </c>
    </row>
    <row r="1242" spans="8:28" ht="22.15" customHeight="1" x14ac:dyDescent="0.25">
      <c r="H1242" s="346"/>
      <c r="O1242" s="347"/>
      <c r="Y1242" s="20">
        <f t="shared" si="69"/>
        <v>1</v>
      </c>
      <c r="AA1242" s="98" t="e">
        <f t="shared" si="70"/>
        <v>#VALUE!</v>
      </c>
      <c r="AB1242" s="350" t="e">
        <f t="shared" si="71"/>
        <v>#VALUE!</v>
      </c>
    </row>
    <row r="1243" spans="8:28" ht="22.15" customHeight="1" x14ac:dyDescent="0.25">
      <c r="H1243" s="346"/>
      <c r="O1243" s="347"/>
      <c r="Y1243" s="20">
        <f t="shared" si="69"/>
        <v>1</v>
      </c>
      <c r="AA1243" s="98" t="e">
        <f t="shared" si="70"/>
        <v>#VALUE!</v>
      </c>
      <c r="AB1243" s="350" t="e">
        <f t="shared" si="71"/>
        <v>#VALUE!</v>
      </c>
    </row>
    <row r="1244" spans="8:28" ht="22.15" customHeight="1" x14ac:dyDescent="0.25">
      <c r="H1244" s="346"/>
      <c r="O1244" s="347"/>
      <c r="Y1244" s="20">
        <f t="shared" si="69"/>
        <v>1</v>
      </c>
      <c r="AA1244" s="98" t="e">
        <f t="shared" si="70"/>
        <v>#VALUE!</v>
      </c>
      <c r="AB1244" s="350" t="e">
        <f t="shared" si="71"/>
        <v>#VALUE!</v>
      </c>
    </row>
    <row r="1245" spans="8:28" ht="22.15" customHeight="1" x14ac:dyDescent="0.25">
      <c r="H1245" s="346"/>
      <c r="O1245" s="347"/>
      <c r="Y1245" s="20">
        <f t="shared" si="69"/>
        <v>1</v>
      </c>
      <c r="AA1245" s="98" t="e">
        <f t="shared" si="70"/>
        <v>#VALUE!</v>
      </c>
      <c r="AB1245" s="350" t="e">
        <f t="shared" si="71"/>
        <v>#VALUE!</v>
      </c>
    </row>
    <row r="1246" spans="8:28" ht="22.15" customHeight="1" x14ac:dyDescent="0.25">
      <c r="H1246" s="346"/>
      <c r="O1246" s="347"/>
      <c r="Y1246" s="20">
        <f t="shared" si="69"/>
        <v>1</v>
      </c>
      <c r="AA1246" s="98" t="e">
        <f t="shared" si="70"/>
        <v>#VALUE!</v>
      </c>
      <c r="AB1246" s="350" t="e">
        <f t="shared" si="71"/>
        <v>#VALUE!</v>
      </c>
    </row>
    <row r="1247" spans="8:28" ht="22.15" customHeight="1" x14ac:dyDescent="0.25">
      <c r="H1247" s="346"/>
      <c r="O1247" s="347"/>
      <c r="Y1247" s="20">
        <f t="shared" si="69"/>
        <v>1</v>
      </c>
      <c r="AA1247" s="98" t="e">
        <f t="shared" si="70"/>
        <v>#VALUE!</v>
      </c>
      <c r="AB1247" s="350" t="e">
        <f t="shared" si="71"/>
        <v>#VALUE!</v>
      </c>
    </row>
    <row r="1248" spans="8:28" ht="22.15" customHeight="1" x14ac:dyDescent="0.25">
      <c r="H1248" s="346"/>
      <c r="O1248" s="347"/>
      <c r="Y1248" s="20">
        <f t="shared" si="69"/>
        <v>1</v>
      </c>
      <c r="AA1248" s="98" t="e">
        <f t="shared" si="70"/>
        <v>#VALUE!</v>
      </c>
      <c r="AB1248" s="350" t="e">
        <f t="shared" si="71"/>
        <v>#VALUE!</v>
      </c>
    </row>
    <row r="1249" spans="8:28" ht="22.15" customHeight="1" x14ac:dyDescent="0.25">
      <c r="H1249" s="346"/>
      <c r="O1249" s="347"/>
      <c r="Y1249" s="20">
        <f t="shared" si="69"/>
        <v>1</v>
      </c>
      <c r="AA1249" s="98" t="e">
        <f t="shared" si="70"/>
        <v>#VALUE!</v>
      </c>
      <c r="AB1249" s="350" t="e">
        <f t="shared" si="71"/>
        <v>#VALUE!</v>
      </c>
    </row>
    <row r="1250" spans="8:28" ht="22.15" customHeight="1" x14ac:dyDescent="0.25">
      <c r="H1250" s="346"/>
      <c r="O1250" s="347"/>
      <c r="Y1250" s="20">
        <f t="shared" si="69"/>
        <v>1</v>
      </c>
      <c r="AA1250" s="98" t="e">
        <f t="shared" si="70"/>
        <v>#VALUE!</v>
      </c>
      <c r="AB1250" s="350" t="e">
        <f t="shared" si="71"/>
        <v>#VALUE!</v>
      </c>
    </row>
    <row r="1251" spans="8:28" ht="22.15" customHeight="1" x14ac:dyDescent="0.25">
      <c r="H1251" s="346"/>
      <c r="O1251" s="347"/>
      <c r="Y1251" s="20">
        <f t="shared" si="69"/>
        <v>1</v>
      </c>
      <c r="AA1251" s="98" t="e">
        <f t="shared" si="70"/>
        <v>#VALUE!</v>
      </c>
      <c r="AB1251" s="350" t="e">
        <f t="shared" si="71"/>
        <v>#VALUE!</v>
      </c>
    </row>
    <row r="1252" spans="8:28" ht="22.15" customHeight="1" x14ac:dyDescent="0.25">
      <c r="H1252" s="346"/>
      <c r="O1252" s="347"/>
      <c r="Y1252" s="20">
        <f t="shared" si="69"/>
        <v>1</v>
      </c>
      <c r="AA1252" s="98" t="e">
        <f t="shared" si="70"/>
        <v>#VALUE!</v>
      </c>
      <c r="AB1252" s="350" t="e">
        <f t="shared" si="71"/>
        <v>#VALUE!</v>
      </c>
    </row>
    <row r="1253" spans="8:28" ht="22.15" customHeight="1" x14ac:dyDescent="0.25">
      <c r="H1253" s="346"/>
      <c r="O1253" s="347"/>
      <c r="Y1253" s="20">
        <f t="shared" si="69"/>
        <v>1</v>
      </c>
      <c r="AA1253" s="98" t="e">
        <f t="shared" si="70"/>
        <v>#VALUE!</v>
      </c>
      <c r="AB1253" s="350" t="e">
        <f t="shared" si="71"/>
        <v>#VALUE!</v>
      </c>
    </row>
    <row r="1254" spans="8:28" ht="22.15" customHeight="1" x14ac:dyDescent="0.25">
      <c r="H1254" s="346"/>
      <c r="O1254" s="347"/>
      <c r="Y1254" s="20">
        <f t="shared" si="69"/>
        <v>1</v>
      </c>
      <c r="AA1254" s="98" t="e">
        <f t="shared" si="70"/>
        <v>#VALUE!</v>
      </c>
      <c r="AB1254" s="350" t="e">
        <f t="shared" si="71"/>
        <v>#VALUE!</v>
      </c>
    </row>
    <row r="1255" spans="8:28" ht="22.15" customHeight="1" x14ac:dyDescent="0.25">
      <c r="H1255" s="346"/>
      <c r="O1255" s="347"/>
      <c r="Y1255" s="20">
        <f t="shared" si="69"/>
        <v>1</v>
      </c>
      <c r="AA1255" s="98" t="e">
        <f t="shared" si="70"/>
        <v>#VALUE!</v>
      </c>
      <c r="AB1255" s="350" t="e">
        <f t="shared" si="71"/>
        <v>#VALUE!</v>
      </c>
    </row>
    <row r="1256" spans="8:28" ht="22.15" customHeight="1" x14ac:dyDescent="0.25">
      <c r="H1256" s="346"/>
      <c r="O1256" s="347"/>
      <c r="Y1256" s="20">
        <f t="shared" si="69"/>
        <v>1</v>
      </c>
      <c r="AA1256" s="98" t="e">
        <f t="shared" si="70"/>
        <v>#VALUE!</v>
      </c>
      <c r="AB1256" s="350" t="e">
        <f t="shared" si="71"/>
        <v>#VALUE!</v>
      </c>
    </row>
    <row r="1257" spans="8:28" ht="22.15" customHeight="1" x14ac:dyDescent="0.25">
      <c r="H1257" s="346"/>
      <c r="O1257" s="347"/>
      <c r="Y1257" s="20">
        <f t="shared" si="69"/>
        <v>1</v>
      </c>
      <c r="AA1257" s="98" t="e">
        <f t="shared" si="70"/>
        <v>#VALUE!</v>
      </c>
      <c r="AB1257" s="350" t="e">
        <f t="shared" si="71"/>
        <v>#VALUE!</v>
      </c>
    </row>
    <row r="1258" spans="8:28" ht="22.15" customHeight="1" x14ac:dyDescent="0.25">
      <c r="H1258" s="346"/>
      <c r="O1258" s="347"/>
      <c r="Y1258" s="20">
        <f t="shared" si="69"/>
        <v>1</v>
      </c>
      <c r="AA1258" s="98" t="e">
        <f t="shared" si="70"/>
        <v>#VALUE!</v>
      </c>
      <c r="AB1258" s="350" t="e">
        <f t="shared" si="71"/>
        <v>#VALUE!</v>
      </c>
    </row>
    <row r="1259" spans="8:28" ht="22.15" customHeight="1" x14ac:dyDescent="0.25">
      <c r="H1259" s="346"/>
      <c r="O1259" s="347"/>
      <c r="Y1259" s="20">
        <f t="shared" si="69"/>
        <v>1</v>
      </c>
      <c r="AA1259" s="98" t="e">
        <f t="shared" si="70"/>
        <v>#VALUE!</v>
      </c>
      <c r="AB1259" s="350" t="e">
        <f t="shared" si="71"/>
        <v>#VALUE!</v>
      </c>
    </row>
    <row r="1260" spans="8:28" ht="22.15" customHeight="1" x14ac:dyDescent="0.25">
      <c r="H1260" s="346"/>
      <c r="O1260" s="347"/>
      <c r="Y1260" s="20">
        <f t="shared" si="69"/>
        <v>1</v>
      </c>
      <c r="AA1260" s="98" t="e">
        <f t="shared" si="70"/>
        <v>#VALUE!</v>
      </c>
      <c r="AB1260" s="350" t="e">
        <f t="shared" si="71"/>
        <v>#VALUE!</v>
      </c>
    </row>
    <row r="1261" spans="8:28" ht="22.15" customHeight="1" x14ac:dyDescent="0.25">
      <c r="H1261" s="346"/>
      <c r="O1261" s="347"/>
      <c r="Y1261" s="20">
        <f t="shared" ref="Y1261:Y1292" si="72">COUNTIF(K:K,K1161)</f>
        <v>1</v>
      </c>
      <c r="AA1261" s="98" t="e">
        <f t="shared" si="70"/>
        <v>#VALUE!</v>
      </c>
      <c r="AB1261" s="350" t="e">
        <f t="shared" si="71"/>
        <v>#VALUE!</v>
      </c>
    </row>
    <row r="1262" spans="8:28" ht="22.15" customHeight="1" x14ac:dyDescent="0.25">
      <c r="H1262" s="346"/>
      <c r="O1262" s="347"/>
      <c r="Y1262" s="20">
        <f t="shared" si="72"/>
        <v>1</v>
      </c>
      <c r="AA1262" s="98" t="e">
        <f t="shared" si="70"/>
        <v>#VALUE!</v>
      </c>
      <c r="AB1262" s="350" t="e">
        <f t="shared" si="71"/>
        <v>#VALUE!</v>
      </c>
    </row>
    <row r="1263" spans="8:28" ht="22.15" customHeight="1" x14ac:dyDescent="0.25">
      <c r="H1263" s="346"/>
      <c r="O1263" s="347"/>
      <c r="Y1263" s="20">
        <f t="shared" si="72"/>
        <v>1</v>
      </c>
      <c r="AA1263" s="98" t="e">
        <f t="shared" si="70"/>
        <v>#VALUE!</v>
      </c>
      <c r="AB1263" s="350" t="e">
        <f t="shared" si="71"/>
        <v>#VALUE!</v>
      </c>
    </row>
    <row r="1264" spans="8:28" ht="22.15" customHeight="1" x14ac:dyDescent="0.25">
      <c r="H1264" s="346"/>
      <c r="O1264" s="347"/>
      <c r="Y1264" s="20">
        <f t="shared" si="72"/>
        <v>1</v>
      </c>
      <c r="AA1264" s="98" t="e">
        <f t="shared" si="70"/>
        <v>#VALUE!</v>
      </c>
      <c r="AB1264" s="350" t="e">
        <f t="shared" si="71"/>
        <v>#VALUE!</v>
      </c>
    </row>
    <row r="1265" spans="8:28" ht="22.15" customHeight="1" x14ac:dyDescent="0.25">
      <c r="H1265" s="346"/>
      <c r="O1265" s="347"/>
      <c r="Y1265" s="20">
        <f t="shared" si="72"/>
        <v>1</v>
      </c>
      <c r="AA1265" s="98" t="e">
        <f t="shared" si="70"/>
        <v>#VALUE!</v>
      </c>
      <c r="AB1265" s="350" t="e">
        <f t="shared" si="71"/>
        <v>#VALUE!</v>
      </c>
    </row>
    <row r="1266" spans="8:28" ht="22.15" customHeight="1" x14ac:dyDescent="0.25">
      <c r="H1266" s="346"/>
      <c r="O1266" s="347"/>
      <c r="Y1266" s="20">
        <f t="shared" si="72"/>
        <v>1</v>
      </c>
      <c r="AA1266" s="98" t="e">
        <f t="shared" si="70"/>
        <v>#VALUE!</v>
      </c>
      <c r="AB1266" s="350" t="e">
        <f t="shared" si="71"/>
        <v>#VALUE!</v>
      </c>
    </row>
    <row r="1267" spans="8:28" ht="22.15" customHeight="1" x14ac:dyDescent="0.25">
      <c r="H1267" s="346"/>
      <c r="O1267" s="347"/>
      <c r="Y1267" s="20">
        <f t="shared" si="72"/>
        <v>1</v>
      </c>
      <c r="AA1267" s="98" t="e">
        <f t="shared" si="70"/>
        <v>#VALUE!</v>
      </c>
      <c r="AB1267" s="350" t="e">
        <f t="shared" si="71"/>
        <v>#VALUE!</v>
      </c>
    </row>
    <row r="1268" spans="8:28" ht="22.15" customHeight="1" x14ac:dyDescent="0.25">
      <c r="H1268" s="346"/>
      <c r="O1268" s="347"/>
      <c r="Y1268" s="20">
        <f t="shared" si="72"/>
        <v>1</v>
      </c>
      <c r="AA1268" s="98" t="e">
        <f t="shared" si="70"/>
        <v>#VALUE!</v>
      </c>
      <c r="AB1268" s="350" t="e">
        <f t="shared" si="71"/>
        <v>#VALUE!</v>
      </c>
    </row>
    <row r="1269" spans="8:28" ht="22.15" customHeight="1" x14ac:dyDescent="0.25">
      <c r="H1269" s="346"/>
      <c r="O1269" s="347"/>
      <c r="Y1269" s="20">
        <f t="shared" si="72"/>
        <v>1</v>
      </c>
      <c r="AA1269" s="98" t="e">
        <f t="shared" si="70"/>
        <v>#VALUE!</v>
      </c>
      <c r="AB1269" s="350" t="e">
        <f t="shared" si="71"/>
        <v>#VALUE!</v>
      </c>
    </row>
    <row r="1270" spans="8:28" ht="22.15" customHeight="1" x14ac:dyDescent="0.25">
      <c r="H1270" s="346"/>
      <c r="O1270" s="347"/>
      <c r="Y1270" s="20">
        <f t="shared" si="72"/>
        <v>1</v>
      </c>
      <c r="AA1270" s="98" t="e">
        <f t="shared" si="70"/>
        <v>#VALUE!</v>
      </c>
      <c r="AB1270" s="350" t="e">
        <f t="shared" si="71"/>
        <v>#VALUE!</v>
      </c>
    </row>
    <row r="1271" spans="8:28" ht="22.15" customHeight="1" x14ac:dyDescent="0.25">
      <c r="H1271" s="346"/>
      <c r="O1271" s="347"/>
      <c r="Y1271" s="20">
        <f t="shared" si="72"/>
        <v>1</v>
      </c>
      <c r="AA1271" s="98" t="e">
        <f t="shared" si="70"/>
        <v>#VALUE!</v>
      </c>
      <c r="AB1271" s="350" t="e">
        <f t="shared" si="71"/>
        <v>#VALUE!</v>
      </c>
    </row>
    <row r="1272" spans="8:28" ht="22.15" customHeight="1" x14ac:dyDescent="0.25">
      <c r="H1272" s="346"/>
      <c r="O1272" s="347"/>
      <c r="Y1272" s="20">
        <f t="shared" si="72"/>
        <v>1</v>
      </c>
      <c r="AA1272" s="98" t="e">
        <f t="shared" si="70"/>
        <v>#VALUE!</v>
      </c>
      <c r="AB1272" s="350" t="e">
        <f t="shared" si="71"/>
        <v>#VALUE!</v>
      </c>
    </row>
    <row r="1273" spans="8:28" ht="22.15" customHeight="1" x14ac:dyDescent="0.25">
      <c r="H1273" s="346"/>
      <c r="O1273" s="347"/>
      <c r="Y1273" s="20">
        <f t="shared" si="72"/>
        <v>1</v>
      </c>
      <c r="AA1273" s="98" t="e">
        <f t="shared" si="70"/>
        <v>#VALUE!</v>
      </c>
      <c r="AB1273" s="350" t="e">
        <f t="shared" si="71"/>
        <v>#VALUE!</v>
      </c>
    </row>
    <row r="1274" spans="8:28" ht="22.15" customHeight="1" x14ac:dyDescent="0.25">
      <c r="H1274" s="346"/>
      <c r="O1274" s="347"/>
      <c r="Y1274" s="20">
        <f t="shared" si="72"/>
        <v>1</v>
      </c>
      <c r="AA1274" s="98" t="e">
        <f t="shared" si="70"/>
        <v>#VALUE!</v>
      </c>
      <c r="AB1274" s="350" t="e">
        <f t="shared" si="71"/>
        <v>#VALUE!</v>
      </c>
    </row>
    <row r="1275" spans="8:28" ht="22.15" customHeight="1" x14ac:dyDescent="0.25">
      <c r="H1275" s="346"/>
      <c r="O1275" s="347"/>
      <c r="Y1275" s="20">
        <f t="shared" si="72"/>
        <v>1</v>
      </c>
      <c r="AA1275" s="98" t="e">
        <f t="shared" si="70"/>
        <v>#VALUE!</v>
      </c>
      <c r="AB1275" s="350" t="e">
        <f t="shared" si="71"/>
        <v>#VALUE!</v>
      </c>
    </row>
    <row r="1276" spans="8:28" ht="22.15" customHeight="1" x14ac:dyDescent="0.25">
      <c r="H1276" s="346"/>
      <c r="O1276" s="347"/>
      <c r="Y1276" s="20">
        <f t="shared" si="72"/>
        <v>1</v>
      </c>
      <c r="AA1276" s="98" t="e">
        <f t="shared" si="70"/>
        <v>#VALUE!</v>
      </c>
      <c r="AB1276" s="350" t="e">
        <f t="shared" si="71"/>
        <v>#VALUE!</v>
      </c>
    </row>
    <row r="1277" spans="8:28" ht="22.15" customHeight="1" x14ac:dyDescent="0.25">
      <c r="H1277" s="346"/>
      <c r="O1277" s="347"/>
      <c r="Y1277" s="20">
        <f t="shared" si="72"/>
        <v>1</v>
      </c>
      <c r="AA1277" s="98" t="e">
        <f t="shared" si="70"/>
        <v>#VALUE!</v>
      </c>
      <c r="AB1277" s="350" t="e">
        <f t="shared" si="71"/>
        <v>#VALUE!</v>
      </c>
    </row>
    <row r="1278" spans="8:28" ht="22.15" customHeight="1" x14ac:dyDescent="0.25">
      <c r="H1278" s="346"/>
      <c r="O1278" s="347"/>
      <c r="Y1278" s="20">
        <f t="shared" si="72"/>
        <v>1</v>
      </c>
      <c r="AA1278" s="98" t="e">
        <f t="shared" si="70"/>
        <v>#VALUE!</v>
      </c>
      <c r="AB1278" s="350" t="e">
        <f t="shared" si="71"/>
        <v>#VALUE!</v>
      </c>
    </row>
    <row r="1279" spans="8:28" ht="22.15" customHeight="1" x14ac:dyDescent="0.25">
      <c r="H1279" s="346"/>
      <c r="O1279" s="347"/>
      <c r="Y1279" s="20">
        <f t="shared" si="72"/>
        <v>1</v>
      </c>
      <c r="AA1279" s="98" t="e">
        <f t="shared" si="70"/>
        <v>#VALUE!</v>
      </c>
      <c r="AB1279" s="350" t="e">
        <f t="shared" si="71"/>
        <v>#VALUE!</v>
      </c>
    </row>
    <row r="1280" spans="8:28" ht="22.15" customHeight="1" x14ac:dyDescent="0.25">
      <c r="H1280" s="346"/>
      <c r="O1280" s="347"/>
      <c r="Y1280" s="20">
        <f t="shared" si="72"/>
        <v>1</v>
      </c>
      <c r="AA1280" s="98" t="e">
        <f t="shared" si="70"/>
        <v>#VALUE!</v>
      </c>
      <c r="AB1280" s="350" t="e">
        <f t="shared" si="71"/>
        <v>#VALUE!</v>
      </c>
    </row>
    <row r="1281" spans="8:28" ht="22.15" customHeight="1" x14ac:dyDescent="0.25">
      <c r="H1281" s="346"/>
      <c r="O1281" s="347"/>
      <c r="Y1281" s="20">
        <f t="shared" si="72"/>
        <v>1</v>
      </c>
      <c r="AA1281" s="98" t="e">
        <f t="shared" si="70"/>
        <v>#VALUE!</v>
      </c>
      <c r="AB1281" s="350" t="e">
        <f t="shared" si="71"/>
        <v>#VALUE!</v>
      </c>
    </row>
    <row r="1282" spans="8:28" ht="22.15" customHeight="1" x14ac:dyDescent="0.25">
      <c r="H1282" s="346"/>
      <c r="O1282" s="347"/>
      <c r="Y1282" s="20">
        <f t="shared" si="72"/>
        <v>1</v>
      </c>
      <c r="AA1282" s="98" t="e">
        <f t="shared" si="70"/>
        <v>#VALUE!</v>
      </c>
      <c r="AB1282" s="350" t="e">
        <f t="shared" si="71"/>
        <v>#VALUE!</v>
      </c>
    </row>
    <row r="1283" spans="8:28" ht="22.15" customHeight="1" x14ac:dyDescent="0.25">
      <c r="H1283" s="346"/>
      <c r="O1283" s="347"/>
      <c r="Y1283" s="20">
        <f t="shared" si="72"/>
        <v>1</v>
      </c>
      <c r="AA1283" s="98" t="e">
        <f t="shared" si="70"/>
        <v>#VALUE!</v>
      </c>
      <c r="AB1283" s="350" t="e">
        <f t="shared" si="71"/>
        <v>#VALUE!</v>
      </c>
    </row>
    <row r="1284" spans="8:28" ht="22.15" customHeight="1" x14ac:dyDescent="0.25">
      <c r="H1284" s="346"/>
      <c r="O1284" s="347"/>
      <c r="Y1284" s="20">
        <f t="shared" si="72"/>
        <v>1</v>
      </c>
      <c r="AA1284" s="98" t="e">
        <f t="shared" si="70"/>
        <v>#VALUE!</v>
      </c>
      <c r="AB1284" s="350" t="e">
        <f t="shared" si="71"/>
        <v>#VALUE!</v>
      </c>
    </row>
    <row r="1285" spans="8:28" ht="22.15" customHeight="1" x14ac:dyDescent="0.25">
      <c r="H1285" s="346"/>
      <c r="O1285" s="347"/>
      <c r="Y1285" s="20">
        <f t="shared" si="72"/>
        <v>1</v>
      </c>
      <c r="AA1285" s="98" t="e">
        <f t="shared" si="70"/>
        <v>#VALUE!</v>
      </c>
      <c r="AB1285" s="350" t="e">
        <f t="shared" si="71"/>
        <v>#VALUE!</v>
      </c>
    </row>
    <row r="1286" spans="8:28" ht="22.15" customHeight="1" x14ac:dyDescent="0.25">
      <c r="H1286" s="346"/>
      <c r="O1286" s="347"/>
      <c r="Y1286" s="20">
        <f t="shared" si="72"/>
        <v>1</v>
      </c>
      <c r="AA1286" s="98" t="e">
        <f t="shared" si="70"/>
        <v>#VALUE!</v>
      </c>
      <c r="AB1286" s="350" t="e">
        <f t="shared" si="71"/>
        <v>#VALUE!</v>
      </c>
    </row>
    <row r="1287" spans="8:28" ht="22.15" customHeight="1" x14ac:dyDescent="0.25">
      <c r="H1287" s="346"/>
      <c r="O1287" s="347"/>
      <c r="Y1287" s="20">
        <f t="shared" si="72"/>
        <v>1</v>
      </c>
      <c r="AA1287" s="98" t="e">
        <f t="shared" si="70"/>
        <v>#VALUE!</v>
      </c>
      <c r="AB1287" s="350" t="e">
        <f t="shared" si="71"/>
        <v>#VALUE!</v>
      </c>
    </row>
    <row r="1288" spans="8:28" ht="22.15" customHeight="1" x14ac:dyDescent="0.25">
      <c r="H1288" s="346"/>
      <c r="O1288" s="347"/>
      <c r="Y1288" s="20">
        <f t="shared" si="72"/>
        <v>1</v>
      </c>
      <c r="AA1288" s="98" t="e">
        <f t="shared" si="70"/>
        <v>#VALUE!</v>
      </c>
      <c r="AB1288" s="350" t="e">
        <f t="shared" si="71"/>
        <v>#VALUE!</v>
      </c>
    </row>
    <row r="1289" spans="8:28" ht="22.15" customHeight="1" x14ac:dyDescent="0.25">
      <c r="H1289" s="346"/>
      <c r="O1289" s="347"/>
      <c r="Y1289" s="20">
        <f t="shared" si="72"/>
        <v>1</v>
      </c>
      <c r="AA1289" s="98" t="e">
        <f t="shared" si="70"/>
        <v>#VALUE!</v>
      </c>
      <c r="AB1289" s="350" t="e">
        <f t="shared" si="71"/>
        <v>#VALUE!</v>
      </c>
    </row>
    <row r="1290" spans="8:28" ht="22.15" customHeight="1" x14ac:dyDescent="0.25">
      <c r="H1290" s="346"/>
      <c r="O1290" s="347"/>
      <c r="Y1290" s="20">
        <f t="shared" si="72"/>
        <v>1</v>
      </c>
      <c r="AA1290" s="98" t="e">
        <f t="shared" si="70"/>
        <v>#VALUE!</v>
      </c>
      <c r="AB1290" s="350" t="e">
        <f t="shared" si="71"/>
        <v>#VALUE!</v>
      </c>
    </row>
    <row r="1291" spans="8:28" ht="22.15" customHeight="1" x14ac:dyDescent="0.25">
      <c r="H1291" s="346"/>
      <c r="O1291" s="347"/>
      <c r="Y1291" s="20">
        <f t="shared" si="72"/>
        <v>1</v>
      </c>
      <c r="AA1291" s="98" t="e">
        <f t="shared" si="70"/>
        <v>#VALUE!</v>
      </c>
      <c r="AB1291" s="350" t="e">
        <f t="shared" si="71"/>
        <v>#VALUE!</v>
      </c>
    </row>
    <row r="1292" spans="8:28" ht="22.15" customHeight="1" x14ac:dyDescent="0.25">
      <c r="H1292" s="346"/>
      <c r="O1292" s="347"/>
      <c r="Y1292" s="20">
        <f t="shared" si="72"/>
        <v>1</v>
      </c>
      <c r="AA1292" s="98" t="e">
        <f t="shared" si="70"/>
        <v>#VALUE!</v>
      </c>
      <c r="AB1292" s="350" t="e">
        <f t="shared" si="71"/>
        <v>#VALUE!</v>
      </c>
    </row>
    <row r="1293" spans="8:28" ht="22.15" customHeight="1" x14ac:dyDescent="0.25">
      <c r="H1293" s="346"/>
      <c r="O1293" s="347"/>
      <c r="Y1293" s="20">
        <f t="shared" ref="Y1293:Y1299" si="73">COUNTIF(K:K,K1193)</f>
        <v>1</v>
      </c>
      <c r="AA1293" s="98" t="e">
        <f t="shared" ref="AA1293:AA1299" si="74">H1193-I1193</f>
        <v>#VALUE!</v>
      </c>
      <c r="AB1293" s="350" t="e">
        <f t="shared" ref="AB1293:AB1299" si="75">R1193-H1193</f>
        <v>#VALUE!</v>
      </c>
    </row>
    <row r="1294" spans="8:28" ht="22.15" customHeight="1" x14ac:dyDescent="0.25">
      <c r="H1294" s="346"/>
      <c r="O1294" s="347"/>
      <c r="Y1294" s="20">
        <f t="shared" si="73"/>
        <v>1</v>
      </c>
      <c r="AA1294" s="98" t="e">
        <f t="shared" si="74"/>
        <v>#VALUE!</v>
      </c>
      <c r="AB1294" s="350" t="e">
        <f t="shared" si="75"/>
        <v>#VALUE!</v>
      </c>
    </row>
    <row r="1295" spans="8:28" ht="22.15" customHeight="1" x14ac:dyDescent="0.25">
      <c r="H1295" s="346"/>
      <c r="O1295" s="347"/>
      <c r="Y1295" s="20">
        <f t="shared" si="73"/>
        <v>1</v>
      </c>
      <c r="AA1295" s="98" t="e">
        <f t="shared" si="74"/>
        <v>#VALUE!</v>
      </c>
      <c r="AB1295" s="350" t="e">
        <f t="shared" si="75"/>
        <v>#VALUE!</v>
      </c>
    </row>
    <row r="1296" spans="8:28" ht="22.15" customHeight="1" x14ac:dyDescent="0.25">
      <c r="H1296" s="346"/>
      <c r="O1296" s="347"/>
      <c r="Y1296" s="20">
        <f t="shared" si="73"/>
        <v>1</v>
      </c>
      <c r="AA1296" s="98" t="e">
        <f t="shared" si="74"/>
        <v>#VALUE!</v>
      </c>
      <c r="AB1296" s="350" t="e">
        <f t="shared" si="75"/>
        <v>#VALUE!</v>
      </c>
    </row>
    <row r="1297" spans="8:28" ht="22.15" customHeight="1" x14ac:dyDescent="0.25">
      <c r="H1297" s="346"/>
      <c r="O1297" s="347"/>
      <c r="Y1297" s="20">
        <f t="shared" si="73"/>
        <v>1</v>
      </c>
      <c r="AA1297" s="98" t="e">
        <f t="shared" si="74"/>
        <v>#VALUE!</v>
      </c>
      <c r="AB1297" s="350" t="e">
        <f t="shared" si="75"/>
        <v>#VALUE!</v>
      </c>
    </row>
    <row r="1298" spans="8:28" ht="22.15" customHeight="1" x14ac:dyDescent="0.25">
      <c r="H1298" s="346"/>
      <c r="O1298" s="347"/>
      <c r="Y1298" s="20">
        <f t="shared" si="73"/>
        <v>1</v>
      </c>
      <c r="AA1298" s="98" t="e">
        <f t="shared" si="74"/>
        <v>#VALUE!</v>
      </c>
      <c r="AB1298" s="350" t="e">
        <f t="shared" si="75"/>
        <v>#VALUE!</v>
      </c>
    </row>
    <row r="1299" spans="8:28" ht="22.15" customHeight="1" x14ac:dyDescent="0.25">
      <c r="H1299" s="346"/>
      <c r="O1299" s="347"/>
      <c r="Y1299" s="20">
        <f t="shared" si="73"/>
        <v>1</v>
      </c>
      <c r="AA1299" s="98" t="e">
        <f t="shared" si="74"/>
        <v>#VALUE!</v>
      </c>
      <c r="AB1299" s="350" t="e">
        <f t="shared" si="75"/>
        <v>#VALUE!</v>
      </c>
    </row>
    <row r="1300" spans="8:28" ht="22.15" customHeight="1" x14ac:dyDescent="0.25">
      <c r="H1300" s="346"/>
      <c r="O1300" s="347"/>
      <c r="Y1300" s="20">
        <f>COUNTIF(K:K,K1199)</f>
        <v>1</v>
      </c>
      <c r="AA1300" s="98" t="e">
        <f>H1199-I1199</f>
        <v>#VALUE!</v>
      </c>
      <c r="AB1300" s="350" t="e">
        <f>R1199-H1199</f>
        <v>#VALUE!</v>
      </c>
    </row>
    <row r="1301" spans="8:28" ht="22.15" customHeight="1" x14ac:dyDescent="0.25">
      <c r="H1301" s="346"/>
      <c r="O1301" s="347"/>
      <c r="Y1301" s="20">
        <f>COUNTIF(K:K,K1200)</f>
        <v>1</v>
      </c>
      <c r="AA1301" s="98" t="e">
        <f>H1200-I1200</f>
        <v>#VALUE!</v>
      </c>
      <c r="AB1301" s="350" t="e">
        <f>R1200-H1200</f>
        <v>#VALUE!</v>
      </c>
    </row>
    <row r="1302" spans="8:28" ht="22.15" customHeight="1" x14ac:dyDescent="0.25">
      <c r="H1302" s="346"/>
      <c r="O1302" s="347"/>
      <c r="Y1302" s="20">
        <f>COUNTIF(K:K,K1201)</f>
        <v>1</v>
      </c>
      <c r="AA1302" s="98" t="e">
        <f>H1201-I1201</f>
        <v>#VALUE!</v>
      </c>
      <c r="AB1302" s="350" t="e">
        <f>R1201-H1201</f>
        <v>#VALUE!</v>
      </c>
    </row>
    <row r="1303" spans="8:28" ht="22.15" customHeight="1" x14ac:dyDescent="0.25">
      <c r="H1303" s="346"/>
      <c r="O1303" s="347"/>
      <c r="Y1303" s="20">
        <f t="shared" ref="Y1303:Y1334" si="76">COUNTIF(K:K,K1203)</f>
        <v>0</v>
      </c>
      <c r="AA1303" s="98">
        <f t="shared" ref="AA1303:AA1366" si="77">H1203-I1203</f>
        <v>0</v>
      </c>
      <c r="AB1303" s="350">
        <f t="shared" ref="AB1303:AB1366" si="78">R1203-H1203</f>
        <v>0</v>
      </c>
    </row>
    <row r="1304" spans="8:28" ht="22.15" customHeight="1" x14ac:dyDescent="0.25">
      <c r="H1304" s="346"/>
      <c r="O1304" s="347"/>
      <c r="Y1304" s="20">
        <f t="shared" si="76"/>
        <v>0</v>
      </c>
      <c r="AA1304" s="98">
        <f t="shared" si="77"/>
        <v>0</v>
      </c>
      <c r="AB1304" s="350">
        <f t="shared" si="78"/>
        <v>0</v>
      </c>
    </row>
    <row r="1305" spans="8:28" ht="22.15" customHeight="1" x14ac:dyDescent="0.25">
      <c r="H1305" s="346"/>
      <c r="O1305" s="347"/>
      <c r="Y1305" s="20">
        <f t="shared" si="76"/>
        <v>0</v>
      </c>
      <c r="AA1305" s="98">
        <f t="shared" si="77"/>
        <v>0</v>
      </c>
      <c r="AB1305" s="350">
        <f t="shared" si="78"/>
        <v>0</v>
      </c>
    </row>
    <row r="1306" spans="8:28" ht="22.15" customHeight="1" x14ac:dyDescent="0.25">
      <c r="H1306" s="346"/>
      <c r="O1306" s="347"/>
      <c r="Y1306" s="20">
        <f t="shared" si="76"/>
        <v>0</v>
      </c>
      <c r="AA1306" s="98">
        <f t="shared" si="77"/>
        <v>0</v>
      </c>
      <c r="AB1306" s="350">
        <f t="shared" si="78"/>
        <v>0</v>
      </c>
    </row>
    <row r="1307" spans="8:28" ht="22.15" customHeight="1" x14ac:dyDescent="0.25">
      <c r="H1307" s="346"/>
      <c r="O1307" s="347"/>
      <c r="Y1307" s="20">
        <f t="shared" si="76"/>
        <v>0</v>
      </c>
      <c r="AA1307" s="98">
        <f t="shared" si="77"/>
        <v>0</v>
      </c>
      <c r="AB1307" s="350">
        <f t="shared" si="78"/>
        <v>0</v>
      </c>
    </row>
    <row r="1308" spans="8:28" ht="22.15" customHeight="1" x14ac:dyDescent="0.25">
      <c r="H1308" s="346"/>
      <c r="O1308" s="347"/>
      <c r="Y1308" s="20">
        <f t="shared" si="76"/>
        <v>0</v>
      </c>
      <c r="AA1308" s="98">
        <f t="shared" si="77"/>
        <v>0</v>
      </c>
      <c r="AB1308" s="350">
        <f t="shared" si="78"/>
        <v>0</v>
      </c>
    </row>
    <row r="1309" spans="8:28" ht="22.15" customHeight="1" x14ac:dyDescent="0.25">
      <c r="H1309" s="346"/>
      <c r="O1309" s="347"/>
      <c r="Y1309" s="20">
        <f t="shared" si="76"/>
        <v>0</v>
      </c>
      <c r="AA1309" s="98">
        <f t="shared" si="77"/>
        <v>0</v>
      </c>
      <c r="AB1309" s="350">
        <f t="shared" si="78"/>
        <v>0</v>
      </c>
    </row>
    <row r="1310" spans="8:28" ht="22.15" customHeight="1" x14ac:dyDescent="0.25">
      <c r="H1310" s="346"/>
      <c r="O1310" s="347"/>
      <c r="Y1310" s="20">
        <f t="shared" si="76"/>
        <v>0</v>
      </c>
      <c r="AA1310" s="98">
        <f t="shared" si="77"/>
        <v>0</v>
      </c>
      <c r="AB1310" s="350">
        <f t="shared" si="78"/>
        <v>0</v>
      </c>
    </row>
    <row r="1311" spans="8:28" ht="22.15" customHeight="1" x14ac:dyDescent="0.25">
      <c r="H1311" s="346"/>
      <c r="O1311" s="347"/>
      <c r="Y1311" s="20">
        <f t="shared" si="76"/>
        <v>0</v>
      </c>
      <c r="AA1311" s="98">
        <f t="shared" si="77"/>
        <v>0</v>
      </c>
      <c r="AB1311" s="350">
        <f t="shared" si="78"/>
        <v>0</v>
      </c>
    </row>
    <row r="1312" spans="8:28" ht="22.15" customHeight="1" x14ac:dyDescent="0.25">
      <c r="H1312" s="346"/>
      <c r="O1312" s="347"/>
      <c r="Y1312" s="20">
        <f t="shared" si="76"/>
        <v>0</v>
      </c>
      <c r="AA1312" s="98">
        <f t="shared" si="77"/>
        <v>0</v>
      </c>
      <c r="AB1312" s="350">
        <f t="shared" si="78"/>
        <v>0</v>
      </c>
    </row>
    <row r="1313" spans="8:28" ht="22.15" customHeight="1" x14ac:dyDescent="0.25">
      <c r="H1313" s="346"/>
      <c r="O1313" s="347"/>
      <c r="Y1313" s="20">
        <f t="shared" si="76"/>
        <v>0</v>
      </c>
      <c r="AA1313" s="98">
        <f t="shared" si="77"/>
        <v>0</v>
      </c>
      <c r="AB1313" s="350">
        <f t="shared" si="78"/>
        <v>0</v>
      </c>
    </row>
    <row r="1314" spans="8:28" ht="22.15" customHeight="1" x14ac:dyDescent="0.25">
      <c r="H1314" s="346"/>
      <c r="O1314" s="347"/>
      <c r="Y1314" s="20">
        <f t="shared" si="76"/>
        <v>0</v>
      </c>
      <c r="AA1314" s="98">
        <f t="shared" si="77"/>
        <v>0</v>
      </c>
      <c r="AB1314" s="350">
        <f t="shared" si="78"/>
        <v>0</v>
      </c>
    </row>
    <row r="1315" spans="8:28" ht="22.15" customHeight="1" x14ac:dyDescent="0.25">
      <c r="H1315" s="346"/>
      <c r="O1315" s="347"/>
      <c r="Y1315" s="20">
        <f t="shared" si="76"/>
        <v>0</v>
      </c>
      <c r="AA1315" s="98">
        <f t="shared" si="77"/>
        <v>0</v>
      </c>
      <c r="AB1315" s="350">
        <f t="shared" si="78"/>
        <v>0</v>
      </c>
    </row>
    <row r="1316" spans="8:28" ht="22.15" customHeight="1" x14ac:dyDescent="0.25">
      <c r="H1316" s="346"/>
      <c r="O1316" s="347"/>
      <c r="Y1316" s="20">
        <f t="shared" si="76"/>
        <v>0</v>
      </c>
      <c r="AA1316" s="98">
        <f t="shared" si="77"/>
        <v>0</v>
      </c>
      <c r="AB1316" s="350">
        <f t="shared" si="78"/>
        <v>0</v>
      </c>
    </row>
    <row r="1317" spans="8:28" ht="22.15" customHeight="1" x14ac:dyDescent="0.25">
      <c r="H1317" s="346"/>
      <c r="O1317" s="347"/>
      <c r="Y1317" s="20">
        <f t="shared" si="76"/>
        <v>0</v>
      </c>
      <c r="AA1317" s="98">
        <f t="shared" si="77"/>
        <v>0</v>
      </c>
      <c r="AB1317" s="350">
        <f t="shared" si="78"/>
        <v>0</v>
      </c>
    </row>
    <row r="1318" spans="8:28" ht="22.15" customHeight="1" x14ac:dyDescent="0.25">
      <c r="H1318" s="346"/>
      <c r="O1318" s="347"/>
      <c r="Y1318" s="20">
        <f t="shared" si="76"/>
        <v>0</v>
      </c>
      <c r="AA1318" s="98">
        <f t="shared" si="77"/>
        <v>0</v>
      </c>
      <c r="AB1318" s="350">
        <f t="shared" si="78"/>
        <v>0</v>
      </c>
    </row>
    <row r="1319" spans="8:28" ht="22.15" customHeight="1" x14ac:dyDescent="0.25">
      <c r="H1319" s="346"/>
      <c r="O1319" s="347"/>
      <c r="Y1319" s="20">
        <f t="shared" si="76"/>
        <v>0</v>
      </c>
      <c r="AA1319" s="98">
        <f t="shared" si="77"/>
        <v>0</v>
      </c>
      <c r="AB1319" s="350">
        <f t="shared" si="78"/>
        <v>0</v>
      </c>
    </row>
    <row r="1320" spans="8:28" ht="22.15" customHeight="1" x14ac:dyDescent="0.25">
      <c r="H1320" s="346"/>
      <c r="O1320" s="347"/>
      <c r="Y1320" s="20">
        <f t="shared" si="76"/>
        <v>0</v>
      </c>
      <c r="AA1320" s="98">
        <f t="shared" si="77"/>
        <v>0</v>
      </c>
      <c r="AB1320" s="350">
        <f t="shared" si="78"/>
        <v>0</v>
      </c>
    </row>
    <row r="1321" spans="8:28" ht="22.15" customHeight="1" x14ac:dyDescent="0.25">
      <c r="H1321" s="346"/>
      <c r="O1321" s="347"/>
      <c r="Y1321" s="20">
        <f t="shared" si="76"/>
        <v>0</v>
      </c>
      <c r="AA1321" s="98">
        <f t="shared" si="77"/>
        <v>0</v>
      </c>
      <c r="AB1321" s="350">
        <f t="shared" si="78"/>
        <v>0</v>
      </c>
    </row>
    <row r="1322" spans="8:28" ht="22.15" customHeight="1" x14ac:dyDescent="0.25">
      <c r="H1322" s="346"/>
      <c r="O1322" s="347"/>
      <c r="Y1322" s="20">
        <f t="shared" si="76"/>
        <v>0</v>
      </c>
      <c r="AA1322" s="98">
        <f t="shared" si="77"/>
        <v>0</v>
      </c>
      <c r="AB1322" s="350">
        <f t="shared" si="78"/>
        <v>0</v>
      </c>
    </row>
    <row r="1323" spans="8:28" ht="22.15" customHeight="1" x14ac:dyDescent="0.25">
      <c r="H1323" s="346"/>
      <c r="O1323" s="347"/>
      <c r="Y1323" s="20">
        <f t="shared" si="76"/>
        <v>0</v>
      </c>
      <c r="AA1323" s="98">
        <f t="shared" si="77"/>
        <v>0</v>
      </c>
      <c r="AB1323" s="350">
        <f t="shared" si="78"/>
        <v>0</v>
      </c>
    </row>
    <row r="1324" spans="8:28" ht="22.15" customHeight="1" x14ac:dyDescent="0.25">
      <c r="H1324" s="346"/>
      <c r="O1324" s="347"/>
      <c r="Y1324" s="20">
        <f t="shared" si="76"/>
        <v>0</v>
      </c>
      <c r="AA1324" s="98">
        <f t="shared" si="77"/>
        <v>0</v>
      </c>
      <c r="AB1324" s="350">
        <f t="shared" si="78"/>
        <v>0</v>
      </c>
    </row>
    <row r="1325" spans="8:28" ht="22.15" customHeight="1" x14ac:dyDescent="0.25">
      <c r="H1325" s="346"/>
      <c r="O1325" s="347"/>
      <c r="Y1325" s="20">
        <f t="shared" si="76"/>
        <v>0</v>
      </c>
      <c r="AA1325" s="98">
        <f t="shared" si="77"/>
        <v>0</v>
      </c>
      <c r="AB1325" s="350">
        <f t="shared" si="78"/>
        <v>0</v>
      </c>
    </row>
    <row r="1326" spans="8:28" ht="22.15" customHeight="1" x14ac:dyDescent="0.25">
      <c r="H1326" s="346"/>
      <c r="O1326" s="347"/>
      <c r="Y1326" s="20">
        <f t="shared" si="76"/>
        <v>0</v>
      </c>
      <c r="AA1326" s="98">
        <f t="shared" si="77"/>
        <v>0</v>
      </c>
      <c r="AB1326" s="350">
        <f t="shared" si="78"/>
        <v>0</v>
      </c>
    </row>
    <row r="1327" spans="8:28" ht="22.15" customHeight="1" x14ac:dyDescent="0.25">
      <c r="H1327" s="346"/>
      <c r="O1327" s="347"/>
      <c r="Y1327" s="20">
        <f t="shared" si="76"/>
        <v>0</v>
      </c>
      <c r="AA1327" s="98">
        <f t="shared" si="77"/>
        <v>0</v>
      </c>
      <c r="AB1327" s="350">
        <f t="shared" si="78"/>
        <v>0</v>
      </c>
    </row>
    <row r="1328" spans="8:28" ht="22.15" customHeight="1" x14ac:dyDescent="0.25">
      <c r="H1328" s="346"/>
      <c r="O1328" s="347"/>
      <c r="Y1328" s="20">
        <f t="shared" si="76"/>
        <v>0</v>
      </c>
      <c r="AA1328" s="98">
        <f t="shared" si="77"/>
        <v>0</v>
      </c>
      <c r="AB1328" s="350">
        <f t="shared" si="78"/>
        <v>0</v>
      </c>
    </row>
    <row r="1329" spans="8:28" ht="22.15" customHeight="1" x14ac:dyDescent="0.25">
      <c r="H1329" s="346"/>
      <c r="O1329" s="347"/>
      <c r="Y1329" s="20">
        <f t="shared" si="76"/>
        <v>0</v>
      </c>
      <c r="AA1329" s="98">
        <f t="shared" si="77"/>
        <v>0</v>
      </c>
      <c r="AB1329" s="350">
        <f t="shared" si="78"/>
        <v>0</v>
      </c>
    </row>
    <row r="1330" spans="8:28" ht="22.15" customHeight="1" x14ac:dyDescent="0.25">
      <c r="H1330" s="346"/>
      <c r="O1330" s="347"/>
      <c r="Y1330" s="20">
        <f t="shared" si="76"/>
        <v>0</v>
      </c>
      <c r="AA1330" s="98">
        <f t="shared" si="77"/>
        <v>0</v>
      </c>
      <c r="AB1330" s="350">
        <f t="shared" si="78"/>
        <v>0</v>
      </c>
    </row>
    <row r="1331" spans="8:28" ht="22.15" customHeight="1" x14ac:dyDescent="0.25">
      <c r="H1331" s="346"/>
      <c r="O1331" s="347"/>
      <c r="Y1331" s="20">
        <f t="shared" si="76"/>
        <v>0</v>
      </c>
      <c r="AA1331" s="98">
        <f t="shared" si="77"/>
        <v>0</v>
      </c>
      <c r="AB1331" s="350">
        <f t="shared" si="78"/>
        <v>0</v>
      </c>
    </row>
    <row r="1332" spans="8:28" ht="22.15" customHeight="1" x14ac:dyDescent="0.25">
      <c r="H1332" s="346"/>
      <c r="O1332" s="347"/>
      <c r="Y1332" s="20">
        <f t="shared" si="76"/>
        <v>0</v>
      </c>
      <c r="AA1332" s="98">
        <f t="shared" si="77"/>
        <v>0</v>
      </c>
      <c r="AB1332" s="350">
        <f t="shared" si="78"/>
        <v>0</v>
      </c>
    </row>
    <row r="1333" spans="8:28" ht="22.15" customHeight="1" x14ac:dyDescent="0.25">
      <c r="H1333" s="346"/>
      <c r="O1333" s="347"/>
      <c r="Y1333" s="20">
        <f t="shared" si="76"/>
        <v>0</v>
      </c>
      <c r="AA1333" s="98">
        <f t="shared" si="77"/>
        <v>0</v>
      </c>
      <c r="AB1333" s="350">
        <f t="shared" si="78"/>
        <v>0</v>
      </c>
    </row>
    <row r="1334" spans="8:28" ht="22.15" customHeight="1" x14ac:dyDescent="0.25">
      <c r="H1334" s="346"/>
      <c r="O1334" s="347"/>
      <c r="Y1334" s="20">
        <f t="shared" si="76"/>
        <v>0</v>
      </c>
      <c r="AA1334" s="98">
        <f t="shared" si="77"/>
        <v>0</v>
      </c>
      <c r="AB1334" s="350">
        <f t="shared" si="78"/>
        <v>0</v>
      </c>
    </row>
    <row r="1335" spans="8:28" ht="22.15" customHeight="1" x14ac:dyDescent="0.25">
      <c r="H1335" s="346"/>
      <c r="O1335" s="347"/>
      <c r="Y1335" s="20">
        <f t="shared" ref="Y1335:Y1366" si="79">COUNTIF(K:K,K1235)</f>
        <v>0</v>
      </c>
      <c r="AA1335" s="98">
        <f t="shared" si="77"/>
        <v>0</v>
      </c>
      <c r="AB1335" s="350">
        <f t="shared" si="78"/>
        <v>0</v>
      </c>
    </row>
    <row r="1336" spans="8:28" ht="22.15" customHeight="1" x14ac:dyDescent="0.25">
      <c r="H1336" s="346"/>
      <c r="O1336" s="347"/>
      <c r="Y1336" s="20">
        <f t="shared" si="79"/>
        <v>0</v>
      </c>
      <c r="AA1336" s="98">
        <f t="shared" si="77"/>
        <v>0</v>
      </c>
      <c r="AB1336" s="350">
        <f t="shared" si="78"/>
        <v>0</v>
      </c>
    </row>
    <row r="1337" spans="8:28" ht="22.15" customHeight="1" x14ac:dyDescent="0.25">
      <c r="H1337" s="346"/>
      <c r="O1337" s="347"/>
      <c r="Y1337" s="20">
        <f t="shared" si="79"/>
        <v>0</v>
      </c>
      <c r="AA1337" s="98">
        <f t="shared" si="77"/>
        <v>0</v>
      </c>
      <c r="AB1337" s="350">
        <f t="shared" si="78"/>
        <v>0</v>
      </c>
    </row>
    <row r="1338" spans="8:28" ht="22.15" customHeight="1" x14ac:dyDescent="0.25">
      <c r="H1338" s="346"/>
      <c r="O1338" s="347"/>
      <c r="Y1338" s="20">
        <f t="shared" si="79"/>
        <v>0</v>
      </c>
      <c r="AA1338" s="98">
        <f t="shared" si="77"/>
        <v>0</v>
      </c>
      <c r="AB1338" s="350">
        <f t="shared" si="78"/>
        <v>0</v>
      </c>
    </row>
    <row r="1339" spans="8:28" ht="22.15" customHeight="1" x14ac:dyDescent="0.25">
      <c r="H1339" s="346"/>
      <c r="O1339" s="347"/>
      <c r="Y1339" s="20">
        <f t="shared" si="79"/>
        <v>0</v>
      </c>
      <c r="AA1339" s="98">
        <f t="shared" si="77"/>
        <v>0</v>
      </c>
      <c r="AB1339" s="350">
        <f t="shared" si="78"/>
        <v>0</v>
      </c>
    </row>
    <row r="1340" spans="8:28" ht="22.15" customHeight="1" x14ac:dyDescent="0.25">
      <c r="H1340" s="346"/>
      <c r="O1340" s="347"/>
      <c r="Y1340" s="20">
        <f t="shared" si="79"/>
        <v>0</v>
      </c>
      <c r="AA1340" s="98">
        <f t="shared" si="77"/>
        <v>0</v>
      </c>
      <c r="AB1340" s="350">
        <f t="shared" si="78"/>
        <v>0</v>
      </c>
    </row>
    <row r="1341" spans="8:28" ht="22.15" customHeight="1" x14ac:dyDescent="0.25">
      <c r="H1341" s="346"/>
      <c r="O1341" s="347"/>
      <c r="Y1341" s="20">
        <f t="shared" si="79"/>
        <v>0</v>
      </c>
      <c r="AA1341" s="98">
        <f t="shared" si="77"/>
        <v>0</v>
      </c>
      <c r="AB1341" s="350">
        <f t="shared" si="78"/>
        <v>0</v>
      </c>
    </row>
    <row r="1342" spans="8:28" ht="22.15" customHeight="1" x14ac:dyDescent="0.25">
      <c r="H1342" s="346"/>
      <c r="O1342" s="347"/>
      <c r="Y1342" s="20">
        <f t="shared" si="79"/>
        <v>0</v>
      </c>
      <c r="AA1342" s="98">
        <f t="shared" si="77"/>
        <v>0</v>
      </c>
      <c r="AB1342" s="350">
        <f t="shared" si="78"/>
        <v>0</v>
      </c>
    </row>
    <row r="1343" spans="8:28" ht="22.15" customHeight="1" x14ac:dyDescent="0.25">
      <c r="H1343" s="346"/>
      <c r="O1343" s="347"/>
      <c r="Y1343" s="20">
        <f t="shared" si="79"/>
        <v>0</v>
      </c>
      <c r="AA1343" s="98">
        <f t="shared" si="77"/>
        <v>0</v>
      </c>
      <c r="AB1343" s="350">
        <f t="shared" si="78"/>
        <v>0</v>
      </c>
    </row>
    <row r="1344" spans="8:28" ht="22.15" customHeight="1" x14ac:dyDescent="0.25">
      <c r="H1344" s="346"/>
      <c r="O1344" s="347"/>
      <c r="Y1344" s="20">
        <f t="shared" si="79"/>
        <v>0</v>
      </c>
      <c r="AA1344" s="98">
        <f t="shared" si="77"/>
        <v>0</v>
      </c>
      <c r="AB1344" s="350">
        <f t="shared" si="78"/>
        <v>0</v>
      </c>
    </row>
    <row r="1345" spans="8:28" ht="22.15" customHeight="1" x14ac:dyDescent="0.25">
      <c r="H1345" s="346"/>
      <c r="O1345" s="347"/>
      <c r="Y1345" s="20">
        <f t="shared" si="79"/>
        <v>0</v>
      </c>
      <c r="AA1345" s="98">
        <f t="shared" si="77"/>
        <v>0</v>
      </c>
      <c r="AB1345" s="350">
        <f t="shared" si="78"/>
        <v>0</v>
      </c>
    </row>
    <row r="1346" spans="8:28" ht="22.15" customHeight="1" x14ac:dyDescent="0.25">
      <c r="H1346" s="346"/>
      <c r="O1346" s="347"/>
      <c r="Y1346" s="20">
        <f t="shared" si="79"/>
        <v>0</v>
      </c>
      <c r="AA1346" s="98">
        <f t="shared" si="77"/>
        <v>0</v>
      </c>
      <c r="AB1346" s="350">
        <f t="shared" si="78"/>
        <v>0</v>
      </c>
    </row>
    <row r="1347" spans="8:28" ht="22.15" customHeight="1" x14ac:dyDescent="0.25">
      <c r="H1347" s="346"/>
      <c r="O1347" s="347"/>
      <c r="Y1347" s="20">
        <f t="shared" si="79"/>
        <v>0</v>
      </c>
      <c r="AA1347" s="98">
        <f t="shared" si="77"/>
        <v>0</v>
      </c>
      <c r="AB1347" s="350">
        <f t="shared" si="78"/>
        <v>0</v>
      </c>
    </row>
    <row r="1348" spans="8:28" ht="22.15" customHeight="1" x14ac:dyDescent="0.25">
      <c r="H1348" s="346"/>
      <c r="O1348" s="347"/>
      <c r="Y1348" s="20">
        <f t="shared" si="79"/>
        <v>0</v>
      </c>
      <c r="AA1348" s="98">
        <f t="shared" si="77"/>
        <v>0</v>
      </c>
      <c r="AB1348" s="350">
        <f t="shared" si="78"/>
        <v>0</v>
      </c>
    </row>
    <row r="1349" spans="8:28" ht="22.15" customHeight="1" x14ac:dyDescent="0.25">
      <c r="H1349" s="346"/>
      <c r="O1349" s="347"/>
      <c r="Y1349" s="20">
        <f t="shared" si="79"/>
        <v>0</v>
      </c>
      <c r="AA1349" s="98">
        <f t="shared" si="77"/>
        <v>0</v>
      </c>
      <c r="AB1349" s="350">
        <f t="shared" si="78"/>
        <v>0</v>
      </c>
    </row>
    <row r="1350" spans="8:28" ht="22.15" customHeight="1" x14ac:dyDescent="0.25">
      <c r="H1350" s="346"/>
      <c r="O1350" s="347"/>
      <c r="Y1350" s="20">
        <f t="shared" si="79"/>
        <v>0</v>
      </c>
      <c r="AA1350" s="98">
        <f t="shared" si="77"/>
        <v>0</v>
      </c>
      <c r="AB1350" s="350">
        <f t="shared" si="78"/>
        <v>0</v>
      </c>
    </row>
    <row r="1351" spans="8:28" ht="22.15" customHeight="1" x14ac:dyDescent="0.25">
      <c r="H1351" s="346"/>
      <c r="O1351" s="347"/>
      <c r="Y1351" s="20">
        <f t="shared" si="79"/>
        <v>0</v>
      </c>
      <c r="AA1351" s="98">
        <f t="shared" si="77"/>
        <v>0</v>
      </c>
      <c r="AB1351" s="350">
        <f t="shared" si="78"/>
        <v>0</v>
      </c>
    </row>
    <row r="1352" spans="8:28" ht="22.15" customHeight="1" x14ac:dyDescent="0.25">
      <c r="H1352" s="346"/>
      <c r="O1352" s="347"/>
      <c r="Y1352" s="20">
        <f t="shared" si="79"/>
        <v>0</v>
      </c>
      <c r="AA1352" s="98">
        <f t="shared" si="77"/>
        <v>0</v>
      </c>
      <c r="AB1352" s="350">
        <f t="shared" si="78"/>
        <v>0</v>
      </c>
    </row>
    <row r="1353" spans="8:28" ht="22.15" customHeight="1" x14ac:dyDescent="0.25">
      <c r="H1353" s="346"/>
      <c r="O1353" s="347"/>
      <c r="Y1353" s="20">
        <f t="shared" si="79"/>
        <v>0</v>
      </c>
      <c r="AA1353" s="98">
        <f t="shared" si="77"/>
        <v>0</v>
      </c>
      <c r="AB1353" s="350">
        <f t="shared" si="78"/>
        <v>0</v>
      </c>
    </row>
    <row r="1354" spans="8:28" ht="22.15" customHeight="1" x14ac:dyDescent="0.25">
      <c r="H1354" s="346"/>
      <c r="O1354" s="347"/>
      <c r="Y1354" s="20">
        <f t="shared" si="79"/>
        <v>0</v>
      </c>
      <c r="AA1354" s="98">
        <f t="shared" si="77"/>
        <v>0</v>
      </c>
      <c r="AB1354" s="350">
        <f t="shared" si="78"/>
        <v>0</v>
      </c>
    </row>
    <row r="1355" spans="8:28" ht="22.15" customHeight="1" x14ac:dyDescent="0.25">
      <c r="H1355" s="346"/>
      <c r="O1355" s="347"/>
      <c r="Y1355" s="20">
        <f t="shared" si="79"/>
        <v>0</v>
      </c>
      <c r="AA1355" s="98">
        <f t="shared" si="77"/>
        <v>0</v>
      </c>
      <c r="AB1355" s="350">
        <f t="shared" si="78"/>
        <v>0</v>
      </c>
    </row>
    <row r="1356" spans="8:28" ht="22.15" customHeight="1" x14ac:dyDescent="0.25">
      <c r="H1356" s="346"/>
      <c r="O1356" s="347"/>
      <c r="Y1356" s="20">
        <f t="shared" si="79"/>
        <v>0</v>
      </c>
      <c r="AA1356" s="98">
        <f t="shared" si="77"/>
        <v>0</v>
      </c>
      <c r="AB1356" s="350">
        <f t="shared" si="78"/>
        <v>0</v>
      </c>
    </row>
    <row r="1357" spans="8:28" ht="22.15" customHeight="1" x14ac:dyDescent="0.25">
      <c r="H1357" s="346"/>
      <c r="O1357" s="347"/>
      <c r="Y1357" s="20">
        <f t="shared" si="79"/>
        <v>0</v>
      </c>
      <c r="AA1357" s="98">
        <f t="shared" si="77"/>
        <v>0</v>
      </c>
      <c r="AB1357" s="350">
        <f t="shared" si="78"/>
        <v>0</v>
      </c>
    </row>
    <row r="1358" spans="8:28" ht="22.15" customHeight="1" x14ac:dyDescent="0.25">
      <c r="H1358" s="346"/>
      <c r="O1358" s="347"/>
      <c r="Y1358" s="20">
        <f t="shared" si="79"/>
        <v>0</v>
      </c>
      <c r="AA1358" s="98">
        <f t="shared" si="77"/>
        <v>0</v>
      </c>
      <c r="AB1358" s="350">
        <f t="shared" si="78"/>
        <v>0</v>
      </c>
    </row>
    <row r="1359" spans="8:28" ht="22.15" customHeight="1" x14ac:dyDescent="0.25">
      <c r="H1359" s="346"/>
      <c r="O1359" s="347"/>
      <c r="Y1359" s="20">
        <f t="shared" si="79"/>
        <v>0</v>
      </c>
      <c r="AA1359" s="98">
        <f t="shared" si="77"/>
        <v>0</v>
      </c>
      <c r="AB1359" s="350">
        <f t="shared" si="78"/>
        <v>0</v>
      </c>
    </row>
    <row r="1360" spans="8:28" ht="22.15" customHeight="1" x14ac:dyDescent="0.25">
      <c r="H1360" s="346"/>
      <c r="O1360" s="347"/>
      <c r="Y1360" s="20">
        <f t="shared" si="79"/>
        <v>0</v>
      </c>
      <c r="AA1360" s="98">
        <f t="shared" si="77"/>
        <v>0</v>
      </c>
      <c r="AB1360" s="350">
        <f t="shared" si="78"/>
        <v>0</v>
      </c>
    </row>
    <row r="1361" spans="8:28" ht="22.15" customHeight="1" x14ac:dyDescent="0.25">
      <c r="H1361" s="346"/>
      <c r="O1361" s="347"/>
      <c r="Y1361" s="20">
        <f t="shared" si="79"/>
        <v>0</v>
      </c>
      <c r="AA1361" s="98">
        <f t="shared" si="77"/>
        <v>0</v>
      </c>
      <c r="AB1361" s="350">
        <f t="shared" si="78"/>
        <v>0</v>
      </c>
    </row>
    <row r="1362" spans="8:28" ht="22.15" customHeight="1" x14ac:dyDescent="0.25">
      <c r="H1362" s="346"/>
      <c r="O1362" s="347"/>
      <c r="Y1362" s="20">
        <f t="shared" si="79"/>
        <v>0</v>
      </c>
      <c r="AA1362" s="98">
        <f t="shared" si="77"/>
        <v>0</v>
      </c>
      <c r="AB1362" s="350">
        <f t="shared" si="78"/>
        <v>0</v>
      </c>
    </row>
    <row r="1363" spans="8:28" ht="22.15" customHeight="1" x14ac:dyDescent="0.25">
      <c r="H1363" s="346"/>
      <c r="O1363" s="347"/>
      <c r="Y1363" s="20">
        <f t="shared" si="79"/>
        <v>0</v>
      </c>
      <c r="AA1363" s="98">
        <f t="shared" si="77"/>
        <v>0</v>
      </c>
      <c r="AB1363" s="350">
        <f t="shared" si="78"/>
        <v>0</v>
      </c>
    </row>
    <row r="1364" spans="8:28" ht="22.15" customHeight="1" x14ac:dyDescent="0.25">
      <c r="H1364" s="346"/>
      <c r="O1364" s="347"/>
      <c r="Y1364" s="20">
        <f t="shared" si="79"/>
        <v>0</v>
      </c>
      <c r="AA1364" s="98">
        <f t="shared" si="77"/>
        <v>0</v>
      </c>
      <c r="AB1364" s="350">
        <f t="shared" si="78"/>
        <v>0</v>
      </c>
    </row>
    <row r="1365" spans="8:28" ht="22.15" customHeight="1" x14ac:dyDescent="0.25">
      <c r="H1365" s="346"/>
      <c r="O1365" s="347"/>
      <c r="Y1365" s="20">
        <f t="shared" si="79"/>
        <v>0</v>
      </c>
      <c r="AA1365" s="98">
        <f t="shared" si="77"/>
        <v>0</v>
      </c>
      <c r="AB1365" s="350">
        <f t="shared" si="78"/>
        <v>0</v>
      </c>
    </row>
    <row r="1366" spans="8:28" ht="22.15" customHeight="1" x14ac:dyDescent="0.25">
      <c r="H1366" s="346"/>
      <c r="O1366" s="347"/>
      <c r="Y1366" s="20">
        <f t="shared" si="79"/>
        <v>0</v>
      </c>
      <c r="AA1366" s="98">
        <f t="shared" si="77"/>
        <v>0</v>
      </c>
      <c r="AB1366" s="350">
        <f t="shared" si="78"/>
        <v>0</v>
      </c>
    </row>
    <row r="1367" spans="8:28" ht="22.15" customHeight="1" x14ac:dyDescent="0.25">
      <c r="H1367" s="346"/>
      <c r="O1367" s="347"/>
      <c r="Y1367" s="20">
        <f t="shared" ref="Y1367:Y1388" si="80">COUNTIF(K:K,K1267)</f>
        <v>0</v>
      </c>
      <c r="AA1367" s="98">
        <f t="shared" ref="AA1367:AA1388" si="81">H1267-I1267</f>
        <v>0</v>
      </c>
      <c r="AB1367" s="350">
        <f t="shared" ref="AB1367:AB1388" si="82">R1267-H1267</f>
        <v>0</v>
      </c>
    </row>
    <row r="1368" spans="8:28" ht="22.15" customHeight="1" x14ac:dyDescent="0.25">
      <c r="H1368" s="346"/>
      <c r="O1368" s="347"/>
      <c r="Y1368" s="20">
        <f t="shared" si="80"/>
        <v>0</v>
      </c>
      <c r="AA1368" s="98">
        <f t="shared" si="81"/>
        <v>0</v>
      </c>
      <c r="AB1368" s="350">
        <f t="shared" si="82"/>
        <v>0</v>
      </c>
    </row>
    <row r="1369" spans="8:28" ht="22.15" customHeight="1" x14ac:dyDescent="0.25">
      <c r="H1369" s="346"/>
      <c r="O1369" s="347"/>
      <c r="Y1369" s="20">
        <f t="shared" si="80"/>
        <v>0</v>
      </c>
      <c r="AA1369" s="98">
        <f t="shared" si="81"/>
        <v>0</v>
      </c>
      <c r="AB1369" s="350">
        <f t="shared" si="82"/>
        <v>0</v>
      </c>
    </row>
    <row r="1370" spans="8:28" ht="22.15" customHeight="1" x14ac:dyDescent="0.25">
      <c r="H1370" s="346"/>
      <c r="O1370" s="347"/>
      <c r="Y1370" s="20">
        <f t="shared" si="80"/>
        <v>0</v>
      </c>
      <c r="AA1370" s="98">
        <f t="shared" si="81"/>
        <v>0</v>
      </c>
      <c r="AB1370" s="350">
        <f t="shared" si="82"/>
        <v>0</v>
      </c>
    </row>
    <row r="1371" spans="8:28" ht="22.15" customHeight="1" x14ac:dyDescent="0.25">
      <c r="H1371" s="346"/>
      <c r="O1371" s="347"/>
      <c r="Y1371" s="20">
        <f t="shared" si="80"/>
        <v>0</v>
      </c>
      <c r="AA1371" s="98">
        <f t="shared" si="81"/>
        <v>0</v>
      </c>
      <c r="AB1371" s="350">
        <f t="shared" si="82"/>
        <v>0</v>
      </c>
    </row>
    <row r="1372" spans="8:28" ht="22.15" customHeight="1" x14ac:dyDescent="0.25">
      <c r="H1372" s="346"/>
      <c r="O1372" s="347"/>
      <c r="Y1372" s="20">
        <f t="shared" si="80"/>
        <v>0</v>
      </c>
      <c r="AA1372" s="98">
        <f t="shared" si="81"/>
        <v>0</v>
      </c>
      <c r="AB1372" s="350">
        <f t="shared" si="82"/>
        <v>0</v>
      </c>
    </row>
    <row r="1373" spans="8:28" ht="22.15" customHeight="1" x14ac:dyDescent="0.25">
      <c r="H1373" s="346"/>
      <c r="O1373" s="347"/>
      <c r="Y1373" s="20">
        <f t="shared" si="80"/>
        <v>0</v>
      </c>
      <c r="AA1373" s="98">
        <f t="shared" si="81"/>
        <v>0</v>
      </c>
      <c r="AB1373" s="350">
        <f t="shared" si="82"/>
        <v>0</v>
      </c>
    </row>
    <row r="1374" spans="8:28" ht="22.15" customHeight="1" x14ac:dyDescent="0.25">
      <c r="H1374" s="346"/>
      <c r="O1374" s="347"/>
      <c r="Y1374" s="20">
        <f t="shared" si="80"/>
        <v>0</v>
      </c>
      <c r="AA1374" s="98">
        <f t="shared" si="81"/>
        <v>0</v>
      </c>
      <c r="AB1374" s="350">
        <f t="shared" si="82"/>
        <v>0</v>
      </c>
    </row>
    <row r="1375" spans="8:28" ht="22.15" customHeight="1" x14ac:dyDescent="0.25">
      <c r="H1375" s="346"/>
      <c r="O1375" s="347"/>
      <c r="Y1375" s="20">
        <f t="shared" si="80"/>
        <v>0</v>
      </c>
      <c r="AA1375" s="98">
        <f t="shared" si="81"/>
        <v>0</v>
      </c>
      <c r="AB1375" s="350">
        <f t="shared" si="82"/>
        <v>0</v>
      </c>
    </row>
    <row r="1376" spans="8:28" ht="22.15" customHeight="1" x14ac:dyDescent="0.25">
      <c r="H1376" s="346"/>
      <c r="O1376" s="347"/>
      <c r="Y1376" s="20">
        <f t="shared" si="80"/>
        <v>0</v>
      </c>
      <c r="AA1376" s="98">
        <f t="shared" si="81"/>
        <v>0</v>
      </c>
      <c r="AB1376" s="350">
        <f t="shared" si="82"/>
        <v>0</v>
      </c>
    </row>
    <row r="1377" spans="8:28" ht="22.15" customHeight="1" x14ac:dyDescent="0.25">
      <c r="H1377" s="346"/>
      <c r="O1377" s="347"/>
      <c r="Y1377" s="20">
        <f t="shared" si="80"/>
        <v>0</v>
      </c>
      <c r="AA1377" s="98">
        <f t="shared" si="81"/>
        <v>0</v>
      </c>
      <c r="AB1377" s="350">
        <f t="shared" si="82"/>
        <v>0</v>
      </c>
    </row>
    <row r="1378" spans="8:28" ht="22.15" customHeight="1" x14ac:dyDescent="0.25">
      <c r="H1378" s="346"/>
      <c r="O1378" s="347"/>
      <c r="Y1378" s="20">
        <f t="shared" si="80"/>
        <v>0</v>
      </c>
      <c r="AA1378" s="98">
        <f t="shared" si="81"/>
        <v>0</v>
      </c>
      <c r="AB1378" s="350">
        <f t="shared" si="82"/>
        <v>0</v>
      </c>
    </row>
    <row r="1379" spans="8:28" ht="22.15" customHeight="1" x14ac:dyDescent="0.25">
      <c r="H1379" s="346"/>
      <c r="O1379" s="347"/>
      <c r="Y1379" s="20">
        <f t="shared" si="80"/>
        <v>0</v>
      </c>
      <c r="AA1379" s="98">
        <f t="shared" si="81"/>
        <v>0</v>
      </c>
      <c r="AB1379" s="350">
        <f t="shared" si="82"/>
        <v>0</v>
      </c>
    </row>
    <row r="1380" spans="8:28" ht="22.15" customHeight="1" x14ac:dyDescent="0.25">
      <c r="H1380" s="346"/>
      <c r="O1380" s="347"/>
      <c r="Y1380" s="20">
        <f t="shared" si="80"/>
        <v>0</v>
      </c>
      <c r="AA1380" s="98">
        <f t="shared" si="81"/>
        <v>0</v>
      </c>
      <c r="AB1380" s="350">
        <f t="shared" si="82"/>
        <v>0</v>
      </c>
    </row>
    <row r="1381" spans="8:28" ht="22.15" customHeight="1" x14ac:dyDescent="0.25">
      <c r="H1381" s="346"/>
      <c r="O1381" s="347"/>
      <c r="Y1381" s="20">
        <f t="shared" si="80"/>
        <v>0</v>
      </c>
      <c r="AA1381" s="98">
        <f t="shared" si="81"/>
        <v>0</v>
      </c>
      <c r="AB1381" s="350">
        <f t="shared" si="82"/>
        <v>0</v>
      </c>
    </row>
    <row r="1382" spans="8:28" ht="22.15" customHeight="1" x14ac:dyDescent="0.25">
      <c r="H1382" s="346"/>
      <c r="O1382" s="347"/>
      <c r="Y1382" s="20">
        <f t="shared" si="80"/>
        <v>0</v>
      </c>
      <c r="AA1382" s="98">
        <f t="shared" si="81"/>
        <v>0</v>
      </c>
      <c r="AB1382" s="350">
        <f t="shared" si="82"/>
        <v>0</v>
      </c>
    </row>
    <row r="1383" spans="8:28" ht="22.15" customHeight="1" x14ac:dyDescent="0.25">
      <c r="H1383" s="346"/>
      <c r="O1383" s="347"/>
      <c r="Y1383" s="20">
        <f t="shared" si="80"/>
        <v>0</v>
      </c>
      <c r="AA1383" s="98">
        <f t="shared" si="81"/>
        <v>0</v>
      </c>
      <c r="AB1383" s="350">
        <f t="shared" si="82"/>
        <v>0</v>
      </c>
    </row>
    <row r="1384" spans="8:28" ht="22.15" customHeight="1" x14ac:dyDescent="0.25">
      <c r="H1384" s="346"/>
      <c r="O1384" s="347"/>
      <c r="Y1384" s="20">
        <f t="shared" si="80"/>
        <v>0</v>
      </c>
      <c r="AA1384" s="98">
        <f t="shared" si="81"/>
        <v>0</v>
      </c>
      <c r="AB1384" s="350">
        <f t="shared" si="82"/>
        <v>0</v>
      </c>
    </row>
    <row r="1385" spans="8:28" ht="22.15" customHeight="1" x14ac:dyDescent="0.25">
      <c r="H1385" s="346"/>
      <c r="O1385" s="347"/>
      <c r="Y1385" s="20">
        <f t="shared" si="80"/>
        <v>0</v>
      </c>
      <c r="AA1385" s="98">
        <f t="shared" si="81"/>
        <v>0</v>
      </c>
      <c r="AB1385" s="350">
        <f t="shared" si="82"/>
        <v>0</v>
      </c>
    </row>
    <row r="1386" spans="8:28" ht="22.15" customHeight="1" x14ac:dyDescent="0.25">
      <c r="H1386" s="346"/>
      <c r="O1386" s="347"/>
      <c r="Y1386" s="20">
        <f t="shared" si="80"/>
        <v>0</v>
      </c>
      <c r="AA1386" s="98">
        <f t="shared" si="81"/>
        <v>0</v>
      </c>
      <c r="AB1386" s="350">
        <f t="shared" si="82"/>
        <v>0</v>
      </c>
    </row>
    <row r="1387" spans="8:28" ht="22.15" customHeight="1" x14ac:dyDescent="0.25">
      <c r="H1387" s="346"/>
      <c r="O1387" s="347"/>
      <c r="Y1387" s="20">
        <f t="shared" si="80"/>
        <v>0</v>
      </c>
      <c r="AA1387" s="98">
        <f t="shared" si="81"/>
        <v>0</v>
      </c>
      <c r="AB1387" s="350">
        <f t="shared" si="82"/>
        <v>0</v>
      </c>
    </row>
    <row r="1388" spans="8:28" ht="22.15" customHeight="1" x14ac:dyDescent="0.25">
      <c r="H1388" s="346"/>
      <c r="O1388" s="347"/>
      <c r="Y1388" s="20">
        <f t="shared" si="80"/>
        <v>0</v>
      </c>
      <c r="AA1388" s="98">
        <f t="shared" si="81"/>
        <v>0</v>
      </c>
      <c r="AB1388" s="350">
        <f t="shared" si="82"/>
        <v>0</v>
      </c>
    </row>
    <row r="1389" spans="8:28" ht="22.15" customHeight="1" x14ac:dyDescent="0.25">
      <c r="H1389" s="346"/>
      <c r="O1389" s="347"/>
      <c r="Y1389" s="20">
        <f t="shared" ref="Y1389:Y1399" si="83">COUNTIF(K:K,K1389)</f>
        <v>0</v>
      </c>
      <c r="AA1389" s="98">
        <f t="shared" ref="AA1389:AA1452" si="84">H1389-I1389</f>
        <v>0</v>
      </c>
      <c r="AB1389" s="350">
        <f t="shared" ref="AB1389:AB1452" si="85">R1389-H1389</f>
        <v>0</v>
      </c>
    </row>
    <row r="1390" spans="8:28" ht="22.15" customHeight="1" x14ac:dyDescent="0.25">
      <c r="H1390" s="346"/>
      <c r="O1390" s="347"/>
      <c r="Y1390" s="20">
        <f t="shared" si="83"/>
        <v>0</v>
      </c>
      <c r="AA1390" s="98">
        <f t="shared" si="84"/>
        <v>0</v>
      </c>
      <c r="AB1390" s="350">
        <f t="shared" si="85"/>
        <v>0</v>
      </c>
    </row>
    <row r="1391" spans="8:28" ht="22.15" customHeight="1" x14ac:dyDescent="0.25">
      <c r="H1391" s="346"/>
      <c r="O1391" s="347"/>
      <c r="Y1391" s="20">
        <f t="shared" si="83"/>
        <v>0</v>
      </c>
      <c r="AA1391" s="98">
        <f t="shared" si="84"/>
        <v>0</v>
      </c>
      <c r="AB1391" s="350">
        <f t="shared" si="85"/>
        <v>0</v>
      </c>
    </row>
    <row r="1392" spans="8:28" ht="22.15" customHeight="1" x14ac:dyDescent="0.25">
      <c r="H1392" s="346"/>
      <c r="O1392" s="347"/>
      <c r="Y1392" s="20">
        <f t="shared" si="83"/>
        <v>0</v>
      </c>
      <c r="AA1392" s="98">
        <f t="shared" si="84"/>
        <v>0</v>
      </c>
      <c r="AB1392" s="350">
        <f t="shared" si="85"/>
        <v>0</v>
      </c>
    </row>
    <row r="1393" spans="8:28" ht="22.15" customHeight="1" x14ac:dyDescent="0.25">
      <c r="H1393" s="346"/>
      <c r="O1393" s="347"/>
      <c r="Y1393" s="20">
        <f t="shared" si="83"/>
        <v>0</v>
      </c>
      <c r="AA1393" s="98">
        <f t="shared" si="84"/>
        <v>0</v>
      </c>
      <c r="AB1393" s="350">
        <f t="shared" si="85"/>
        <v>0</v>
      </c>
    </row>
    <row r="1394" spans="8:28" ht="22.15" customHeight="1" x14ac:dyDescent="0.25">
      <c r="H1394" s="346"/>
      <c r="O1394" s="347"/>
      <c r="Y1394" s="20">
        <f t="shared" si="83"/>
        <v>0</v>
      </c>
      <c r="AA1394" s="98">
        <f t="shared" si="84"/>
        <v>0</v>
      </c>
      <c r="AB1394" s="350">
        <f t="shared" si="85"/>
        <v>0</v>
      </c>
    </row>
    <row r="1395" spans="8:28" ht="22.15" customHeight="1" x14ac:dyDescent="0.25">
      <c r="H1395" s="346"/>
      <c r="O1395" s="347"/>
      <c r="Y1395" s="20">
        <f t="shared" si="83"/>
        <v>0</v>
      </c>
      <c r="AA1395" s="98">
        <f t="shared" si="84"/>
        <v>0</v>
      </c>
      <c r="AB1395" s="350">
        <f t="shared" si="85"/>
        <v>0</v>
      </c>
    </row>
    <row r="1396" spans="8:28" ht="22.15" customHeight="1" x14ac:dyDescent="0.25">
      <c r="H1396" s="346"/>
      <c r="O1396" s="347"/>
      <c r="Y1396" s="20">
        <f t="shared" si="83"/>
        <v>0</v>
      </c>
      <c r="AA1396" s="98">
        <f t="shared" si="84"/>
        <v>0</v>
      </c>
      <c r="AB1396" s="350">
        <f t="shared" si="85"/>
        <v>0</v>
      </c>
    </row>
    <row r="1397" spans="8:28" ht="22.15" customHeight="1" x14ac:dyDescent="0.25">
      <c r="H1397" s="346"/>
      <c r="O1397" s="347"/>
      <c r="Y1397" s="20">
        <f t="shared" si="83"/>
        <v>0</v>
      </c>
      <c r="AA1397" s="98">
        <f t="shared" si="84"/>
        <v>0</v>
      </c>
      <c r="AB1397" s="350">
        <f t="shared" si="85"/>
        <v>0</v>
      </c>
    </row>
    <row r="1398" spans="8:28" ht="22.15" customHeight="1" x14ac:dyDescent="0.25">
      <c r="H1398" s="346"/>
      <c r="O1398" s="347"/>
      <c r="Y1398" s="20">
        <f t="shared" si="83"/>
        <v>0</v>
      </c>
      <c r="AA1398" s="98">
        <f t="shared" si="84"/>
        <v>0</v>
      </c>
      <c r="AB1398" s="350">
        <f t="shared" si="85"/>
        <v>0</v>
      </c>
    </row>
    <row r="1399" spans="8:28" ht="22.15" customHeight="1" x14ac:dyDescent="0.25">
      <c r="H1399" s="346"/>
      <c r="O1399" s="347"/>
      <c r="Y1399" s="20">
        <f t="shared" si="83"/>
        <v>0</v>
      </c>
      <c r="AA1399" s="98">
        <f t="shared" si="84"/>
        <v>0</v>
      </c>
      <c r="AB1399" s="350">
        <f t="shared" si="85"/>
        <v>0</v>
      </c>
    </row>
    <row r="1400" spans="8:28" ht="22.15" customHeight="1" x14ac:dyDescent="0.25">
      <c r="H1400" s="346"/>
      <c r="O1400" s="347"/>
      <c r="Y1400" s="20">
        <f>COUNTIF(K:K,K1399)</f>
        <v>0</v>
      </c>
      <c r="AA1400" s="98">
        <f>H1399-I1399</f>
        <v>0</v>
      </c>
      <c r="AB1400" s="350">
        <f>R1399-H1399</f>
        <v>0</v>
      </c>
    </row>
    <row r="1401" spans="8:28" ht="22.15" customHeight="1" x14ac:dyDescent="0.25">
      <c r="H1401" s="346"/>
      <c r="O1401" s="347"/>
      <c r="Y1401" s="20">
        <f>COUNTIF(K:K,K1400)</f>
        <v>0</v>
      </c>
      <c r="AA1401" s="98">
        <f>H1400-I1400</f>
        <v>0</v>
      </c>
      <c r="AB1401" s="350">
        <f>R1400-H1400</f>
        <v>0</v>
      </c>
    </row>
    <row r="1402" spans="8:28" ht="22.15" customHeight="1" x14ac:dyDescent="0.25">
      <c r="H1402" s="346"/>
      <c r="O1402" s="347"/>
      <c r="Y1402" s="20">
        <f>COUNTIF(K:K,K1401)</f>
        <v>0</v>
      </c>
      <c r="AA1402" s="98">
        <f>H1401-I1401</f>
        <v>0</v>
      </c>
      <c r="AB1402" s="350">
        <f>R1401-H1401</f>
        <v>0</v>
      </c>
    </row>
    <row r="1403" spans="8:28" ht="22.15" customHeight="1" x14ac:dyDescent="0.25">
      <c r="H1403" s="346"/>
      <c r="O1403" s="347"/>
      <c r="Y1403" s="20">
        <f t="shared" ref="Y1403:Y1434" si="86">COUNTIF(K:K,K1403)</f>
        <v>0</v>
      </c>
      <c r="AA1403" s="98">
        <f t="shared" si="84"/>
        <v>0</v>
      </c>
      <c r="AB1403" s="350">
        <f t="shared" si="85"/>
        <v>0</v>
      </c>
    </row>
    <row r="1404" spans="8:28" ht="22.15" customHeight="1" x14ac:dyDescent="0.25">
      <c r="H1404" s="346"/>
      <c r="O1404" s="347"/>
      <c r="Y1404" s="20">
        <f t="shared" si="86"/>
        <v>0</v>
      </c>
      <c r="AA1404" s="98">
        <f t="shared" si="84"/>
        <v>0</v>
      </c>
      <c r="AB1404" s="350">
        <f t="shared" si="85"/>
        <v>0</v>
      </c>
    </row>
    <row r="1405" spans="8:28" ht="22.15" customHeight="1" x14ac:dyDescent="0.25">
      <c r="H1405" s="346"/>
      <c r="O1405" s="347"/>
      <c r="Y1405" s="20">
        <f t="shared" si="86"/>
        <v>0</v>
      </c>
      <c r="AA1405" s="98">
        <f t="shared" si="84"/>
        <v>0</v>
      </c>
      <c r="AB1405" s="350">
        <f t="shared" si="85"/>
        <v>0</v>
      </c>
    </row>
    <row r="1406" spans="8:28" ht="22.15" customHeight="1" x14ac:dyDescent="0.25">
      <c r="H1406" s="346"/>
      <c r="O1406" s="347"/>
      <c r="Y1406" s="20">
        <f t="shared" si="86"/>
        <v>0</v>
      </c>
      <c r="AA1406" s="98">
        <f t="shared" si="84"/>
        <v>0</v>
      </c>
      <c r="AB1406" s="350">
        <f t="shared" si="85"/>
        <v>0</v>
      </c>
    </row>
    <row r="1407" spans="8:28" ht="22.15" customHeight="1" x14ac:dyDescent="0.25">
      <c r="H1407" s="346"/>
      <c r="O1407" s="347"/>
      <c r="Y1407" s="20">
        <f t="shared" si="86"/>
        <v>0</v>
      </c>
      <c r="AA1407" s="98">
        <f t="shared" si="84"/>
        <v>0</v>
      </c>
      <c r="AB1407" s="350">
        <f t="shared" si="85"/>
        <v>0</v>
      </c>
    </row>
    <row r="1408" spans="8:28" ht="22.15" customHeight="1" x14ac:dyDescent="0.25">
      <c r="H1408" s="346"/>
      <c r="O1408" s="347"/>
      <c r="Y1408" s="20">
        <f t="shared" si="86"/>
        <v>0</v>
      </c>
      <c r="AA1408" s="98">
        <f t="shared" si="84"/>
        <v>0</v>
      </c>
      <c r="AB1408" s="350">
        <f t="shared" si="85"/>
        <v>0</v>
      </c>
    </row>
    <row r="1409" spans="8:28" ht="22.15" customHeight="1" x14ac:dyDescent="0.25">
      <c r="H1409" s="346"/>
      <c r="O1409" s="347"/>
      <c r="Y1409" s="20">
        <f t="shared" si="86"/>
        <v>0</v>
      </c>
      <c r="AA1409" s="98">
        <f t="shared" si="84"/>
        <v>0</v>
      </c>
      <c r="AB1409" s="350">
        <f t="shared" si="85"/>
        <v>0</v>
      </c>
    </row>
    <row r="1410" spans="8:28" ht="22.15" customHeight="1" x14ac:dyDescent="0.25">
      <c r="H1410" s="346"/>
      <c r="O1410" s="347"/>
      <c r="Y1410" s="20">
        <f t="shared" si="86"/>
        <v>0</v>
      </c>
      <c r="AA1410" s="98">
        <f t="shared" si="84"/>
        <v>0</v>
      </c>
      <c r="AB1410" s="350">
        <f t="shared" si="85"/>
        <v>0</v>
      </c>
    </row>
    <row r="1411" spans="8:28" ht="22.15" customHeight="1" x14ac:dyDescent="0.25">
      <c r="H1411" s="346"/>
      <c r="O1411" s="347"/>
      <c r="Y1411" s="20">
        <f t="shared" si="86"/>
        <v>0</v>
      </c>
      <c r="AA1411" s="98">
        <f t="shared" si="84"/>
        <v>0</v>
      </c>
      <c r="AB1411" s="350">
        <f t="shared" si="85"/>
        <v>0</v>
      </c>
    </row>
    <row r="1412" spans="8:28" ht="22.15" customHeight="1" x14ac:dyDescent="0.25">
      <c r="H1412" s="346"/>
      <c r="O1412" s="347"/>
      <c r="Y1412" s="20">
        <f t="shared" si="86"/>
        <v>0</v>
      </c>
      <c r="AA1412" s="98">
        <f t="shared" si="84"/>
        <v>0</v>
      </c>
      <c r="AB1412" s="350">
        <f t="shared" si="85"/>
        <v>0</v>
      </c>
    </row>
    <row r="1413" spans="8:28" ht="22.15" customHeight="1" x14ac:dyDescent="0.25">
      <c r="H1413" s="346"/>
      <c r="O1413" s="347"/>
      <c r="Y1413" s="20">
        <f t="shared" si="86"/>
        <v>0</v>
      </c>
      <c r="AA1413" s="98">
        <f t="shared" si="84"/>
        <v>0</v>
      </c>
      <c r="AB1413" s="350">
        <f t="shared" si="85"/>
        <v>0</v>
      </c>
    </row>
    <row r="1414" spans="8:28" ht="22.15" customHeight="1" x14ac:dyDescent="0.25">
      <c r="H1414" s="346"/>
      <c r="O1414" s="347"/>
      <c r="Y1414" s="20">
        <f t="shared" si="86"/>
        <v>0</v>
      </c>
      <c r="AA1414" s="98">
        <f t="shared" si="84"/>
        <v>0</v>
      </c>
      <c r="AB1414" s="350">
        <f t="shared" si="85"/>
        <v>0</v>
      </c>
    </row>
    <row r="1415" spans="8:28" ht="22.15" customHeight="1" x14ac:dyDescent="0.25">
      <c r="H1415" s="346"/>
      <c r="O1415" s="347"/>
      <c r="Y1415" s="20">
        <f t="shared" si="86"/>
        <v>0</v>
      </c>
      <c r="AA1415" s="98">
        <f t="shared" si="84"/>
        <v>0</v>
      </c>
      <c r="AB1415" s="350">
        <f t="shared" si="85"/>
        <v>0</v>
      </c>
    </row>
    <row r="1416" spans="8:28" ht="22.15" customHeight="1" x14ac:dyDescent="0.25">
      <c r="H1416" s="346"/>
      <c r="O1416" s="347"/>
      <c r="Y1416" s="20">
        <f t="shared" si="86"/>
        <v>0</v>
      </c>
      <c r="AA1416" s="98">
        <f t="shared" si="84"/>
        <v>0</v>
      </c>
      <c r="AB1416" s="350">
        <f t="shared" si="85"/>
        <v>0</v>
      </c>
    </row>
    <row r="1417" spans="8:28" ht="22.15" customHeight="1" x14ac:dyDescent="0.25">
      <c r="H1417" s="346"/>
      <c r="O1417" s="347"/>
      <c r="Y1417" s="20">
        <f t="shared" si="86"/>
        <v>0</v>
      </c>
      <c r="AA1417" s="98">
        <f t="shared" si="84"/>
        <v>0</v>
      </c>
      <c r="AB1417" s="350">
        <f t="shared" si="85"/>
        <v>0</v>
      </c>
    </row>
    <row r="1418" spans="8:28" ht="22.15" customHeight="1" x14ac:dyDescent="0.25">
      <c r="H1418" s="346"/>
      <c r="O1418" s="347"/>
      <c r="Y1418" s="20">
        <f t="shared" si="86"/>
        <v>0</v>
      </c>
      <c r="AA1418" s="98">
        <f t="shared" si="84"/>
        <v>0</v>
      </c>
      <c r="AB1418" s="350">
        <f t="shared" si="85"/>
        <v>0</v>
      </c>
    </row>
    <row r="1419" spans="8:28" ht="22.15" customHeight="1" x14ac:dyDescent="0.25">
      <c r="H1419" s="346"/>
      <c r="O1419" s="347"/>
      <c r="Y1419" s="20">
        <f t="shared" si="86"/>
        <v>0</v>
      </c>
      <c r="AA1419" s="98">
        <f t="shared" si="84"/>
        <v>0</v>
      </c>
      <c r="AB1419" s="350">
        <f t="shared" si="85"/>
        <v>0</v>
      </c>
    </row>
    <row r="1420" spans="8:28" ht="22.15" customHeight="1" x14ac:dyDescent="0.25">
      <c r="H1420" s="346"/>
      <c r="O1420" s="347"/>
      <c r="Y1420" s="20">
        <f t="shared" si="86"/>
        <v>0</v>
      </c>
      <c r="AA1420" s="98">
        <f t="shared" si="84"/>
        <v>0</v>
      </c>
      <c r="AB1420" s="350">
        <f t="shared" si="85"/>
        <v>0</v>
      </c>
    </row>
    <row r="1421" spans="8:28" ht="22.15" customHeight="1" x14ac:dyDescent="0.25">
      <c r="H1421" s="346"/>
      <c r="O1421" s="347"/>
      <c r="Y1421" s="20">
        <f t="shared" si="86"/>
        <v>0</v>
      </c>
      <c r="AA1421" s="98">
        <f t="shared" si="84"/>
        <v>0</v>
      </c>
      <c r="AB1421" s="350">
        <f t="shared" si="85"/>
        <v>0</v>
      </c>
    </row>
    <row r="1422" spans="8:28" ht="22.15" customHeight="1" x14ac:dyDescent="0.25">
      <c r="H1422" s="346"/>
      <c r="O1422" s="347"/>
      <c r="Y1422" s="20">
        <f t="shared" si="86"/>
        <v>0</v>
      </c>
      <c r="AA1422" s="98">
        <f t="shared" si="84"/>
        <v>0</v>
      </c>
      <c r="AB1422" s="350">
        <f t="shared" si="85"/>
        <v>0</v>
      </c>
    </row>
    <row r="1423" spans="8:28" ht="22.15" customHeight="1" x14ac:dyDescent="0.25">
      <c r="H1423" s="346"/>
      <c r="O1423" s="347"/>
      <c r="Y1423" s="20">
        <f t="shared" si="86"/>
        <v>0</v>
      </c>
      <c r="AA1423" s="98">
        <f t="shared" si="84"/>
        <v>0</v>
      </c>
      <c r="AB1423" s="350">
        <f t="shared" si="85"/>
        <v>0</v>
      </c>
    </row>
    <row r="1424" spans="8:28" ht="22.15" customHeight="1" x14ac:dyDescent="0.25">
      <c r="H1424" s="346"/>
      <c r="O1424" s="347"/>
      <c r="Y1424" s="20">
        <f t="shared" si="86"/>
        <v>0</v>
      </c>
      <c r="AA1424" s="98">
        <f t="shared" si="84"/>
        <v>0</v>
      </c>
      <c r="AB1424" s="350">
        <f t="shared" si="85"/>
        <v>0</v>
      </c>
    </row>
    <row r="1425" spans="8:28" ht="22.15" customHeight="1" x14ac:dyDescent="0.25">
      <c r="H1425" s="346"/>
      <c r="O1425" s="347"/>
      <c r="Y1425" s="20">
        <f t="shared" si="86"/>
        <v>0</v>
      </c>
      <c r="AA1425" s="98">
        <f t="shared" si="84"/>
        <v>0</v>
      </c>
      <c r="AB1425" s="350">
        <f t="shared" si="85"/>
        <v>0</v>
      </c>
    </row>
    <row r="1426" spans="8:28" ht="22.15" customHeight="1" x14ac:dyDescent="0.25">
      <c r="H1426" s="346"/>
      <c r="O1426" s="347"/>
      <c r="Y1426" s="20">
        <f t="shared" si="86"/>
        <v>0</v>
      </c>
      <c r="AA1426" s="98">
        <f t="shared" si="84"/>
        <v>0</v>
      </c>
      <c r="AB1426" s="350">
        <f t="shared" si="85"/>
        <v>0</v>
      </c>
    </row>
    <row r="1427" spans="8:28" ht="22.15" customHeight="1" x14ac:dyDescent="0.25">
      <c r="H1427" s="346"/>
      <c r="O1427" s="347"/>
      <c r="Y1427" s="20">
        <f t="shared" si="86"/>
        <v>0</v>
      </c>
      <c r="AA1427" s="98">
        <f t="shared" si="84"/>
        <v>0</v>
      </c>
      <c r="AB1427" s="350">
        <f t="shared" si="85"/>
        <v>0</v>
      </c>
    </row>
    <row r="1428" spans="8:28" ht="22.15" customHeight="1" x14ac:dyDescent="0.25">
      <c r="H1428" s="346"/>
      <c r="O1428" s="347"/>
      <c r="Y1428" s="20">
        <f t="shared" si="86"/>
        <v>0</v>
      </c>
      <c r="AA1428" s="98">
        <f t="shared" si="84"/>
        <v>0</v>
      </c>
      <c r="AB1428" s="350">
        <f t="shared" si="85"/>
        <v>0</v>
      </c>
    </row>
    <row r="1429" spans="8:28" ht="22.15" customHeight="1" x14ac:dyDescent="0.25">
      <c r="H1429" s="346"/>
      <c r="O1429" s="347"/>
      <c r="Y1429" s="20">
        <f t="shared" si="86"/>
        <v>0</v>
      </c>
      <c r="AA1429" s="98">
        <f t="shared" si="84"/>
        <v>0</v>
      </c>
      <c r="AB1429" s="350">
        <f t="shared" si="85"/>
        <v>0</v>
      </c>
    </row>
    <row r="1430" spans="8:28" ht="22.15" customHeight="1" x14ac:dyDescent="0.25">
      <c r="H1430" s="346"/>
      <c r="O1430" s="347"/>
      <c r="Y1430" s="20">
        <f t="shared" si="86"/>
        <v>0</v>
      </c>
      <c r="AA1430" s="98">
        <f t="shared" si="84"/>
        <v>0</v>
      </c>
      <c r="AB1430" s="350">
        <f t="shared" si="85"/>
        <v>0</v>
      </c>
    </row>
    <row r="1431" spans="8:28" ht="22.15" customHeight="1" x14ac:dyDescent="0.25">
      <c r="H1431" s="346"/>
      <c r="O1431" s="347"/>
      <c r="Y1431" s="20">
        <f t="shared" si="86"/>
        <v>0</v>
      </c>
      <c r="AA1431" s="98">
        <f t="shared" si="84"/>
        <v>0</v>
      </c>
      <c r="AB1431" s="350">
        <f t="shared" si="85"/>
        <v>0</v>
      </c>
    </row>
    <row r="1432" spans="8:28" ht="22.15" customHeight="1" x14ac:dyDescent="0.25">
      <c r="H1432" s="346"/>
      <c r="O1432" s="347"/>
      <c r="Y1432" s="20">
        <f t="shared" si="86"/>
        <v>0</v>
      </c>
      <c r="AA1432" s="98">
        <f t="shared" si="84"/>
        <v>0</v>
      </c>
      <c r="AB1432" s="350">
        <f t="shared" si="85"/>
        <v>0</v>
      </c>
    </row>
    <row r="1433" spans="8:28" ht="22.15" customHeight="1" x14ac:dyDescent="0.25">
      <c r="H1433" s="346"/>
      <c r="O1433" s="347"/>
      <c r="Y1433" s="20">
        <f t="shared" si="86"/>
        <v>0</v>
      </c>
      <c r="AA1433" s="98">
        <f t="shared" si="84"/>
        <v>0</v>
      </c>
      <c r="AB1433" s="350">
        <f t="shared" si="85"/>
        <v>0</v>
      </c>
    </row>
    <row r="1434" spans="8:28" ht="22.15" customHeight="1" x14ac:dyDescent="0.25">
      <c r="H1434" s="346"/>
      <c r="O1434" s="347"/>
      <c r="Y1434" s="20">
        <f t="shared" si="86"/>
        <v>0</v>
      </c>
      <c r="AA1434" s="98">
        <f t="shared" si="84"/>
        <v>0</v>
      </c>
      <c r="AB1434" s="350">
        <f t="shared" si="85"/>
        <v>0</v>
      </c>
    </row>
    <row r="1435" spans="8:28" ht="22.15" customHeight="1" x14ac:dyDescent="0.25">
      <c r="H1435" s="346"/>
      <c r="O1435" s="347"/>
      <c r="Y1435" s="20">
        <f t="shared" ref="Y1435:Y1466" si="87">COUNTIF(K:K,K1435)</f>
        <v>0</v>
      </c>
      <c r="AA1435" s="98">
        <f t="shared" si="84"/>
        <v>0</v>
      </c>
      <c r="AB1435" s="350">
        <f t="shared" si="85"/>
        <v>0</v>
      </c>
    </row>
    <row r="1436" spans="8:28" ht="22.15" customHeight="1" x14ac:dyDescent="0.25">
      <c r="H1436" s="346"/>
      <c r="O1436" s="347"/>
      <c r="Y1436" s="20">
        <f t="shared" si="87"/>
        <v>0</v>
      </c>
      <c r="AA1436" s="98">
        <f t="shared" si="84"/>
        <v>0</v>
      </c>
      <c r="AB1436" s="350">
        <f t="shared" si="85"/>
        <v>0</v>
      </c>
    </row>
    <row r="1437" spans="8:28" ht="22.15" customHeight="1" x14ac:dyDescent="0.25">
      <c r="H1437" s="346"/>
      <c r="O1437" s="347"/>
      <c r="Y1437" s="20">
        <f t="shared" si="87"/>
        <v>0</v>
      </c>
      <c r="AA1437" s="98">
        <f t="shared" si="84"/>
        <v>0</v>
      </c>
      <c r="AB1437" s="350">
        <f t="shared" si="85"/>
        <v>0</v>
      </c>
    </row>
    <row r="1438" spans="8:28" ht="22.15" customHeight="1" x14ac:dyDescent="0.25">
      <c r="H1438" s="346"/>
      <c r="O1438" s="347"/>
      <c r="Y1438" s="20">
        <f t="shared" si="87"/>
        <v>0</v>
      </c>
      <c r="AA1438" s="98">
        <f t="shared" si="84"/>
        <v>0</v>
      </c>
      <c r="AB1438" s="350">
        <f t="shared" si="85"/>
        <v>0</v>
      </c>
    </row>
    <row r="1439" spans="8:28" ht="22.15" customHeight="1" x14ac:dyDescent="0.25">
      <c r="H1439" s="346"/>
      <c r="O1439" s="347"/>
      <c r="Y1439" s="20">
        <f t="shared" si="87"/>
        <v>0</v>
      </c>
      <c r="AA1439" s="98">
        <f t="shared" si="84"/>
        <v>0</v>
      </c>
      <c r="AB1439" s="350">
        <f t="shared" si="85"/>
        <v>0</v>
      </c>
    </row>
    <row r="1440" spans="8:28" ht="22.15" customHeight="1" x14ac:dyDescent="0.25">
      <c r="H1440" s="346"/>
      <c r="O1440" s="347"/>
      <c r="Y1440" s="20">
        <f t="shared" si="87"/>
        <v>0</v>
      </c>
      <c r="AA1440" s="98">
        <f t="shared" si="84"/>
        <v>0</v>
      </c>
      <c r="AB1440" s="350">
        <f t="shared" si="85"/>
        <v>0</v>
      </c>
    </row>
    <row r="1441" spans="8:28" ht="22.15" customHeight="1" x14ac:dyDescent="0.25">
      <c r="H1441" s="346"/>
      <c r="O1441" s="347"/>
      <c r="Y1441" s="20">
        <f t="shared" si="87"/>
        <v>0</v>
      </c>
      <c r="AA1441" s="98">
        <f t="shared" si="84"/>
        <v>0</v>
      </c>
      <c r="AB1441" s="350">
        <f t="shared" si="85"/>
        <v>0</v>
      </c>
    </row>
    <row r="1442" spans="8:28" ht="22.15" customHeight="1" x14ac:dyDescent="0.25">
      <c r="H1442" s="346"/>
      <c r="O1442" s="347"/>
      <c r="Y1442" s="20">
        <f t="shared" si="87"/>
        <v>0</v>
      </c>
      <c r="AA1442" s="98">
        <f t="shared" si="84"/>
        <v>0</v>
      </c>
      <c r="AB1442" s="350">
        <f t="shared" si="85"/>
        <v>0</v>
      </c>
    </row>
    <row r="1443" spans="8:28" ht="22.15" customHeight="1" x14ac:dyDescent="0.25">
      <c r="H1443" s="346"/>
      <c r="O1443" s="347"/>
      <c r="Y1443" s="20">
        <f t="shared" si="87"/>
        <v>0</v>
      </c>
      <c r="AA1443" s="98">
        <f t="shared" si="84"/>
        <v>0</v>
      </c>
      <c r="AB1443" s="350">
        <f t="shared" si="85"/>
        <v>0</v>
      </c>
    </row>
    <row r="1444" spans="8:28" ht="22.15" customHeight="1" x14ac:dyDescent="0.25">
      <c r="H1444" s="346"/>
      <c r="O1444" s="347"/>
      <c r="Y1444" s="20">
        <f t="shared" si="87"/>
        <v>0</v>
      </c>
      <c r="AA1444" s="98">
        <f t="shared" si="84"/>
        <v>0</v>
      </c>
      <c r="AB1444" s="350">
        <f t="shared" si="85"/>
        <v>0</v>
      </c>
    </row>
    <row r="1445" spans="8:28" ht="22.15" customHeight="1" x14ac:dyDescent="0.25">
      <c r="H1445" s="346"/>
      <c r="O1445" s="347"/>
      <c r="Y1445" s="20">
        <f t="shared" si="87"/>
        <v>0</v>
      </c>
      <c r="AA1445" s="98">
        <f t="shared" si="84"/>
        <v>0</v>
      </c>
      <c r="AB1445" s="350">
        <f t="shared" si="85"/>
        <v>0</v>
      </c>
    </row>
    <row r="1446" spans="8:28" ht="22.15" customHeight="1" x14ac:dyDescent="0.25">
      <c r="H1446" s="346"/>
      <c r="O1446" s="347"/>
      <c r="Y1446" s="20">
        <f t="shared" si="87"/>
        <v>0</v>
      </c>
      <c r="AA1446" s="98">
        <f t="shared" si="84"/>
        <v>0</v>
      </c>
      <c r="AB1446" s="350">
        <f t="shared" si="85"/>
        <v>0</v>
      </c>
    </row>
    <row r="1447" spans="8:28" ht="22.15" customHeight="1" x14ac:dyDescent="0.25">
      <c r="H1447" s="346"/>
      <c r="O1447" s="347"/>
      <c r="Y1447" s="20">
        <f t="shared" si="87"/>
        <v>0</v>
      </c>
      <c r="AA1447" s="98">
        <f t="shared" si="84"/>
        <v>0</v>
      </c>
      <c r="AB1447" s="350">
        <f t="shared" si="85"/>
        <v>0</v>
      </c>
    </row>
    <row r="1448" spans="8:28" ht="22.15" customHeight="1" x14ac:dyDescent="0.25">
      <c r="H1448" s="346"/>
      <c r="O1448" s="347"/>
      <c r="Y1448" s="20">
        <f t="shared" si="87"/>
        <v>0</v>
      </c>
      <c r="AA1448" s="98">
        <f t="shared" si="84"/>
        <v>0</v>
      </c>
      <c r="AB1448" s="350">
        <f t="shared" si="85"/>
        <v>0</v>
      </c>
    </row>
    <row r="1449" spans="8:28" ht="22.15" customHeight="1" x14ac:dyDescent="0.25">
      <c r="H1449" s="346"/>
      <c r="O1449" s="347"/>
      <c r="Y1449" s="20">
        <f t="shared" si="87"/>
        <v>0</v>
      </c>
      <c r="AA1449" s="98">
        <f t="shared" si="84"/>
        <v>0</v>
      </c>
      <c r="AB1449" s="350">
        <f t="shared" si="85"/>
        <v>0</v>
      </c>
    </row>
    <row r="1450" spans="8:28" ht="22.15" customHeight="1" x14ac:dyDescent="0.25">
      <c r="H1450" s="346"/>
      <c r="O1450" s="347"/>
      <c r="Y1450" s="20">
        <f t="shared" si="87"/>
        <v>0</v>
      </c>
      <c r="AA1450" s="98">
        <f t="shared" si="84"/>
        <v>0</v>
      </c>
      <c r="AB1450" s="350">
        <f t="shared" si="85"/>
        <v>0</v>
      </c>
    </row>
    <row r="1451" spans="8:28" ht="22.15" customHeight="1" x14ac:dyDescent="0.25">
      <c r="H1451" s="346"/>
      <c r="O1451" s="347"/>
      <c r="Y1451" s="20">
        <f t="shared" si="87"/>
        <v>0</v>
      </c>
      <c r="AA1451" s="98">
        <f t="shared" si="84"/>
        <v>0</v>
      </c>
      <c r="AB1451" s="350">
        <f t="shared" si="85"/>
        <v>0</v>
      </c>
    </row>
    <row r="1452" spans="8:28" ht="22.15" customHeight="1" x14ac:dyDescent="0.25">
      <c r="H1452" s="346"/>
      <c r="O1452" s="347"/>
      <c r="Y1452" s="20">
        <f t="shared" si="87"/>
        <v>0</v>
      </c>
      <c r="AA1452" s="98">
        <f t="shared" si="84"/>
        <v>0</v>
      </c>
      <c r="AB1452" s="350">
        <f t="shared" si="85"/>
        <v>0</v>
      </c>
    </row>
    <row r="1453" spans="8:28" ht="22.15" customHeight="1" x14ac:dyDescent="0.25">
      <c r="H1453" s="346"/>
      <c r="O1453" s="347"/>
      <c r="Y1453" s="20">
        <f t="shared" si="87"/>
        <v>0</v>
      </c>
      <c r="AA1453" s="98">
        <f t="shared" ref="AA1453:AA1516" si="88">H1453-I1453</f>
        <v>0</v>
      </c>
      <c r="AB1453" s="350">
        <f t="shared" ref="AB1453:AB1516" si="89">R1453-H1453</f>
        <v>0</v>
      </c>
    </row>
    <row r="1454" spans="8:28" ht="22.15" customHeight="1" x14ac:dyDescent="0.25">
      <c r="H1454" s="346"/>
      <c r="O1454" s="347"/>
      <c r="Y1454" s="20">
        <f t="shared" si="87"/>
        <v>0</v>
      </c>
      <c r="AA1454" s="98">
        <f t="shared" si="88"/>
        <v>0</v>
      </c>
      <c r="AB1454" s="350">
        <f t="shared" si="89"/>
        <v>0</v>
      </c>
    </row>
    <row r="1455" spans="8:28" ht="22.15" customHeight="1" x14ac:dyDescent="0.25">
      <c r="H1455" s="346"/>
      <c r="O1455" s="347"/>
      <c r="Y1455" s="20">
        <f t="shared" si="87"/>
        <v>0</v>
      </c>
      <c r="AA1455" s="98">
        <f t="shared" si="88"/>
        <v>0</v>
      </c>
      <c r="AB1455" s="350">
        <f t="shared" si="89"/>
        <v>0</v>
      </c>
    </row>
    <row r="1456" spans="8:28" ht="22.15" customHeight="1" x14ac:dyDescent="0.25">
      <c r="H1456" s="346"/>
      <c r="O1456" s="347"/>
      <c r="Y1456" s="20">
        <f t="shared" si="87"/>
        <v>0</v>
      </c>
      <c r="AA1456" s="98">
        <f t="shared" si="88"/>
        <v>0</v>
      </c>
      <c r="AB1456" s="350">
        <f t="shared" si="89"/>
        <v>0</v>
      </c>
    </row>
    <row r="1457" spans="8:28" ht="22.15" customHeight="1" x14ac:dyDescent="0.25">
      <c r="H1457" s="346"/>
      <c r="O1457" s="347"/>
      <c r="Y1457" s="20">
        <f t="shared" si="87"/>
        <v>0</v>
      </c>
      <c r="AA1457" s="98">
        <f t="shared" si="88"/>
        <v>0</v>
      </c>
      <c r="AB1457" s="350">
        <f t="shared" si="89"/>
        <v>0</v>
      </c>
    </row>
    <row r="1458" spans="8:28" ht="22.15" customHeight="1" x14ac:dyDescent="0.25">
      <c r="H1458" s="346"/>
      <c r="O1458" s="347"/>
      <c r="Y1458" s="20">
        <f t="shared" si="87"/>
        <v>0</v>
      </c>
      <c r="AA1458" s="98">
        <f t="shared" si="88"/>
        <v>0</v>
      </c>
      <c r="AB1458" s="350">
        <f t="shared" si="89"/>
        <v>0</v>
      </c>
    </row>
    <row r="1459" spans="8:28" ht="22.15" customHeight="1" x14ac:dyDescent="0.25">
      <c r="H1459" s="346"/>
      <c r="O1459" s="347"/>
      <c r="Y1459" s="20">
        <f t="shared" si="87"/>
        <v>0</v>
      </c>
      <c r="AA1459" s="98">
        <f t="shared" si="88"/>
        <v>0</v>
      </c>
      <c r="AB1459" s="350">
        <f t="shared" si="89"/>
        <v>0</v>
      </c>
    </row>
    <row r="1460" spans="8:28" ht="22.15" customHeight="1" x14ac:dyDescent="0.25">
      <c r="H1460" s="346"/>
      <c r="O1460" s="347"/>
      <c r="Y1460" s="20">
        <f t="shared" si="87"/>
        <v>0</v>
      </c>
      <c r="AA1460" s="98">
        <f t="shared" si="88"/>
        <v>0</v>
      </c>
      <c r="AB1460" s="350">
        <f t="shared" si="89"/>
        <v>0</v>
      </c>
    </row>
    <row r="1461" spans="8:28" ht="22.15" customHeight="1" x14ac:dyDescent="0.25">
      <c r="H1461" s="346"/>
      <c r="O1461" s="347"/>
      <c r="Y1461" s="20">
        <f t="shared" si="87"/>
        <v>0</v>
      </c>
      <c r="AA1461" s="98">
        <f t="shared" si="88"/>
        <v>0</v>
      </c>
      <c r="AB1461" s="350">
        <f t="shared" si="89"/>
        <v>0</v>
      </c>
    </row>
    <row r="1462" spans="8:28" ht="22.15" customHeight="1" x14ac:dyDescent="0.25">
      <c r="H1462" s="346"/>
      <c r="O1462" s="347"/>
      <c r="Y1462" s="20">
        <f t="shared" si="87"/>
        <v>0</v>
      </c>
      <c r="AA1462" s="98">
        <f t="shared" si="88"/>
        <v>0</v>
      </c>
      <c r="AB1462" s="350">
        <f t="shared" si="89"/>
        <v>0</v>
      </c>
    </row>
    <row r="1463" spans="8:28" ht="22.15" customHeight="1" x14ac:dyDescent="0.25">
      <c r="H1463" s="346"/>
      <c r="O1463" s="347"/>
      <c r="Y1463" s="20">
        <f t="shared" si="87"/>
        <v>0</v>
      </c>
      <c r="AA1463" s="98">
        <f t="shared" si="88"/>
        <v>0</v>
      </c>
      <c r="AB1463" s="350">
        <f t="shared" si="89"/>
        <v>0</v>
      </c>
    </row>
    <row r="1464" spans="8:28" ht="22.15" customHeight="1" x14ac:dyDescent="0.25">
      <c r="H1464" s="346"/>
      <c r="O1464" s="347"/>
      <c r="Y1464" s="20">
        <f t="shared" si="87"/>
        <v>0</v>
      </c>
      <c r="AA1464" s="98">
        <f t="shared" si="88"/>
        <v>0</v>
      </c>
      <c r="AB1464" s="350">
        <f t="shared" si="89"/>
        <v>0</v>
      </c>
    </row>
    <row r="1465" spans="8:28" ht="22.15" customHeight="1" x14ac:dyDescent="0.25">
      <c r="H1465" s="346"/>
      <c r="O1465" s="347"/>
      <c r="Y1465" s="20">
        <f t="shared" si="87"/>
        <v>0</v>
      </c>
      <c r="AA1465" s="98">
        <f t="shared" si="88"/>
        <v>0</v>
      </c>
      <c r="AB1465" s="350">
        <f t="shared" si="89"/>
        <v>0</v>
      </c>
    </row>
    <row r="1466" spans="8:28" ht="22.15" customHeight="1" x14ac:dyDescent="0.25">
      <c r="H1466" s="346"/>
      <c r="O1466" s="347"/>
      <c r="Y1466" s="20">
        <f t="shared" si="87"/>
        <v>0</v>
      </c>
      <c r="AA1466" s="98">
        <f t="shared" si="88"/>
        <v>0</v>
      </c>
      <c r="AB1466" s="350">
        <f t="shared" si="89"/>
        <v>0</v>
      </c>
    </row>
    <row r="1467" spans="8:28" ht="22.15" customHeight="1" x14ac:dyDescent="0.25">
      <c r="H1467" s="346"/>
      <c r="O1467" s="347"/>
      <c r="Y1467" s="20">
        <f t="shared" ref="Y1467:Y1499" si="90">COUNTIF(K:K,K1467)</f>
        <v>0</v>
      </c>
      <c r="AA1467" s="98">
        <f t="shared" si="88"/>
        <v>0</v>
      </c>
      <c r="AB1467" s="350">
        <f t="shared" si="89"/>
        <v>0</v>
      </c>
    </row>
    <row r="1468" spans="8:28" ht="22.15" customHeight="1" x14ac:dyDescent="0.25">
      <c r="H1468" s="346"/>
      <c r="O1468" s="347"/>
      <c r="Y1468" s="20">
        <f t="shared" si="90"/>
        <v>0</v>
      </c>
      <c r="AA1468" s="98">
        <f t="shared" si="88"/>
        <v>0</v>
      </c>
      <c r="AB1468" s="350">
        <f t="shared" si="89"/>
        <v>0</v>
      </c>
    </row>
    <row r="1469" spans="8:28" ht="22.15" customHeight="1" x14ac:dyDescent="0.25">
      <c r="H1469" s="346"/>
      <c r="O1469" s="347"/>
      <c r="Y1469" s="20">
        <f t="shared" si="90"/>
        <v>0</v>
      </c>
      <c r="AA1469" s="98">
        <f t="shared" si="88"/>
        <v>0</v>
      </c>
      <c r="AB1469" s="350">
        <f t="shared" si="89"/>
        <v>0</v>
      </c>
    </row>
    <row r="1470" spans="8:28" ht="22.15" customHeight="1" x14ac:dyDescent="0.25">
      <c r="H1470" s="346"/>
      <c r="O1470" s="347"/>
      <c r="Y1470" s="20">
        <f t="shared" si="90"/>
        <v>0</v>
      </c>
      <c r="AA1470" s="98">
        <f t="shared" si="88"/>
        <v>0</v>
      </c>
      <c r="AB1470" s="350">
        <f t="shared" si="89"/>
        <v>0</v>
      </c>
    </row>
    <row r="1471" spans="8:28" ht="22.15" customHeight="1" x14ac:dyDescent="0.25">
      <c r="H1471" s="346"/>
      <c r="O1471" s="347"/>
      <c r="Y1471" s="20">
        <f t="shared" si="90"/>
        <v>0</v>
      </c>
      <c r="AA1471" s="98">
        <f t="shared" si="88"/>
        <v>0</v>
      </c>
      <c r="AB1471" s="350">
        <f t="shared" si="89"/>
        <v>0</v>
      </c>
    </row>
    <row r="1472" spans="8:28" ht="22.15" customHeight="1" x14ac:dyDescent="0.25">
      <c r="H1472" s="346"/>
      <c r="O1472" s="347"/>
      <c r="Y1472" s="20">
        <f t="shared" si="90"/>
        <v>0</v>
      </c>
      <c r="AA1472" s="98">
        <f t="shared" si="88"/>
        <v>0</v>
      </c>
      <c r="AB1472" s="350">
        <f t="shared" si="89"/>
        <v>0</v>
      </c>
    </row>
    <row r="1473" spans="8:28" ht="22.15" customHeight="1" x14ac:dyDescent="0.25">
      <c r="H1473" s="346"/>
      <c r="O1473" s="347"/>
      <c r="Y1473" s="20">
        <f t="shared" si="90"/>
        <v>0</v>
      </c>
      <c r="AA1473" s="98">
        <f t="shared" si="88"/>
        <v>0</v>
      </c>
      <c r="AB1473" s="350">
        <f t="shared" si="89"/>
        <v>0</v>
      </c>
    </row>
    <row r="1474" spans="8:28" ht="22.15" customHeight="1" x14ac:dyDescent="0.25">
      <c r="H1474" s="346"/>
      <c r="O1474" s="347"/>
      <c r="Y1474" s="20">
        <f t="shared" si="90"/>
        <v>0</v>
      </c>
      <c r="AA1474" s="98">
        <f t="shared" si="88"/>
        <v>0</v>
      </c>
      <c r="AB1474" s="350">
        <f t="shared" si="89"/>
        <v>0</v>
      </c>
    </row>
    <row r="1475" spans="8:28" ht="22.15" customHeight="1" x14ac:dyDescent="0.25">
      <c r="H1475" s="346"/>
      <c r="O1475" s="347"/>
      <c r="Y1475" s="20">
        <f t="shared" si="90"/>
        <v>0</v>
      </c>
      <c r="AA1475" s="98">
        <f t="shared" si="88"/>
        <v>0</v>
      </c>
      <c r="AB1475" s="350">
        <f t="shared" si="89"/>
        <v>0</v>
      </c>
    </row>
    <row r="1476" spans="8:28" ht="22.15" customHeight="1" x14ac:dyDescent="0.25">
      <c r="H1476" s="346"/>
      <c r="O1476" s="347"/>
      <c r="Y1476" s="20">
        <f t="shared" si="90"/>
        <v>0</v>
      </c>
      <c r="AA1476" s="98">
        <f t="shared" si="88"/>
        <v>0</v>
      </c>
      <c r="AB1476" s="350">
        <f t="shared" si="89"/>
        <v>0</v>
      </c>
    </row>
    <row r="1477" spans="8:28" ht="22.15" customHeight="1" x14ac:dyDescent="0.25">
      <c r="H1477" s="346"/>
      <c r="O1477" s="347"/>
      <c r="Y1477" s="20">
        <f t="shared" si="90"/>
        <v>0</v>
      </c>
      <c r="AA1477" s="98">
        <f t="shared" si="88"/>
        <v>0</v>
      </c>
      <c r="AB1477" s="350">
        <f t="shared" si="89"/>
        <v>0</v>
      </c>
    </row>
    <row r="1478" spans="8:28" ht="22.15" customHeight="1" x14ac:dyDescent="0.25">
      <c r="H1478" s="346"/>
      <c r="O1478" s="347"/>
      <c r="Y1478" s="20">
        <f t="shared" si="90"/>
        <v>0</v>
      </c>
      <c r="AA1478" s="98">
        <f t="shared" si="88"/>
        <v>0</v>
      </c>
      <c r="AB1478" s="350">
        <f t="shared" si="89"/>
        <v>0</v>
      </c>
    </row>
    <row r="1479" spans="8:28" ht="22.15" customHeight="1" x14ac:dyDescent="0.25">
      <c r="H1479" s="346"/>
      <c r="O1479" s="347"/>
      <c r="Y1479" s="20">
        <f t="shared" si="90"/>
        <v>0</v>
      </c>
      <c r="AA1479" s="98">
        <f t="shared" si="88"/>
        <v>0</v>
      </c>
      <c r="AB1479" s="350">
        <f t="shared" si="89"/>
        <v>0</v>
      </c>
    </row>
    <row r="1480" spans="8:28" ht="22.15" customHeight="1" x14ac:dyDescent="0.25">
      <c r="H1480" s="346"/>
      <c r="O1480" s="347"/>
      <c r="Y1480" s="20">
        <f t="shared" si="90"/>
        <v>0</v>
      </c>
      <c r="AA1480" s="98">
        <f t="shared" si="88"/>
        <v>0</v>
      </c>
      <c r="AB1480" s="350">
        <f t="shared" si="89"/>
        <v>0</v>
      </c>
    </row>
    <row r="1481" spans="8:28" ht="22.15" customHeight="1" x14ac:dyDescent="0.25">
      <c r="H1481" s="346"/>
      <c r="O1481" s="347"/>
      <c r="Y1481" s="20">
        <f t="shared" si="90"/>
        <v>0</v>
      </c>
      <c r="AA1481" s="98">
        <f t="shared" si="88"/>
        <v>0</v>
      </c>
      <c r="AB1481" s="350">
        <f t="shared" si="89"/>
        <v>0</v>
      </c>
    </row>
    <row r="1482" spans="8:28" ht="22.15" customHeight="1" x14ac:dyDescent="0.25">
      <c r="H1482" s="346"/>
      <c r="O1482" s="347"/>
      <c r="Y1482" s="20">
        <f t="shared" si="90"/>
        <v>0</v>
      </c>
      <c r="AA1482" s="98">
        <f t="shared" si="88"/>
        <v>0</v>
      </c>
      <c r="AB1482" s="350">
        <f t="shared" si="89"/>
        <v>0</v>
      </c>
    </row>
    <row r="1483" spans="8:28" ht="22.15" customHeight="1" x14ac:dyDescent="0.25">
      <c r="H1483" s="346"/>
      <c r="O1483" s="347"/>
      <c r="Y1483" s="20">
        <f t="shared" si="90"/>
        <v>0</v>
      </c>
      <c r="AA1483" s="98">
        <f t="shared" si="88"/>
        <v>0</v>
      </c>
      <c r="AB1483" s="350">
        <f t="shared" si="89"/>
        <v>0</v>
      </c>
    </row>
    <row r="1484" spans="8:28" ht="22.15" customHeight="1" x14ac:dyDescent="0.25">
      <c r="H1484" s="346"/>
      <c r="O1484" s="347"/>
      <c r="Y1484" s="20">
        <f t="shared" si="90"/>
        <v>0</v>
      </c>
      <c r="AA1484" s="98">
        <f t="shared" si="88"/>
        <v>0</v>
      </c>
      <c r="AB1484" s="350">
        <f t="shared" si="89"/>
        <v>0</v>
      </c>
    </row>
    <row r="1485" spans="8:28" ht="22.15" customHeight="1" x14ac:dyDescent="0.25">
      <c r="H1485" s="346"/>
      <c r="O1485" s="347"/>
      <c r="Y1485" s="20">
        <f t="shared" si="90"/>
        <v>0</v>
      </c>
      <c r="AA1485" s="98">
        <f t="shared" si="88"/>
        <v>0</v>
      </c>
      <c r="AB1485" s="350">
        <f t="shared" si="89"/>
        <v>0</v>
      </c>
    </row>
    <row r="1486" spans="8:28" ht="22.15" customHeight="1" x14ac:dyDescent="0.25">
      <c r="H1486" s="346"/>
      <c r="O1486" s="347"/>
      <c r="Y1486" s="20">
        <f t="shared" si="90"/>
        <v>0</v>
      </c>
      <c r="AA1486" s="98">
        <f t="shared" si="88"/>
        <v>0</v>
      </c>
      <c r="AB1486" s="350">
        <f t="shared" si="89"/>
        <v>0</v>
      </c>
    </row>
    <row r="1487" spans="8:28" ht="22.15" customHeight="1" x14ac:dyDescent="0.25">
      <c r="H1487" s="346"/>
      <c r="O1487" s="347"/>
      <c r="Y1487" s="20">
        <f t="shared" si="90"/>
        <v>0</v>
      </c>
      <c r="AA1487" s="98">
        <f t="shared" si="88"/>
        <v>0</v>
      </c>
      <c r="AB1487" s="350">
        <f t="shared" si="89"/>
        <v>0</v>
      </c>
    </row>
    <row r="1488" spans="8:28" ht="22.15" customHeight="1" x14ac:dyDescent="0.25">
      <c r="H1488" s="346"/>
      <c r="O1488" s="347"/>
      <c r="Y1488" s="20">
        <f t="shared" si="90"/>
        <v>0</v>
      </c>
      <c r="AA1488" s="98">
        <f t="shared" si="88"/>
        <v>0</v>
      </c>
      <c r="AB1488" s="350">
        <f t="shared" si="89"/>
        <v>0</v>
      </c>
    </row>
    <row r="1489" spans="8:28" ht="22.15" customHeight="1" x14ac:dyDescent="0.25">
      <c r="H1489" s="346"/>
      <c r="O1489" s="347"/>
      <c r="Y1489" s="20">
        <f t="shared" si="90"/>
        <v>0</v>
      </c>
      <c r="AA1489" s="98">
        <f t="shared" si="88"/>
        <v>0</v>
      </c>
      <c r="AB1489" s="350">
        <f t="shared" si="89"/>
        <v>0</v>
      </c>
    </row>
    <row r="1490" spans="8:28" ht="22.15" customHeight="1" x14ac:dyDescent="0.25">
      <c r="H1490" s="346"/>
      <c r="O1490" s="347"/>
      <c r="Y1490" s="20">
        <f t="shared" si="90"/>
        <v>0</v>
      </c>
      <c r="AA1490" s="98">
        <f t="shared" si="88"/>
        <v>0</v>
      </c>
      <c r="AB1490" s="350">
        <f t="shared" si="89"/>
        <v>0</v>
      </c>
    </row>
    <row r="1491" spans="8:28" ht="22.15" customHeight="1" x14ac:dyDescent="0.25">
      <c r="H1491" s="346"/>
      <c r="O1491" s="347"/>
      <c r="Y1491" s="20">
        <f t="shared" si="90"/>
        <v>0</v>
      </c>
      <c r="AA1491" s="98">
        <f t="shared" si="88"/>
        <v>0</v>
      </c>
      <c r="AB1491" s="350">
        <f t="shared" si="89"/>
        <v>0</v>
      </c>
    </row>
    <row r="1492" spans="8:28" ht="22.15" customHeight="1" x14ac:dyDescent="0.25">
      <c r="H1492" s="346"/>
      <c r="O1492" s="347"/>
      <c r="Y1492" s="20">
        <f t="shared" si="90"/>
        <v>0</v>
      </c>
      <c r="AA1492" s="98">
        <f t="shared" si="88"/>
        <v>0</v>
      </c>
      <c r="AB1492" s="350">
        <f t="shared" si="89"/>
        <v>0</v>
      </c>
    </row>
    <row r="1493" spans="8:28" ht="22.15" customHeight="1" x14ac:dyDescent="0.25">
      <c r="H1493" s="346"/>
      <c r="O1493" s="347"/>
      <c r="Y1493" s="20">
        <f t="shared" si="90"/>
        <v>0</v>
      </c>
      <c r="AA1493" s="98">
        <f t="shared" si="88"/>
        <v>0</v>
      </c>
      <c r="AB1493" s="350">
        <f t="shared" si="89"/>
        <v>0</v>
      </c>
    </row>
    <row r="1494" spans="8:28" ht="22.15" customHeight="1" x14ac:dyDescent="0.25">
      <c r="H1494" s="346"/>
      <c r="O1494" s="347"/>
      <c r="Y1494" s="20">
        <f t="shared" si="90"/>
        <v>0</v>
      </c>
      <c r="AA1494" s="98">
        <f t="shared" si="88"/>
        <v>0</v>
      </c>
      <c r="AB1494" s="350">
        <f t="shared" si="89"/>
        <v>0</v>
      </c>
    </row>
    <row r="1495" spans="8:28" ht="22.15" customHeight="1" x14ac:dyDescent="0.25">
      <c r="H1495" s="346"/>
      <c r="O1495" s="347"/>
      <c r="Y1495" s="20">
        <f t="shared" si="90"/>
        <v>0</v>
      </c>
      <c r="AA1495" s="98">
        <f t="shared" si="88"/>
        <v>0</v>
      </c>
      <c r="AB1495" s="350">
        <f t="shared" si="89"/>
        <v>0</v>
      </c>
    </row>
    <row r="1496" spans="8:28" ht="22.15" customHeight="1" x14ac:dyDescent="0.25">
      <c r="H1496" s="346"/>
      <c r="O1496" s="347"/>
      <c r="Y1496" s="20">
        <f t="shared" si="90"/>
        <v>0</v>
      </c>
      <c r="AA1496" s="98">
        <f t="shared" si="88"/>
        <v>0</v>
      </c>
      <c r="AB1496" s="350">
        <f t="shared" si="89"/>
        <v>0</v>
      </c>
    </row>
    <row r="1497" spans="8:28" ht="22.15" customHeight="1" x14ac:dyDescent="0.25">
      <c r="H1497" s="346"/>
      <c r="O1497" s="347"/>
      <c r="Y1497" s="20">
        <f t="shared" si="90"/>
        <v>0</v>
      </c>
      <c r="AA1497" s="98">
        <f t="shared" si="88"/>
        <v>0</v>
      </c>
      <c r="AB1497" s="350">
        <f t="shared" si="89"/>
        <v>0</v>
      </c>
    </row>
    <row r="1498" spans="8:28" ht="22.15" customHeight="1" x14ac:dyDescent="0.25">
      <c r="H1498" s="346"/>
      <c r="O1498" s="347"/>
      <c r="Y1498" s="20">
        <f t="shared" si="90"/>
        <v>0</v>
      </c>
      <c r="AA1498" s="98">
        <f t="shared" si="88"/>
        <v>0</v>
      </c>
      <c r="AB1498" s="350">
        <f t="shared" si="89"/>
        <v>0</v>
      </c>
    </row>
    <row r="1499" spans="8:28" ht="22.15" customHeight="1" x14ac:dyDescent="0.25">
      <c r="H1499" s="346"/>
      <c r="O1499" s="347"/>
      <c r="Y1499" s="20">
        <f t="shared" si="90"/>
        <v>0</v>
      </c>
      <c r="AA1499" s="98">
        <f t="shared" si="88"/>
        <v>0</v>
      </c>
      <c r="AB1499" s="350">
        <f t="shared" si="89"/>
        <v>0</v>
      </c>
    </row>
    <row r="1500" spans="8:28" ht="22.15" customHeight="1" x14ac:dyDescent="0.25">
      <c r="H1500" s="346"/>
      <c r="O1500" s="347"/>
      <c r="Y1500" s="20">
        <f>COUNTIF(K:K,K1499)</f>
        <v>0</v>
      </c>
      <c r="AA1500" s="98">
        <f>H1499-I1499</f>
        <v>0</v>
      </c>
      <c r="AB1500" s="350">
        <f>R1499-H1499</f>
        <v>0</v>
      </c>
    </row>
    <row r="1501" spans="8:28" ht="22.15" customHeight="1" x14ac:dyDescent="0.25">
      <c r="H1501" s="346"/>
      <c r="O1501" s="347"/>
      <c r="Y1501" s="20">
        <f>COUNTIF(K:K,K1500)</f>
        <v>0</v>
      </c>
      <c r="AA1501" s="98">
        <f>H1500-I1500</f>
        <v>0</v>
      </c>
      <c r="AB1501" s="350">
        <f>R1500-H1500</f>
        <v>0</v>
      </c>
    </row>
    <row r="1502" spans="8:28" ht="22.15" customHeight="1" x14ac:dyDescent="0.25">
      <c r="H1502" s="346"/>
      <c r="O1502" s="347"/>
      <c r="Y1502" s="20">
        <f>COUNTIF(K:K,K1501)</f>
        <v>0</v>
      </c>
      <c r="AA1502" s="98">
        <f>H1501-I1501</f>
        <v>0</v>
      </c>
      <c r="AB1502" s="350">
        <f>R1501-H1501</f>
        <v>0</v>
      </c>
    </row>
    <row r="1503" spans="8:28" ht="22.15" customHeight="1" x14ac:dyDescent="0.25">
      <c r="H1503" s="346"/>
      <c r="O1503" s="347"/>
      <c r="Y1503" s="20">
        <f t="shared" ref="Y1503:Y1534" si="91">COUNTIF(K:K,K1503)</f>
        <v>0</v>
      </c>
      <c r="AA1503" s="98">
        <f t="shared" si="88"/>
        <v>0</v>
      </c>
      <c r="AB1503" s="350">
        <f t="shared" si="89"/>
        <v>0</v>
      </c>
    </row>
    <row r="1504" spans="8:28" ht="22.15" customHeight="1" x14ac:dyDescent="0.25">
      <c r="H1504" s="346"/>
      <c r="O1504" s="347"/>
      <c r="Y1504" s="20">
        <f t="shared" si="91"/>
        <v>0</v>
      </c>
      <c r="AA1504" s="98">
        <f t="shared" si="88"/>
        <v>0</v>
      </c>
      <c r="AB1504" s="350">
        <f t="shared" si="89"/>
        <v>0</v>
      </c>
    </row>
    <row r="1505" spans="8:28" ht="22.15" customHeight="1" x14ac:dyDescent="0.25">
      <c r="H1505" s="346"/>
      <c r="O1505" s="347"/>
      <c r="Y1505" s="20">
        <f t="shared" si="91"/>
        <v>0</v>
      </c>
      <c r="AA1505" s="98">
        <f t="shared" si="88"/>
        <v>0</v>
      </c>
      <c r="AB1505" s="350">
        <f t="shared" si="89"/>
        <v>0</v>
      </c>
    </row>
    <row r="1506" spans="8:28" ht="22.15" customHeight="1" x14ac:dyDescent="0.25">
      <c r="H1506" s="346"/>
      <c r="O1506" s="347"/>
      <c r="Y1506" s="20">
        <f t="shared" si="91"/>
        <v>0</v>
      </c>
      <c r="AA1506" s="98">
        <f t="shared" si="88"/>
        <v>0</v>
      </c>
      <c r="AB1506" s="350">
        <f t="shared" si="89"/>
        <v>0</v>
      </c>
    </row>
    <row r="1507" spans="8:28" ht="22.15" customHeight="1" x14ac:dyDescent="0.25">
      <c r="H1507" s="346"/>
      <c r="O1507" s="347"/>
      <c r="Y1507" s="20">
        <f t="shared" si="91"/>
        <v>0</v>
      </c>
      <c r="AA1507" s="98">
        <f t="shared" si="88"/>
        <v>0</v>
      </c>
      <c r="AB1507" s="350">
        <f t="shared" si="89"/>
        <v>0</v>
      </c>
    </row>
    <row r="1508" spans="8:28" ht="22.15" customHeight="1" x14ac:dyDescent="0.25">
      <c r="H1508" s="346"/>
      <c r="O1508" s="347"/>
      <c r="Y1508" s="20">
        <f t="shared" si="91"/>
        <v>0</v>
      </c>
      <c r="AA1508" s="98">
        <f t="shared" si="88"/>
        <v>0</v>
      </c>
      <c r="AB1508" s="350">
        <f t="shared" si="89"/>
        <v>0</v>
      </c>
    </row>
    <row r="1509" spans="8:28" ht="22.15" customHeight="1" x14ac:dyDescent="0.25">
      <c r="H1509" s="346"/>
      <c r="O1509" s="347"/>
      <c r="Y1509" s="20">
        <f t="shared" si="91"/>
        <v>0</v>
      </c>
      <c r="AA1509" s="98">
        <f t="shared" si="88"/>
        <v>0</v>
      </c>
      <c r="AB1509" s="350">
        <f t="shared" si="89"/>
        <v>0</v>
      </c>
    </row>
    <row r="1510" spans="8:28" ht="22.15" customHeight="1" x14ac:dyDescent="0.25">
      <c r="H1510" s="346"/>
      <c r="O1510" s="347"/>
      <c r="Y1510" s="20">
        <f t="shared" si="91"/>
        <v>0</v>
      </c>
      <c r="AA1510" s="98">
        <f t="shared" si="88"/>
        <v>0</v>
      </c>
      <c r="AB1510" s="350">
        <f t="shared" si="89"/>
        <v>0</v>
      </c>
    </row>
    <row r="1511" spans="8:28" ht="22.15" customHeight="1" x14ac:dyDescent="0.25">
      <c r="H1511" s="346"/>
      <c r="O1511" s="347"/>
      <c r="Y1511" s="20">
        <f t="shared" si="91"/>
        <v>0</v>
      </c>
      <c r="AA1511" s="98">
        <f t="shared" si="88"/>
        <v>0</v>
      </c>
      <c r="AB1511" s="350">
        <f t="shared" si="89"/>
        <v>0</v>
      </c>
    </row>
    <row r="1512" spans="8:28" ht="22.15" customHeight="1" x14ac:dyDescent="0.25">
      <c r="H1512" s="346"/>
      <c r="O1512" s="347"/>
      <c r="Y1512" s="20">
        <f t="shared" si="91"/>
        <v>0</v>
      </c>
      <c r="AA1512" s="98">
        <f t="shared" si="88"/>
        <v>0</v>
      </c>
      <c r="AB1512" s="350">
        <f t="shared" si="89"/>
        <v>0</v>
      </c>
    </row>
    <row r="1513" spans="8:28" ht="22.15" customHeight="1" x14ac:dyDescent="0.25">
      <c r="H1513" s="346"/>
      <c r="O1513" s="347"/>
      <c r="Y1513" s="20">
        <f t="shared" si="91"/>
        <v>0</v>
      </c>
      <c r="AA1513" s="98">
        <f t="shared" si="88"/>
        <v>0</v>
      </c>
      <c r="AB1513" s="350">
        <f t="shared" si="89"/>
        <v>0</v>
      </c>
    </row>
    <row r="1514" spans="8:28" ht="22.15" customHeight="1" x14ac:dyDescent="0.25">
      <c r="H1514" s="346"/>
      <c r="O1514" s="347"/>
      <c r="Y1514" s="20">
        <f t="shared" si="91"/>
        <v>0</v>
      </c>
      <c r="AA1514" s="98">
        <f t="shared" si="88"/>
        <v>0</v>
      </c>
      <c r="AB1514" s="350">
        <f t="shared" si="89"/>
        <v>0</v>
      </c>
    </row>
    <row r="1515" spans="8:28" ht="22.15" customHeight="1" x14ac:dyDescent="0.25">
      <c r="H1515" s="346"/>
      <c r="O1515" s="347"/>
      <c r="Y1515" s="20">
        <f t="shared" si="91"/>
        <v>0</v>
      </c>
      <c r="AA1515" s="98">
        <f t="shared" si="88"/>
        <v>0</v>
      </c>
      <c r="AB1515" s="350">
        <f t="shared" si="89"/>
        <v>0</v>
      </c>
    </row>
    <row r="1516" spans="8:28" ht="22.15" customHeight="1" x14ac:dyDescent="0.25">
      <c r="H1516" s="346"/>
      <c r="O1516" s="347"/>
      <c r="Y1516" s="20">
        <f t="shared" si="91"/>
        <v>0</v>
      </c>
      <c r="AA1516" s="98">
        <f t="shared" si="88"/>
        <v>0</v>
      </c>
      <c r="AB1516" s="350">
        <f t="shared" si="89"/>
        <v>0</v>
      </c>
    </row>
    <row r="1517" spans="8:28" ht="22.15" customHeight="1" x14ac:dyDescent="0.25">
      <c r="H1517" s="346"/>
      <c r="O1517" s="347"/>
      <c r="Y1517" s="20">
        <f t="shared" si="91"/>
        <v>0</v>
      </c>
      <c r="AA1517" s="98">
        <f t="shared" ref="AA1517:AA1580" si="92">H1517-I1517</f>
        <v>0</v>
      </c>
      <c r="AB1517" s="350">
        <f t="shared" ref="AB1517:AB1580" si="93">R1517-H1517</f>
        <v>0</v>
      </c>
    </row>
    <row r="1518" spans="8:28" ht="22.15" customHeight="1" x14ac:dyDescent="0.25">
      <c r="H1518" s="346"/>
      <c r="O1518" s="347"/>
      <c r="Y1518" s="20">
        <f t="shared" si="91"/>
        <v>0</v>
      </c>
      <c r="AA1518" s="98">
        <f t="shared" si="92"/>
        <v>0</v>
      </c>
      <c r="AB1518" s="350">
        <f t="shared" si="93"/>
        <v>0</v>
      </c>
    </row>
    <row r="1519" spans="8:28" ht="22.15" customHeight="1" x14ac:dyDescent="0.25">
      <c r="H1519" s="346"/>
      <c r="O1519" s="347"/>
      <c r="Y1519" s="20">
        <f t="shared" si="91"/>
        <v>0</v>
      </c>
      <c r="AA1519" s="98">
        <f t="shared" si="92"/>
        <v>0</v>
      </c>
      <c r="AB1519" s="350">
        <f t="shared" si="93"/>
        <v>0</v>
      </c>
    </row>
    <row r="1520" spans="8:28" ht="22.15" customHeight="1" x14ac:dyDescent="0.25">
      <c r="H1520" s="346"/>
      <c r="O1520" s="347"/>
      <c r="Y1520" s="20">
        <f t="shared" si="91"/>
        <v>0</v>
      </c>
      <c r="AA1520" s="98">
        <f t="shared" si="92"/>
        <v>0</v>
      </c>
      <c r="AB1520" s="350">
        <f t="shared" si="93"/>
        <v>0</v>
      </c>
    </row>
    <row r="1521" spans="8:28" ht="22.15" customHeight="1" x14ac:dyDescent="0.25">
      <c r="H1521" s="346"/>
      <c r="O1521" s="347"/>
      <c r="Y1521" s="20">
        <f t="shared" si="91"/>
        <v>0</v>
      </c>
      <c r="AA1521" s="98">
        <f t="shared" si="92"/>
        <v>0</v>
      </c>
      <c r="AB1521" s="350">
        <f t="shared" si="93"/>
        <v>0</v>
      </c>
    </row>
    <row r="1522" spans="8:28" ht="22.15" customHeight="1" x14ac:dyDescent="0.25">
      <c r="H1522" s="346"/>
      <c r="O1522" s="347"/>
      <c r="Y1522" s="20">
        <f t="shared" si="91"/>
        <v>0</v>
      </c>
      <c r="AA1522" s="98">
        <f t="shared" si="92"/>
        <v>0</v>
      </c>
      <c r="AB1522" s="350">
        <f t="shared" si="93"/>
        <v>0</v>
      </c>
    </row>
    <row r="1523" spans="8:28" ht="22.15" customHeight="1" x14ac:dyDescent="0.25">
      <c r="H1523" s="346"/>
      <c r="O1523" s="347"/>
      <c r="Y1523" s="20">
        <f t="shared" si="91"/>
        <v>0</v>
      </c>
      <c r="AA1523" s="98">
        <f t="shared" si="92"/>
        <v>0</v>
      </c>
      <c r="AB1523" s="350">
        <f t="shared" si="93"/>
        <v>0</v>
      </c>
    </row>
    <row r="1524" spans="8:28" ht="22.15" customHeight="1" x14ac:dyDescent="0.25">
      <c r="H1524" s="346"/>
      <c r="O1524" s="347"/>
      <c r="Y1524" s="20">
        <f t="shared" si="91"/>
        <v>0</v>
      </c>
      <c r="AA1524" s="98">
        <f t="shared" si="92"/>
        <v>0</v>
      </c>
      <c r="AB1524" s="350">
        <f t="shared" si="93"/>
        <v>0</v>
      </c>
    </row>
    <row r="1525" spans="8:28" ht="22.15" customHeight="1" x14ac:dyDescent="0.25">
      <c r="H1525" s="346"/>
      <c r="O1525" s="347"/>
      <c r="Y1525" s="20">
        <f t="shared" si="91"/>
        <v>0</v>
      </c>
      <c r="AA1525" s="98">
        <f t="shared" si="92"/>
        <v>0</v>
      </c>
      <c r="AB1525" s="350">
        <f t="shared" si="93"/>
        <v>0</v>
      </c>
    </row>
    <row r="1526" spans="8:28" ht="22.15" customHeight="1" x14ac:dyDescent="0.25">
      <c r="H1526" s="346"/>
      <c r="O1526" s="347"/>
      <c r="Y1526" s="20">
        <f t="shared" si="91"/>
        <v>0</v>
      </c>
      <c r="AA1526" s="98">
        <f t="shared" si="92"/>
        <v>0</v>
      </c>
      <c r="AB1526" s="350">
        <f t="shared" si="93"/>
        <v>0</v>
      </c>
    </row>
    <row r="1527" spans="8:28" ht="22.15" customHeight="1" x14ac:dyDescent="0.25">
      <c r="H1527" s="346"/>
      <c r="O1527" s="347"/>
      <c r="Y1527" s="20">
        <f t="shared" si="91"/>
        <v>0</v>
      </c>
      <c r="AA1527" s="98">
        <f t="shared" si="92"/>
        <v>0</v>
      </c>
      <c r="AB1527" s="350">
        <f t="shared" si="93"/>
        <v>0</v>
      </c>
    </row>
    <row r="1528" spans="8:28" ht="22.15" customHeight="1" x14ac:dyDescent="0.25">
      <c r="H1528" s="346"/>
      <c r="O1528" s="347"/>
      <c r="Y1528" s="20">
        <f t="shared" si="91"/>
        <v>0</v>
      </c>
      <c r="AA1528" s="98">
        <f t="shared" si="92"/>
        <v>0</v>
      </c>
      <c r="AB1528" s="350">
        <f t="shared" si="93"/>
        <v>0</v>
      </c>
    </row>
    <row r="1529" spans="8:28" ht="22.15" customHeight="1" x14ac:dyDescent="0.25">
      <c r="H1529" s="346"/>
      <c r="O1529" s="347"/>
      <c r="Y1529" s="20">
        <f t="shared" si="91"/>
        <v>0</v>
      </c>
      <c r="AA1529" s="98">
        <f t="shared" si="92"/>
        <v>0</v>
      </c>
      <c r="AB1529" s="350">
        <f t="shared" si="93"/>
        <v>0</v>
      </c>
    </row>
    <row r="1530" spans="8:28" ht="22.15" customHeight="1" x14ac:dyDescent="0.25">
      <c r="H1530" s="346"/>
      <c r="O1530" s="347"/>
      <c r="Y1530" s="20">
        <f t="shared" si="91"/>
        <v>0</v>
      </c>
      <c r="AA1530" s="98">
        <f t="shared" si="92"/>
        <v>0</v>
      </c>
      <c r="AB1530" s="350">
        <f t="shared" si="93"/>
        <v>0</v>
      </c>
    </row>
    <row r="1531" spans="8:28" ht="22.15" customHeight="1" x14ac:dyDescent="0.25">
      <c r="H1531" s="346"/>
      <c r="O1531" s="347"/>
      <c r="Y1531" s="20">
        <f t="shared" si="91"/>
        <v>0</v>
      </c>
      <c r="AA1531" s="98">
        <f t="shared" si="92"/>
        <v>0</v>
      </c>
      <c r="AB1531" s="350">
        <f t="shared" si="93"/>
        <v>0</v>
      </c>
    </row>
    <row r="1532" spans="8:28" ht="22.15" customHeight="1" x14ac:dyDescent="0.25">
      <c r="H1532" s="346"/>
      <c r="O1532" s="347"/>
      <c r="Y1532" s="20">
        <f t="shared" si="91"/>
        <v>0</v>
      </c>
      <c r="AA1532" s="98">
        <f t="shared" si="92"/>
        <v>0</v>
      </c>
      <c r="AB1532" s="350">
        <f t="shared" si="93"/>
        <v>0</v>
      </c>
    </row>
    <row r="1533" spans="8:28" ht="22.15" customHeight="1" x14ac:dyDescent="0.25">
      <c r="H1533" s="346"/>
      <c r="O1533" s="347"/>
      <c r="Y1533" s="20">
        <f t="shared" si="91"/>
        <v>0</v>
      </c>
      <c r="AA1533" s="98">
        <f t="shared" si="92"/>
        <v>0</v>
      </c>
      <c r="AB1533" s="350">
        <f t="shared" si="93"/>
        <v>0</v>
      </c>
    </row>
    <row r="1534" spans="8:28" ht="22.15" customHeight="1" x14ac:dyDescent="0.25">
      <c r="H1534" s="346"/>
      <c r="O1534" s="347"/>
      <c r="Y1534" s="20">
        <f t="shared" si="91"/>
        <v>0</v>
      </c>
      <c r="AA1534" s="98">
        <f t="shared" si="92"/>
        <v>0</v>
      </c>
      <c r="AB1534" s="350">
        <f t="shared" si="93"/>
        <v>0</v>
      </c>
    </row>
    <row r="1535" spans="8:28" ht="22.15" customHeight="1" x14ac:dyDescent="0.25">
      <c r="H1535" s="346"/>
      <c r="O1535" s="347"/>
      <c r="Y1535" s="20">
        <f t="shared" ref="Y1535:Y1566" si="94">COUNTIF(K:K,K1535)</f>
        <v>0</v>
      </c>
      <c r="AA1535" s="98">
        <f t="shared" si="92"/>
        <v>0</v>
      </c>
      <c r="AB1535" s="350">
        <f t="shared" si="93"/>
        <v>0</v>
      </c>
    </row>
    <row r="1536" spans="8:28" ht="22.15" customHeight="1" x14ac:dyDescent="0.25">
      <c r="H1536" s="346"/>
      <c r="O1536" s="347"/>
      <c r="Y1536" s="20">
        <f t="shared" si="94"/>
        <v>0</v>
      </c>
      <c r="AA1536" s="98">
        <f t="shared" si="92"/>
        <v>0</v>
      </c>
      <c r="AB1536" s="350">
        <f t="shared" si="93"/>
        <v>0</v>
      </c>
    </row>
    <row r="1537" spans="8:28" ht="22.15" customHeight="1" x14ac:dyDescent="0.25">
      <c r="H1537" s="346"/>
      <c r="O1537" s="347"/>
      <c r="Y1537" s="20">
        <f t="shared" si="94"/>
        <v>0</v>
      </c>
      <c r="AA1537" s="98">
        <f t="shared" si="92"/>
        <v>0</v>
      </c>
      <c r="AB1537" s="350">
        <f t="shared" si="93"/>
        <v>0</v>
      </c>
    </row>
    <row r="1538" spans="8:28" ht="22.15" customHeight="1" x14ac:dyDescent="0.25">
      <c r="H1538" s="346"/>
      <c r="O1538" s="347"/>
      <c r="Y1538" s="20">
        <f t="shared" si="94"/>
        <v>0</v>
      </c>
      <c r="AA1538" s="98">
        <f t="shared" si="92"/>
        <v>0</v>
      </c>
      <c r="AB1538" s="350">
        <f t="shared" si="93"/>
        <v>0</v>
      </c>
    </row>
    <row r="1539" spans="8:28" ht="22.15" customHeight="1" x14ac:dyDescent="0.25">
      <c r="H1539" s="346"/>
      <c r="O1539" s="347"/>
      <c r="Y1539" s="20">
        <f t="shared" si="94"/>
        <v>0</v>
      </c>
      <c r="AA1539" s="98">
        <f t="shared" si="92"/>
        <v>0</v>
      </c>
      <c r="AB1539" s="350">
        <f t="shared" si="93"/>
        <v>0</v>
      </c>
    </row>
    <row r="1540" spans="8:28" ht="22.15" customHeight="1" x14ac:dyDescent="0.25">
      <c r="H1540" s="346"/>
      <c r="O1540" s="347"/>
      <c r="Y1540" s="20">
        <f t="shared" si="94"/>
        <v>0</v>
      </c>
      <c r="AA1540" s="98">
        <f t="shared" si="92"/>
        <v>0</v>
      </c>
      <c r="AB1540" s="350">
        <f t="shared" si="93"/>
        <v>0</v>
      </c>
    </row>
    <row r="1541" spans="8:28" ht="22.15" customHeight="1" x14ac:dyDescent="0.25">
      <c r="H1541" s="346"/>
      <c r="O1541" s="347"/>
      <c r="Y1541" s="20">
        <f t="shared" si="94"/>
        <v>0</v>
      </c>
      <c r="AA1541" s="98">
        <f t="shared" si="92"/>
        <v>0</v>
      </c>
      <c r="AB1541" s="350">
        <f t="shared" si="93"/>
        <v>0</v>
      </c>
    </row>
    <row r="1542" spans="8:28" ht="22.15" customHeight="1" x14ac:dyDescent="0.25">
      <c r="H1542" s="346"/>
      <c r="O1542" s="347"/>
      <c r="Y1542" s="20">
        <f t="shared" si="94"/>
        <v>0</v>
      </c>
      <c r="AA1542" s="98">
        <f t="shared" si="92"/>
        <v>0</v>
      </c>
      <c r="AB1542" s="350">
        <f t="shared" si="93"/>
        <v>0</v>
      </c>
    </row>
    <row r="1543" spans="8:28" ht="22.15" customHeight="1" x14ac:dyDescent="0.25">
      <c r="H1543" s="346"/>
      <c r="O1543" s="347"/>
      <c r="Y1543" s="20">
        <f t="shared" si="94"/>
        <v>0</v>
      </c>
      <c r="AA1543" s="98">
        <f t="shared" si="92"/>
        <v>0</v>
      </c>
      <c r="AB1543" s="350">
        <f t="shared" si="93"/>
        <v>0</v>
      </c>
    </row>
    <row r="1544" spans="8:28" ht="22.15" customHeight="1" x14ac:dyDescent="0.25">
      <c r="H1544" s="346"/>
      <c r="O1544" s="347"/>
      <c r="Y1544" s="20">
        <f t="shared" si="94"/>
        <v>0</v>
      </c>
      <c r="AA1544" s="98">
        <f t="shared" si="92"/>
        <v>0</v>
      </c>
      <c r="AB1544" s="350">
        <f t="shared" si="93"/>
        <v>0</v>
      </c>
    </row>
    <row r="1545" spans="8:28" ht="22.15" customHeight="1" x14ac:dyDescent="0.25">
      <c r="H1545" s="346"/>
      <c r="O1545" s="347"/>
      <c r="Y1545" s="20">
        <f t="shared" si="94"/>
        <v>0</v>
      </c>
      <c r="AA1545" s="98">
        <f t="shared" si="92"/>
        <v>0</v>
      </c>
      <c r="AB1545" s="350">
        <f t="shared" si="93"/>
        <v>0</v>
      </c>
    </row>
    <row r="1546" spans="8:28" ht="22.15" customHeight="1" x14ac:dyDescent="0.25">
      <c r="H1546" s="346"/>
      <c r="O1546" s="347"/>
      <c r="Y1546" s="20">
        <f t="shared" si="94"/>
        <v>0</v>
      </c>
      <c r="AA1546" s="98">
        <f t="shared" si="92"/>
        <v>0</v>
      </c>
      <c r="AB1546" s="350">
        <f t="shared" si="93"/>
        <v>0</v>
      </c>
    </row>
    <row r="1547" spans="8:28" ht="22.15" customHeight="1" x14ac:dyDescent="0.25">
      <c r="H1547" s="346"/>
      <c r="O1547" s="347"/>
      <c r="Y1547" s="20">
        <f t="shared" si="94"/>
        <v>0</v>
      </c>
      <c r="AA1547" s="98">
        <f t="shared" si="92"/>
        <v>0</v>
      </c>
      <c r="AB1547" s="350">
        <f t="shared" si="93"/>
        <v>0</v>
      </c>
    </row>
    <row r="1548" spans="8:28" ht="22.15" customHeight="1" x14ac:dyDescent="0.25">
      <c r="H1548" s="346"/>
      <c r="O1548" s="347"/>
      <c r="Y1548" s="20">
        <f t="shared" si="94"/>
        <v>0</v>
      </c>
      <c r="AA1548" s="98">
        <f t="shared" si="92"/>
        <v>0</v>
      </c>
      <c r="AB1548" s="350">
        <f t="shared" si="93"/>
        <v>0</v>
      </c>
    </row>
    <row r="1549" spans="8:28" ht="22.15" customHeight="1" x14ac:dyDescent="0.25">
      <c r="H1549" s="346"/>
      <c r="O1549" s="347"/>
      <c r="Y1549" s="20">
        <f t="shared" si="94"/>
        <v>0</v>
      </c>
      <c r="AA1549" s="98">
        <f t="shared" si="92"/>
        <v>0</v>
      </c>
      <c r="AB1549" s="350">
        <f t="shared" si="93"/>
        <v>0</v>
      </c>
    </row>
    <row r="1550" spans="8:28" ht="22.15" customHeight="1" x14ac:dyDescent="0.25">
      <c r="H1550" s="346"/>
      <c r="O1550" s="347"/>
      <c r="Y1550" s="20">
        <f t="shared" si="94"/>
        <v>0</v>
      </c>
      <c r="AA1550" s="98">
        <f t="shared" si="92"/>
        <v>0</v>
      </c>
      <c r="AB1550" s="350">
        <f t="shared" si="93"/>
        <v>0</v>
      </c>
    </row>
    <row r="1551" spans="8:28" ht="22.15" customHeight="1" x14ac:dyDescent="0.25">
      <c r="H1551" s="346"/>
      <c r="O1551" s="347"/>
      <c r="Y1551" s="20">
        <f t="shared" si="94"/>
        <v>0</v>
      </c>
      <c r="AA1551" s="98">
        <f t="shared" si="92"/>
        <v>0</v>
      </c>
      <c r="AB1551" s="350">
        <f t="shared" si="93"/>
        <v>0</v>
      </c>
    </row>
    <row r="1552" spans="8:28" ht="22.15" customHeight="1" x14ac:dyDescent="0.25">
      <c r="H1552" s="346"/>
      <c r="O1552" s="347"/>
      <c r="Y1552" s="20">
        <f t="shared" si="94"/>
        <v>0</v>
      </c>
      <c r="AA1552" s="98">
        <f t="shared" si="92"/>
        <v>0</v>
      </c>
      <c r="AB1552" s="350">
        <f t="shared" si="93"/>
        <v>0</v>
      </c>
    </row>
    <row r="1553" spans="8:28" ht="22.15" customHeight="1" x14ac:dyDescent="0.25">
      <c r="H1553" s="346"/>
      <c r="O1553" s="347"/>
      <c r="Y1553" s="20">
        <f t="shared" si="94"/>
        <v>0</v>
      </c>
      <c r="AA1553" s="98">
        <f t="shared" si="92"/>
        <v>0</v>
      </c>
      <c r="AB1553" s="350">
        <f t="shared" si="93"/>
        <v>0</v>
      </c>
    </row>
    <row r="1554" spans="8:28" ht="22.15" customHeight="1" x14ac:dyDescent="0.25">
      <c r="H1554" s="346"/>
      <c r="O1554" s="347"/>
      <c r="Y1554" s="20">
        <f t="shared" si="94"/>
        <v>0</v>
      </c>
      <c r="AA1554" s="98">
        <f t="shared" si="92"/>
        <v>0</v>
      </c>
      <c r="AB1554" s="350">
        <f t="shared" si="93"/>
        <v>0</v>
      </c>
    </row>
    <row r="1555" spans="8:28" ht="22.15" customHeight="1" x14ac:dyDescent="0.25">
      <c r="H1555" s="346"/>
      <c r="O1555" s="347"/>
      <c r="Y1555" s="20">
        <f t="shared" si="94"/>
        <v>0</v>
      </c>
      <c r="AA1555" s="98">
        <f t="shared" si="92"/>
        <v>0</v>
      </c>
      <c r="AB1555" s="350">
        <f t="shared" si="93"/>
        <v>0</v>
      </c>
    </row>
    <row r="1556" spans="8:28" ht="22.15" customHeight="1" x14ac:dyDescent="0.25">
      <c r="H1556" s="346"/>
      <c r="O1556" s="347"/>
      <c r="Y1556" s="20">
        <f t="shared" si="94"/>
        <v>0</v>
      </c>
      <c r="AA1556" s="98">
        <f t="shared" si="92"/>
        <v>0</v>
      </c>
      <c r="AB1556" s="350">
        <f t="shared" si="93"/>
        <v>0</v>
      </c>
    </row>
    <row r="1557" spans="8:28" ht="22.15" customHeight="1" x14ac:dyDescent="0.25">
      <c r="H1557" s="346"/>
      <c r="O1557" s="347"/>
      <c r="Y1557" s="20">
        <f t="shared" si="94"/>
        <v>0</v>
      </c>
      <c r="AA1557" s="98">
        <f t="shared" si="92"/>
        <v>0</v>
      </c>
      <c r="AB1557" s="350">
        <f t="shared" si="93"/>
        <v>0</v>
      </c>
    </row>
    <row r="1558" spans="8:28" ht="22.15" customHeight="1" x14ac:dyDescent="0.25">
      <c r="H1558" s="346"/>
      <c r="O1558" s="347"/>
      <c r="Y1558" s="20">
        <f t="shared" si="94"/>
        <v>0</v>
      </c>
      <c r="AA1558" s="98">
        <f t="shared" si="92"/>
        <v>0</v>
      </c>
      <c r="AB1558" s="350">
        <f t="shared" si="93"/>
        <v>0</v>
      </c>
    </row>
    <row r="1559" spans="8:28" ht="22.15" customHeight="1" x14ac:dyDescent="0.25">
      <c r="H1559" s="346"/>
      <c r="O1559" s="347"/>
      <c r="Y1559" s="20">
        <f t="shared" si="94"/>
        <v>0</v>
      </c>
      <c r="AA1559" s="98">
        <f t="shared" si="92"/>
        <v>0</v>
      </c>
      <c r="AB1559" s="350">
        <f t="shared" si="93"/>
        <v>0</v>
      </c>
    </row>
    <row r="1560" spans="8:28" ht="22.15" customHeight="1" x14ac:dyDescent="0.25">
      <c r="H1560" s="346"/>
      <c r="O1560" s="347"/>
      <c r="Y1560" s="20">
        <f t="shared" si="94"/>
        <v>0</v>
      </c>
      <c r="AA1560" s="98">
        <f t="shared" si="92"/>
        <v>0</v>
      </c>
      <c r="AB1560" s="350">
        <f t="shared" si="93"/>
        <v>0</v>
      </c>
    </row>
    <row r="1561" spans="8:28" ht="22.15" customHeight="1" x14ac:dyDescent="0.25">
      <c r="H1561" s="346"/>
      <c r="O1561" s="347"/>
      <c r="Y1561" s="20">
        <f t="shared" si="94"/>
        <v>0</v>
      </c>
      <c r="AA1561" s="98">
        <f t="shared" si="92"/>
        <v>0</v>
      </c>
      <c r="AB1561" s="350">
        <f t="shared" si="93"/>
        <v>0</v>
      </c>
    </row>
    <row r="1562" spans="8:28" ht="22.15" customHeight="1" x14ac:dyDescent="0.25">
      <c r="H1562" s="346"/>
      <c r="O1562" s="347"/>
      <c r="Y1562" s="20">
        <f t="shared" si="94"/>
        <v>0</v>
      </c>
      <c r="AA1562" s="98">
        <f t="shared" si="92"/>
        <v>0</v>
      </c>
      <c r="AB1562" s="350">
        <f t="shared" si="93"/>
        <v>0</v>
      </c>
    </row>
    <row r="1563" spans="8:28" ht="22.15" customHeight="1" x14ac:dyDescent="0.25">
      <c r="H1563" s="346"/>
      <c r="O1563" s="347"/>
      <c r="Y1563" s="20">
        <f t="shared" si="94"/>
        <v>0</v>
      </c>
      <c r="AA1563" s="98">
        <f t="shared" si="92"/>
        <v>0</v>
      </c>
      <c r="AB1563" s="350">
        <f t="shared" si="93"/>
        <v>0</v>
      </c>
    </row>
    <row r="1564" spans="8:28" ht="22.15" customHeight="1" x14ac:dyDescent="0.25">
      <c r="H1564" s="346"/>
      <c r="O1564" s="347"/>
      <c r="Y1564" s="20">
        <f t="shared" si="94"/>
        <v>0</v>
      </c>
      <c r="AA1564" s="98">
        <f t="shared" si="92"/>
        <v>0</v>
      </c>
      <c r="AB1564" s="350">
        <f t="shared" si="93"/>
        <v>0</v>
      </c>
    </row>
    <row r="1565" spans="8:28" ht="22.15" customHeight="1" x14ac:dyDescent="0.25">
      <c r="H1565" s="346"/>
      <c r="O1565" s="347"/>
      <c r="Y1565" s="20">
        <f t="shared" si="94"/>
        <v>0</v>
      </c>
      <c r="AA1565" s="98">
        <f t="shared" si="92"/>
        <v>0</v>
      </c>
      <c r="AB1565" s="350">
        <f t="shared" si="93"/>
        <v>0</v>
      </c>
    </row>
    <row r="1566" spans="8:28" ht="22.15" customHeight="1" x14ac:dyDescent="0.25">
      <c r="H1566" s="346"/>
      <c r="O1566" s="347"/>
      <c r="Y1566" s="20">
        <f t="shared" si="94"/>
        <v>0</v>
      </c>
      <c r="AA1566" s="98">
        <f t="shared" si="92"/>
        <v>0</v>
      </c>
      <c r="AB1566" s="350">
        <f t="shared" si="93"/>
        <v>0</v>
      </c>
    </row>
    <row r="1567" spans="8:28" ht="22.15" customHeight="1" x14ac:dyDescent="0.25">
      <c r="H1567" s="346"/>
      <c r="O1567" s="347"/>
      <c r="Y1567" s="20">
        <f t="shared" ref="Y1567:Y1599" si="95">COUNTIF(K:K,K1567)</f>
        <v>0</v>
      </c>
      <c r="AA1567" s="98">
        <f t="shared" si="92"/>
        <v>0</v>
      </c>
      <c r="AB1567" s="350">
        <f t="shared" si="93"/>
        <v>0</v>
      </c>
    </row>
    <row r="1568" spans="8:28" ht="22.15" customHeight="1" x14ac:dyDescent="0.25">
      <c r="H1568" s="346"/>
      <c r="O1568" s="347"/>
      <c r="Y1568" s="20">
        <f t="shared" si="95"/>
        <v>0</v>
      </c>
      <c r="AA1568" s="98">
        <f t="shared" si="92"/>
        <v>0</v>
      </c>
      <c r="AB1568" s="350">
        <f t="shared" si="93"/>
        <v>0</v>
      </c>
    </row>
    <row r="1569" spans="8:28" ht="22.15" customHeight="1" x14ac:dyDescent="0.25">
      <c r="H1569" s="346"/>
      <c r="O1569" s="347"/>
      <c r="Y1569" s="20">
        <f t="shared" si="95"/>
        <v>0</v>
      </c>
      <c r="AA1569" s="98">
        <f t="shared" si="92"/>
        <v>0</v>
      </c>
      <c r="AB1569" s="350">
        <f t="shared" si="93"/>
        <v>0</v>
      </c>
    </row>
    <row r="1570" spans="8:28" ht="22.15" customHeight="1" x14ac:dyDescent="0.25">
      <c r="H1570" s="346"/>
      <c r="O1570" s="347"/>
      <c r="Y1570" s="20">
        <f t="shared" si="95"/>
        <v>0</v>
      </c>
      <c r="AA1570" s="98">
        <f t="shared" si="92"/>
        <v>0</v>
      </c>
      <c r="AB1570" s="350">
        <f t="shared" si="93"/>
        <v>0</v>
      </c>
    </row>
    <row r="1571" spans="8:28" ht="22.15" customHeight="1" x14ac:dyDescent="0.25">
      <c r="H1571" s="346"/>
      <c r="O1571" s="347"/>
      <c r="Y1571" s="20">
        <f t="shared" si="95"/>
        <v>0</v>
      </c>
      <c r="AA1571" s="98">
        <f t="shared" si="92"/>
        <v>0</v>
      </c>
      <c r="AB1571" s="350">
        <f t="shared" si="93"/>
        <v>0</v>
      </c>
    </row>
    <row r="1572" spans="8:28" ht="22.15" customHeight="1" x14ac:dyDescent="0.25">
      <c r="H1572" s="346"/>
      <c r="O1572" s="347"/>
      <c r="Y1572" s="20">
        <f t="shared" si="95"/>
        <v>0</v>
      </c>
      <c r="AA1572" s="98">
        <f t="shared" si="92"/>
        <v>0</v>
      </c>
      <c r="AB1572" s="350">
        <f t="shared" si="93"/>
        <v>0</v>
      </c>
    </row>
    <row r="1573" spans="8:28" ht="22.15" customHeight="1" x14ac:dyDescent="0.25">
      <c r="H1573" s="346"/>
      <c r="O1573" s="347"/>
      <c r="Y1573" s="20">
        <f t="shared" si="95"/>
        <v>0</v>
      </c>
      <c r="AA1573" s="98">
        <f t="shared" si="92"/>
        <v>0</v>
      </c>
      <c r="AB1573" s="350">
        <f t="shared" si="93"/>
        <v>0</v>
      </c>
    </row>
    <row r="1574" spans="8:28" ht="22.15" customHeight="1" x14ac:dyDescent="0.25">
      <c r="H1574" s="346"/>
      <c r="O1574" s="347"/>
      <c r="Y1574" s="20">
        <f t="shared" si="95"/>
        <v>0</v>
      </c>
      <c r="AA1574" s="98">
        <f t="shared" si="92"/>
        <v>0</v>
      </c>
      <c r="AB1574" s="350">
        <f t="shared" si="93"/>
        <v>0</v>
      </c>
    </row>
    <row r="1575" spans="8:28" ht="22.15" customHeight="1" x14ac:dyDescent="0.25">
      <c r="H1575" s="346"/>
      <c r="O1575" s="347"/>
      <c r="Y1575" s="20">
        <f t="shared" si="95"/>
        <v>0</v>
      </c>
      <c r="AA1575" s="98">
        <f t="shared" si="92"/>
        <v>0</v>
      </c>
      <c r="AB1575" s="350">
        <f t="shared" si="93"/>
        <v>0</v>
      </c>
    </row>
    <row r="1576" spans="8:28" ht="22.15" customHeight="1" x14ac:dyDescent="0.25">
      <c r="H1576" s="346"/>
      <c r="O1576" s="347"/>
      <c r="Y1576" s="20">
        <f t="shared" si="95"/>
        <v>0</v>
      </c>
      <c r="AA1576" s="98">
        <f t="shared" si="92"/>
        <v>0</v>
      </c>
      <c r="AB1576" s="350">
        <f t="shared" si="93"/>
        <v>0</v>
      </c>
    </row>
    <row r="1577" spans="8:28" ht="22.15" customHeight="1" x14ac:dyDescent="0.25">
      <c r="H1577" s="346"/>
      <c r="O1577" s="347"/>
      <c r="Y1577" s="20">
        <f t="shared" si="95"/>
        <v>0</v>
      </c>
      <c r="AA1577" s="98">
        <f t="shared" si="92"/>
        <v>0</v>
      </c>
      <c r="AB1577" s="350">
        <f t="shared" si="93"/>
        <v>0</v>
      </c>
    </row>
    <row r="1578" spans="8:28" ht="22.15" customHeight="1" x14ac:dyDescent="0.25">
      <c r="H1578" s="346"/>
      <c r="O1578" s="347"/>
      <c r="Y1578" s="20">
        <f t="shared" si="95"/>
        <v>0</v>
      </c>
      <c r="AA1578" s="98">
        <f t="shared" si="92"/>
        <v>0</v>
      </c>
      <c r="AB1578" s="350">
        <f t="shared" si="93"/>
        <v>0</v>
      </c>
    </row>
    <row r="1579" spans="8:28" ht="22.15" customHeight="1" x14ac:dyDescent="0.25">
      <c r="H1579" s="346"/>
      <c r="O1579" s="347"/>
      <c r="Y1579" s="20">
        <f t="shared" si="95"/>
        <v>0</v>
      </c>
      <c r="AA1579" s="98">
        <f t="shared" si="92"/>
        <v>0</v>
      </c>
      <c r="AB1579" s="350">
        <f t="shared" si="93"/>
        <v>0</v>
      </c>
    </row>
    <row r="1580" spans="8:28" ht="22.15" customHeight="1" x14ac:dyDescent="0.25">
      <c r="H1580" s="346"/>
      <c r="O1580" s="347"/>
      <c r="Y1580" s="20">
        <f t="shared" si="95"/>
        <v>0</v>
      </c>
      <c r="AA1580" s="98">
        <f t="shared" si="92"/>
        <v>0</v>
      </c>
      <c r="AB1580" s="350">
        <f t="shared" si="93"/>
        <v>0</v>
      </c>
    </row>
    <row r="1581" spans="8:28" ht="22.15" customHeight="1" x14ac:dyDescent="0.25">
      <c r="H1581" s="346"/>
      <c r="O1581" s="347"/>
      <c r="Y1581" s="20">
        <f t="shared" si="95"/>
        <v>0</v>
      </c>
      <c r="AA1581" s="98">
        <f t="shared" ref="AA1581:AA1644" si="96">H1581-I1581</f>
        <v>0</v>
      </c>
      <c r="AB1581" s="350">
        <f t="shared" ref="AB1581:AB1644" si="97">R1581-H1581</f>
        <v>0</v>
      </c>
    </row>
    <row r="1582" spans="8:28" ht="22.15" customHeight="1" x14ac:dyDescent="0.25">
      <c r="H1582" s="346"/>
      <c r="O1582" s="347"/>
      <c r="Y1582" s="20">
        <f t="shared" si="95"/>
        <v>0</v>
      </c>
      <c r="AA1582" s="98">
        <f t="shared" si="96"/>
        <v>0</v>
      </c>
      <c r="AB1582" s="350">
        <f t="shared" si="97"/>
        <v>0</v>
      </c>
    </row>
    <row r="1583" spans="8:28" ht="22.15" customHeight="1" x14ac:dyDescent="0.25">
      <c r="H1583" s="346"/>
      <c r="O1583" s="347"/>
      <c r="Y1583" s="20">
        <f t="shared" si="95"/>
        <v>0</v>
      </c>
      <c r="AA1583" s="98">
        <f t="shared" si="96"/>
        <v>0</v>
      </c>
      <c r="AB1583" s="350">
        <f t="shared" si="97"/>
        <v>0</v>
      </c>
    </row>
    <row r="1584" spans="8:28" ht="22.15" customHeight="1" x14ac:dyDescent="0.25">
      <c r="H1584" s="346"/>
      <c r="O1584" s="347"/>
      <c r="Y1584" s="20">
        <f t="shared" si="95"/>
        <v>0</v>
      </c>
      <c r="AA1584" s="98">
        <f t="shared" si="96"/>
        <v>0</v>
      </c>
      <c r="AB1584" s="350">
        <f t="shared" si="97"/>
        <v>0</v>
      </c>
    </row>
    <row r="1585" spans="8:28" ht="22.15" customHeight="1" x14ac:dyDescent="0.25">
      <c r="H1585" s="346"/>
      <c r="O1585" s="347"/>
      <c r="Y1585" s="20">
        <f t="shared" si="95"/>
        <v>0</v>
      </c>
      <c r="AA1585" s="98">
        <f t="shared" si="96"/>
        <v>0</v>
      </c>
      <c r="AB1585" s="350">
        <f t="shared" si="97"/>
        <v>0</v>
      </c>
    </row>
    <row r="1586" spans="8:28" ht="22.15" customHeight="1" x14ac:dyDescent="0.25">
      <c r="H1586" s="346"/>
      <c r="O1586" s="347"/>
      <c r="Y1586" s="20">
        <f t="shared" si="95"/>
        <v>0</v>
      </c>
      <c r="AA1586" s="98">
        <f t="shared" si="96"/>
        <v>0</v>
      </c>
      <c r="AB1586" s="350">
        <f t="shared" si="97"/>
        <v>0</v>
      </c>
    </row>
    <row r="1587" spans="8:28" ht="22.15" customHeight="1" x14ac:dyDescent="0.25">
      <c r="H1587" s="346"/>
      <c r="O1587" s="347"/>
      <c r="Y1587" s="20">
        <f t="shared" si="95"/>
        <v>0</v>
      </c>
      <c r="AA1587" s="98">
        <f t="shared" si="96"/>
        <v>0</v>
      </c>
      <c r="AB1587" s="350">
        <f t="shared" si="97"/>
        <v>0</v>
      </c>
    </row>
    <row r="1588" spans="8:28" ht="22.15" customHeight="1" x14ac:dyDescent="0.25">
      <c r="H1588" s="346"/>
      <c r="O1588" s="347"/>
      <c r="Y1588" s="20">
        <f t="shared" si="95"/>
        <v>0</v>
      </c>
      <c r="AA1588" s="98">
        <f t="shared" si="96"/>
        <v>0</v>
      </c>
      <c r="AB1588" s="350">
        <f t="shared" si="97"/>
        <v>0</v>
      </c>
    </row>
    <row r="1589" spans="8:28" ht="22.15" customHeight="1" x14ac:dyDescent="0.25">
      <c r="H1589" s="346"/>
      <c r="O1589" s="347"/>
      <c r="Y1589" s="20">
        <f t="shared" si="95"/>
        <v>0</v>
      </c>
      <c r="AA1589" s="98">
        <f t="shared" si="96"/>
        <v>0</v>
      </c>
      <c r="AB1589" s="350">
        <f t="shared" si="97"/>
        <v>0</v>
      </c>
    </row>
    <row r="1590" spans="8:28" ht="22.15" customHeight="1" x14ac:dyDescent="0.25">
      <c r="H1590" s="346"/>
      <c r="O1590" s="347"/>
      <c r="Y1590" s="20">
        <f t="shared" si="95"/>
        <v>0</v>
      </c>
      <c r="AA1590" s="98">
        <f t="shared" si="96"/>
        <v>0</v>
      </c>
      <c r="AB1590" s="350">
        <f t="shared" si="97"/>
        <v>0</v>
      </c>
    </row>
    <row r="1591" spans="8:28" ht="22.15" customHeight="1" x14ac:dyDescent="0.25">
      <c r="H1591" s="346"/>
      <c r="O1591" s="347"/>
      <c r="Y1591" s="20">
        <f t="shared" si="95"/>
        <v>0</v>
      </c>
      <c r="AA1591" s="98">
        <f t="shared" si="96"/>
        <v>0</v>
      </c>
      <c r="AB1591" s="350">
        <f t="shared" si="97"/>
        <v>0</v>
      </c>
    </row>
    <row r="1592" spans="8:28" ht="22.15" customHeight="1" x14ac:dyDescent="0.25">
      <c r="H1592" s="346"/>
      <c r="O1592" s="347"/>
      <c r="Y1592" s="20">
        <f t="shared" si="95"/>
        <v>0</v>
      </c>
      <c r="AA1592" s="98">
        <f t="shared" si="96"/>
        <v>0</v>
      </c>
      <c r="AB1592" s="350">
        <f t="shared" si="97"/>
        <v>0</v>
      </c>
    </row>
    <row r="1593" spans="8:28" ht="22.15" customHeight="1" x14ac:dyDescent="0.25">
      <c r="H1593" s="346"/>
      <c r="O1593" s="347"/>
      <c r="Y1593" s="20">
        <f t="shared" si="95"/>
        <v>0</v>
      </c>
      <c r="AA1593" s="98">
        <f t="shared" si="96"/>
        <v>0</v>
      </c>
      <c r="AB1593" s="350">
        <f t="shared" si="97"/>
        <v>0</v>
      </c>
    </row>
    <row r="1594" spans="8:28" ht="22.15" customHeight="1" x14ac:dyDescent="0.25">
      <c r="H1594" s="346"/>
      <c r="O1594" s="347"/>
      <c r="Y1594" s="20">
        <f t="shared" si="95"/>
        <v>0</v>
      </c>
      <c r="AA1594" s="98">
        <f t="shared" si="96"/>
        <v>0</v>
      </c>
      <c r="AB1594" s="350">
        <f t="shared" si="97"/>
        <v>0</v>
      </c>
    </row>
    <row r="1595" spans="8:28" ht="22.15" customHeight="1" x14ac:dyDescent="0.25">
      <c r="H1595" s="346"/>
      <c r="O1595" s="347"/>
      <c r="Y1595" s="20">
        <f t="shared" si="95"/>
        <v>0</v>
      </c>
      <c r="AA1595" s="98">
        <f t="shared" si="96"/>
        <v>0</v>
      </c>
      <c r="AB1595" s="350">
        <f t="shared" si="97"/>
        <v>0</v>
      </c>
    </row>
    <row r="1596" spans="8:28" ht="22.15" customHeight="1" x14ac:dyDescent="0.25">
      <c r="H1596" s="346"/>
      <c r="O1596" s="347"/>
      <c r="Y1596" s="20">
        <f t="shared" si="95"/>
        <v>0</v>
      </c>
      <c r="AA1596" s="98">
        <f t="shared" si="96"/>
        <v>0</v>
      </c>
      <c r="AB1596" s="350">
        <f t="shared" si="97"/>
        <v>0</v>
      </c>
    </row>
    <row r="1597" spans="8:28" ht="22.15" customHeight="1" x14ac:dyDescent="0.25">
      <c r="H1597" s="346"/>
      <c r="O1597" s="347"/>
      <c r="Y1597" s="20">
        <f t="shared" si="95"/>
        <v>0</v>
      </c>
      <c r="AA1597" s="98">
        <f t="shared" si="96"/>
        <v>0</v>
      </c>
      <c r="AB1597" s="350">
        <f t="shared" si="97"/>
        <v>0</v>
      </c>
    </row>
    <row r="1598" spans="8:28" ht="22.15" customHeight="1" x14ac:dyDescent="0.25">
      <c r="H1598" s="346"/>
      <c r="O1598" s="347"/>
      <c r="Y1598" s="20">
        <f t="shared" si="95"/>
        <v>0</v>
      </c>
      <c r="AA1598" s="98">
        <f t="shared" si="96"/>
        <v>0</v>
      </c>
      <c r="AB1598" s="350">
        <f t="shared" si="97"/>
        <v>0</v>
      </c>
    </row>
    <row r="1599" spans="8:28" ht="22.15" customHeight="1" x14ac:dyDescent="0.25">
      <c r="H1599" s="346"/>
      <c r="O1599" s="347"/>
      <c r="Y1599" s="20">
        <f t="shared" si="95"/>
        <v>0</v>
      </c>
      <c r="AA1599" s="98">
        <f t="shared" si="96"/>
        <v>0</v>
      </c>
      <c r="AB1599" s="350">
        <f t="shared" si="97"/>
        <v>0</v>
      </c>
    </row>
    <row r="1600" spans="8:28" ht="22.15" customHeight="1" x14ac:dyDescent="0.25">
      <c r="H1600" s="346"/>
      <c r="O1600" s="347"/>
      <c r="Y1600" s="20">
        <f>COUNTIF(K:K,K1599)</f>
        <v>0</v>
      </c>
      <c r="AA1600" s="98">
        <f>H1599-I1599</f>
        <v>0</v>
      </c>
      <c r="AB1600" s="350">
        <f>R1599-H1599</f>
        <v>0</v>
      </c>
    </row>
    <row r="1601" spans="8:28" ht="22.15" customHeight="1" x14ac:dyDescent="0.25">
      <c r="H1601" s="346"/>
      <c r="O1601" s="347"/>
      <c r="Y1601" s="20">
        <f>COUNTIF(K:K,K1600)</f>
        <v>0</v>
      </c>
      <c r="AA1601" s="98">
        <f>H1600-I1600</f>
        <v>0</v>
      </c>
      <c r="AB1601" s="350">
        <f>R1600-H1600</f>
        <v>0</v>
      </c>
    </row>
    <row r="1602" spans="8:28" ht="22.15" customHeight="1" x14ac:dyDescent="0.25">
      <c r="H1602" s="346"/>
      <c r="O1602" s="347"/>
      <c r="Y1602" s="20">
        <f>COUNTIF(K:K,K1601)</f>
        <v>0</v>
      </c>
      <c r="AA1602" s="98">
        <f>H1601-I1601</f>
        <v>0</v>
      </c>
      <c r="AB1602" s="350">
        <f>R1601-H1601</f>
        <v>0</v>
      </c>
    </row>
    <row r="1603" spans="8:28" ht="22.15" customHeight="1" x14ac:dyDescent="0.25">
      <c r="H1603" s="346"/>
      <c r="O1603" s="347"/>
      <c r="Y1603" s="20">
        <f t="shared" ref="Y1603:Y1634" si="98">COUNTIF(K:K,K1603)</f>
        <v>0</v>
      </c>
      <c r="AA1603" s="98">
        <f t="shared" si="96"/>
        <v>0</v>
      </c>
      <c r="AB1603" s="350">
        <f t="shared" si="97"/>
        <v>0</v>
      </c>
    </row>
    <row r="1604" spans="8:28" ht="22.15" customHeight="1" x14ac:dyDescent="0.25">
      <c r="H1604" s="346"/>
      <c r="O1604" s="347"/>
      <c r="Y1604" s="20">
        <f t="shared" si="98"/>
        <v>0</v>
      </c>
      <c r="AA1604" s="98">
        <f t="shared" si="96"/>
        <v>0</v>
      </c>
      <c r="AB1604" s="350">
        <f t="shared" si="97"/>
        <v>0</v>
      </c>
    </row>
    <row r="1605" spans="8:28" ht="22.15" customHeight="1" x14ac:dyDescent="0.25">
      <c r="H1605" s="346"/>
      <c r="O1605" s="347"/>
      <c r="Y1605" s="20">
        <f t="shared" si="98"/>
        <v>0</v>
      </c>
      <c r="AA1605" s="98">
        <f t="shared" si="96"/>
        <v>0</v>
      </c>
      <c r="AB1605" s="350">
        <f t="shared" si="97"/>
        <v>0</v>
      </c>
    </row>
    <row r="1606" spans="8:28" ht="22.15" customHeight="1" x14ac:dyDescent="0.25">
      <c r="H1606" s="346"/>
      <c r="O1606" s="347"/>
      <c r="Y1606" s="20">
        <f t="shared" si="98"/>
        <v>0</v>
      </c>
      <c r="AA1606" s="98">
        <f t="shared" si="96"/>
        <v>0</v>
      </c>
      <c r="AB1606" s="350">
        <f t="shared" si="97"/>
        <v>0</v>
      </c>
    </row>
    <row r="1607" spans="8:28" ht="22.15" customHeight="1" x14ac:dyDescent="0.25">
      <c r="H1607" s="346"/>
      <c r="O1607" s="347"/>
      <c r="Y1607" s="20">
        <f t="shared" si="98"/>
        <v>0</v>
      </c>
      <c r="AA1607" s="98">
        <f t="shared" si="96"/>
        <v>0</v>
      </c>
      <c r="AB1607" s="350">
        <f t="shared" si="97"/>
        <v>0</v>
      </c>
    </row>
    <row r="1608" spans="8:28" ht="22.15" customHeight="1" x14ac:dyDescent="0.25">
      <c r="H1608" s="346"/>
      <c r="O1608" s="347"/>
      <c r="Y1608" s="20">
        <f t="shared" si="98"/>
        <v>0</v>
      </c>
      <c r="AA1608" s="98">
        <f t="shared" si="96"/>
        <v>0</v>
      </c>
      <c r="AB1608" s="350">
        <f t="shared" si="97"/>
        <v>0</v>
      </c>
    </row>
    <row r="1609" spans="8:28" ht="22.15" customHeight="1" x14ac:dyDescent="0.25">
      <c r="H1609" s="346"/>
      <c r="O1609" s="347"/>
      <c r="Y1609" s="20">
        <f t="shared" si="98"/>
        <v>0</v>
      </c>
      <c r="AA1609" s="98">
        <f t="shared" si="96"/>
        <v>0</v>
      </c>
      <c r="AB1609" s="350">
        <f t="shared" si="97"/>
        <v>0</v>
      </c>
    </row>
    <row r="1610" spans="8:28" ht="22.15" customHeight="1" x14ac:dyDescent="0.25">
      <c r="H1610" s="346"/>
      <c r="O1610" s="347"/>
      <c r="Y1610" s="20">
        <f t="shared" si="98"/>
        <v>0</v>
      </c>
      <c r="AA1610" s="98">
        <f t="shared" si="96"/>
        <v>0</v>
      </c>
      <c r="AB1610" s="350">
        <f t="shared" si="97"/>
        <v>0</v>
      </c>
    </row>
    <row r="1611" spans="8:28" ht="22.15" customHeight="1" x14ac:dyDescent="0.25">
      <c r="H1611" s="346"/>
      <c r="O1611" s="347"/>
      <c r="Y1611" s="20">
        <f t="shared" si="98"/>
        <v>0</v>
      </c>
      <c r="AA1611" s="98">
        <f t="shared" si="96"/>
        <v>0</v>
      </c>
      <c r="AB1611" s="350">
        <f t="shared" si="97"/>
        <v>0</v>
      </c>
    </row>
    <row r="1612" spans="8:28" ht="22.15" customHeight="1" x14ac:dyDescent="0.25">
      <c r="H1612" s="346"/>
      <c r="O1612" s="347"/>
      <c r="Y1612" s="20">
        <f t="shared" si="98"/>
        <v>0</v>
      </c>
      <c r="AA1612" s="98">
        <f t="shared" si="96"/>
        <v>0</v>
      </c>
      <c r="AB1612" s="350">
        <f t="shared" si="97"/>
        <v>0</v>
      </c>
    </row>
    <row r="1613" spans="8:28" ht="22.15" customHeight="1" x14ac:dyDescent="0.25">
      <c r="H1613" s="346"/>
      <c r="O1613" s="347"/>
      <c r="Y1613" s="20">
        <f t="shared" si="98"/>
        <v>0</v>
      </c>
      <c r="AA1613" s="98">
        <f t="shared" si="96"/>
        <v>0</v>
      </c>
      <c r="AB1613" s="350">
        <f t="shared" si="97"/>
        <v>0</v>
      </c>
    </row>
    <row r="1614" spans="8:28" ht="22.15" customHeight="1" x14ac:dyDescent="0.25">
      <c r="H1614" s="346"/>
      <c r="O1614" s="347"/>
      <c r="Y1614" s="20">
        <f t="shared" si="98"/>
        <v>0</v>
      </c>
      <c r="AA1614" s="98">
        <f t="shared" si="96"/>
        <v>0</v>
      </c>
      <c r="AB1614" s="350">
        <f t="shared" si="97"/>
        <v>0</v>
      </c>
    </row>
    <row r="1615" spans="8:28" ht="22.15" customHeight="1" x14ac:dyDescent="0.25">
      <c r="H1615" s="346"/>
      <c r="O1615" s="347"/>
      <c r="Y1615" s="20">
        <f t="shared" si="98"/>
        <v>0</v>
      </c>
      <c r="AA1615" s="98">
        <f t="shared" si="96"/>
        <v>0</v>
      </c>
      <c r="AB1615" s="350">
        <f t="shared" si="97"/>
        <v>0</v>
      </c>
    </row>
    <row r="1616" spans="8:28" ht="22.15" customHeight="1" x14ac:dyDescent="0.25">
      <c r="H1616" s="346"/>
      <c r="O1616" s="347"/>
      <c r="Y1616" s="20">
        <f t="shared" si="98"/>
        <v>0</v>
      </c>
      <c r="AA1616" s="98">
        <f t="shared" si="96"/>
        <v>0</v>
      </c>
      <c r="AB1616" s="350">
        <f t="shared" si="97"/>
        <v>0</v>
      </c>
    </row>
    <row r="1617" spans="8:28" ht="22.15" customHeight="1" x14ac:dyDescent="0.25">
      <c r="H1617" s="346"/>
      <c r="O1617" s="347"/>
      <c r="Y1617" s="20">
        <f t="shared" si="98"/>
        <v>0</v>
      </c>
      <c r="AA1617" s="98">
        <f t="shared" si="96"/>
        <v>0</v>
      </c>
      <c r="AB1617" s="350">
        <f t="shared" si="97"/>
        <v>0</v>
      </c>
    </row>
    <row r="1618" spans="8:28" ht="22.15" customHeight="1" x14ac:dyDescent="0.25">
      <c r="H1618" s="346"/>
      <c r="O1618" s="347"/>
      <c r="Y1618" s="20">
        <f t="shared" si="98"/>
        <v>0</v>
      </c>
      <c r="AA1618" s="98">
        <f t="shared" si="96"/>
        <v>0</v>
      </c>
      <c r="AB1618" s="350">
        <f t="shared" si="97"/>
        <v>0</v>
      </c>
    </row>
    <row r="1619" spans="8:28" ht="22.15" customHeight="1" x14ac:dyDescent="0.25">
      <c r="H1619" s="346"/>
      <c r="O1619" s="347"/>
      <c r="Y1619" s="20">
        <f t="shared" si="98"/>
        <v>0</v>
      </c>
      <c r="AA1619" s="98">
        <f t="shared" si="96"/>
        <v>0</v>
      </c>
      <c r="AB1619" s="350">
        <f t="shared" si="97"/>
        <v>0</v>
      </c>
    </row>
    <row r="1620" spans="8:28" ht="22.15" customHeight="1" x14ac:dyDescent="0.25">
      <c r="H1620" s="346"/>
      <c r="O1620" s="347"/>
      <c r="Y1620" s="20">
        <f t="shared" si="98"/>
        <v>0</v>
      </c>
      <c r="AA1620" s="98">
        <f t="shared" si="96"/>
        <v>0</v>
      </c>
      <c r="AB1620" s="350">
        <f t="shared" si="97"/>
        <v>0</v>
      </c>
    </row>
    <row r="1621" spans="8:28" ht="22.15" customHeight="1" x14ac:dyDescent="0.25">
      <c r="H1621" s="346"/>
      <c r="O1621" s="347"/>
      <c r="Y1621" s="20">
        <f t="shared" si="98"/>
        <v>0</v>
      </c>
      <c r="AA1621" s="98">
        <f t="shared" si="96"/>
        <v>0</v>
      </c>
      <c r="AB1621" s="350">
        <f t="shared" si="97"/>
        <v>0</v>
      </c>
    </row>
    <row r="1622" spans="8:28" ht="22.15" customHeight="1" x14ac:dyDescent="0.25">
      <c r="H1622" s="346"/>
      <c r="O1622" s="347"/>
      <c r="Y1622" s="20">
        <f t="shared" si="98"/>
        <v>0</v>
      </c>
      <c r="AA1622" s="98">
        <f t="shared" si="96"/>
        <v>0</v>
      </c>
      <c r="AB1622" s="350">
        <f t="shared" si="97"/>
        <v>0</v>
      </c>
    </row>
    <row r="1623" spans="8:28" ht="22.15" customHeight="1" x14ac:dyDescent="0.25">
      <c r="H1623" s="346"/>
      <c r="O1623" s="347"/>
      <c r="Y1623" s="20">
        <f t="shared" si="98"/>
        <v>0</v>
      </c>
      <c r="AA1623" s="98">
        <f t="shared" si="96"/>
        <v>0</v>
      </c>
      <c r="AB1623" s="350">
        <f t="shared" si="97"/>
        <v>0</v>
      </c>
    </row>
    <row r="1624" spans="8:28" ht="22.15" customHeight="1" x14ac:dyDescent="0.25">
      <c r="H1624" s="346"/>
      <c r="O1624" s="347"/>
      <c r="Y1624" s="20">
        <f t="shared" si="98"/>
        <v>0</v>
      </c>
      <c r="AA1624" s="98">
        <f t="shared" si="96"/>
        <v>0</v>
      </c>
      <c r="AB1624" s="350">
        <f t="shared" si="97"/>
        <v>0</v>
      </c>
    </row>
    <row r="1625" spans="8:28" ht="22.15" customHeight="1" x14ac:dyDescent="0.25">
      <c r="H1625" s="346"/>
      <c r="O1625" s="347"/>
      <c r="Y1625" s="20">
        <f t="shared" si="98"/>
        <v>0</v>
      </c>
      <c r="AA1625" s="98">
        <f t="shared" si="96"/>
        <v>0</v>
      </c>
      <c r="AB1625" s="350">
        <f t="shared" si="97"/>
        <v>0</v>
      </c>
    </row>
    <row r="1626" spans="8:28" ht="22.15" customHeight="1" x14ac:dyDescent="0.25">
      <c r="H1626" s="346"/>
      <c r="O1626" s="347"/>
      <c r="Y1626" s="20">
        <f t="shared" si="98"/>
        <v>0</v>
      </c>
      <c r="AA1626" s="98">
        <f t="shared" si="96"/>
        <v>0</v>
      </c>
      <c r="AB1626" s="350">
        <f t="shared" si="97"/>
        <v>0</v>
      </c>
    </row>
    <row r="1627" spans="8:28" ht="22.15" customHeight="1" x14ac:dyDescent="0.25">
      <c r="H1627" s="346"/>
      <c r="O1627" s="347"/>
      <c r="Y1627" s="20">
        <f t="shared" si="98"/>
        <v>0</v>
      </c>
      <c r="AA1627" s="98">
        <f t="shared" si="96"/>
        <v>0</v>
      </c>
      <c r="AB1627" s="350">
        <f t="shared" si="97"/>
        <v>0</v>
      </c>
    </row>
    <row r="1628" spans="8:28" ht="22.15" customHeight="1" x14ac:dyDescent="0.25">
      <c r="H1628" s="346"/>
      <c r="O1628" s="347"/>
      <c r="Y1628" s="20">
        <f t="shared" si="98"/>
        <v>0</v>
      </c>
      <c r="AA1628" s="98">
        <f t="shared" si="96"/>
        <v>0</v>
      </c>
      <c r="AB1628" s="350">
        <f t="shared" si="97"/>
        <v>0</v>
      </c>
    </row>
    <row r="1629" spans="8:28" ht="22.15" customHeight="1" x14ac:dyDescent="0.25">
      <c r="H1629" s="346"/>
      <c r="O1629" s="347"/>
      <c r="Y1629" s="20">
        <f t="shared" si="98"/>
        <v>0</v>
      </c>
      <c r="AA1629" s="98">
        <f t="shared" si="96"/>
        <v>0</v>
      </c>
      <c r="AB1629" s="350">
        <f t="shared" si="97"/>
        <v>0</v>
      </c>
    </row>
    <row r="1630" spans="8:28" ht="22.15" customHeight="1" x14ac:dyDescent="0.25">
      <c r="H1630" s="346"/>
      <c r="O1630" s="347"/>
      <c r="Y1630" s="20">
        <f t="shared" si="98"/>
        <v>0</v>
      </c>
      <c r="AA1630" s="98">
        <f t="shared" si="96"/>
        <v>0</v>
      </c>
      <c r="AB1630" s="350">
        <f t="shared" si="97"/>
        <v>0</v>
      </c>
    </row>
    <row r="1631" spans="8:28" ht="22.15" customHeight="1" x14ac:dyDescent="0.25">
      <c r="H1631" s="346"/>
      <c r="O1631" s="347"/>
      <c r="Y1631" s="20">
        <f t="shared" si="98"/>
        <v>0</v>
      </c>
      <c r="AA1631" s="98">
        <f t="shared" si="96"/>
        <v>0</v>
      </c>
      <c r="AB1631" s="350">
        <f t="shared" si="97"/>
        <v>0</v>
      </c>
    </row>
    <row r="1632" spans="8:28" ht="22.15" customHeight="1" x14ac:dyDescent="0.25">
      <c r="H1632" s="346"/>
      <c r="O1632" s="347"/>
      <c r="Y1632" s="20">
        <f t="shared" si="98"/>
        <v>0</v>
      </c>
      <c r="AA1632" s="98">
        <f t="shared" si="96"/>
        <v>0</v>
      </c>
      <c r="AB1632" s="350">
        <f t="shared" si="97"/>
        <v>0</v>
      </c>
    </row>
    <row r="1633" spans="8:28" ht="22.15" customHeight="1" x14ac:dyDescent="0.25">
      <c r="H1633" s="346"/>
      <c r="O1633" s="347"/>
      <c r="Y1633" s="20">
        <f t="shared" si="98"/>
        <v>0</v>
      </c>
      <c r="AA1633" s="98">
        <f t="shared" si="96"/>
        <v>0</v>
      </c>
      <c r="AB1633" s="350">
        <f t="shared" si="97"/>
        <v>0</v>
      </c>
    </row>
    <row r="1634" spans="8:28" ht="22.15" customHeight="1" x14ac:dyDescent="0.25">
      <c r="H1634" s="346"/>
      <c r="O1634" s="347"/>
      <c r="Y1634" s="20">
        <f t="shared" si="98"/>
        <v>0</v>
      </c>
      <c r="AA1634" s="98">
        <f t="shared" si="96"/>
        <v>0</v>
      </c>
      <c r="AB1634" s="350">
        <f t="shared" si="97"/>
        <v>0</v>
      </c>
    </row>
    <row r="1635" spans="8:28" ht="22.15" customHeight="1" x14ac:dyDescent="0.25">
      <c r="H1635" s="346"/>
      <c r="O1635" s="347"/>
      <c r="Y1635" s="20">
        <f t="shared" ref="Y1635:Y1666" si="99">COUNTIF(K:K,K1635)</f>
        <v>0</v>
      </c>
      <c r="AA1635" s="98">
        <f t="shared" si="96"/>
        <v>0</v>
      </c>
      <c r="AB1635" s="350">
        <f t="shared" si="97"/>
        <v>0</v>
      </c>
    </row>
    <row r="1636" spans="8:28" ht="22.15" customHeight="1" x14ac:dyDescent="0.25">
      <c r="H1636" s="346"/>
      <c r="O1636" s="347"/>
      <c r="Y1636" s="20">
        <f t="shared" si="99"/>
        <v>0</v>
      </c>
      <c r="AA1636" s="98">
        <f t="shared" si="96"/>
        <v>0</v>
      </c>
      <c r="AB1636" s="350">
        <f t="shared" si="97"/>
        <v>0</v>
      </c>
    </row>
    <row r="1637" spans="8:28" ht="22.15" customHeight="1" x14ac:dyDescent="0.25">
      <c r="H1637" s="346"/>
      <c r="O1637" s="347"/>
      <c r="Y1637" s="20">
        <f t="shared" si="99"/>
        <v>0</v>
      </c>
      <c r="AA1637" s="98">
        <f t="shared" si="96"/>
        <v>0</v>
      </c>
      <c r="AB1637" s="350">
        <f t="shared" si="97"/>
        <v>0</v>
      </c>
    </row>
    <row r="1638" spans="8:28" ht="22.15" customHeight="1" x14ac:dyDescent="0.25">
      <c r="H1638" s="346"/>
      <c r="O1638" s="347"/>
      <c r="Y1638" s="20">
        <f t="shared" si="99"/>
        <v>0</v>
      </c>
      <c r="AA1638" s="98">
        <f t="shared" si="96"/>
        <v>0</v>
      </c>
      <c r="AB1638" s="350">
        <f t="shared" si="97"/>
        <v>0</v>
      </c>
    </row>
    <row r="1639" spans="8:28" ht="22.15" customHeight="1" x14ac:dyDescent="0.25">
      <c r="H1639" s="346"/>
      <c r="O1639" s="347"/>
      <c r="Y1639" s="20">
        <f t="shared" si="99"/>
        <v>0</v>
      </c>
      <c r="AA1639" s="98">
        <f t="shared" si="96"/>
        <v>0</v>
      </c>
      <c r="AB1639" s="350">
        <f t="shared" si="97"/>
        <v>0</v>
      </c>
    </row>
    <row r="1640" spans="8:28" ht="22.15" customHeight="1" x14ac:dyDescent="0.25">
      <c r="H1640" s="346"/>
      <c r="O1640" s="347"/>
      <c r="Y1640" s="20">
        <f t="shared" si="99"/>
        <v>0</v>
      </c>
      <c r="AA1640" s="98">
        <f t="shared" si="96"/>
        <v>0</v>
      </c>
      <c r="AB1640" s="350">
        <f t="shared" si="97"/>
        <v>0</v>
      </c>
    </row>
    <row r="1641" spans="8:28" ht="22.15" customHeight="1" x14ac:dyDescent="0.25">
      <c r="H1641" s="346"/>
      <c r="O1641" s="347"/>
      <c r="Y1641" s="20">
        <f t="shared" si="99"/>
        <v>0</v>
      </c>
      <c r="AA1641" s="98">
        <f t="shared" si="96"/>
        <v>0</v>
      </c>
      <c r="AB1641" s="350">
        <f t="shared" si="97"/>
        <v>0</v>
      </c>
    </row>
    <row r="1642" spans="8:28" ht="22.15" customHeight="1" x14ac:dyDescent="0.25">
      <c r="H1642" s="346"/>
      <c r="O1642" s="347"/>
      <c r="Y1642" s="20">
        <f t="shared" si="99"/>
        <v>0</v>
      </c>
      <c r="AA1642" s="98">
        <f t="shared" si="96"/>
        <v>0</v>
      </c>
      <c r="AB1642" s="350">
        <f t="shared" si="97"/>
        <v>0</v>
      </c>
    </row>
    <row r="1643" spans="8:28" ht="22.15" customHeight="1" x14ac:dyDescent="0.25">
      <c r="H1643" s="346"/>
      <c r="O1643" s="347"/>
      <c r="Y1643" s="20">
        <f t="shared" si="99"/>
        <v>0</v>
      </c>
      <c r="AA1643" s="98">
        <f t="shared" si="96"/>
        <v>0</v>
      </c>
      <c r="AB1643" s="350">
        <f t="shared" si="97"/>
        <v>0</v>
      </c>
    </row>
    <row r="1644" spans="8:28" ht="22.15" customHeight="1" x14ac:dyDescent="0.25">
      <c r="H1644" s="346"/>
      <c r="O1644" s="347"/>
      <c r="Y1644" s="20">
        <f t="shared" si="99"/>
        <v>0</v>
      </c>
      <c r="AA1644" s="98">
        <f t="shared" si="96"/>
        <v>0</v>
      </c>
      <c r="AB1644" s="350">
        <f t="shared" si="97"/>
        <v>0</v>
      </c>
    </row>
    <row r="1645" spans="8:28" ht="22.15" customHeight="1" x14ac:dyDescent="0.25">
      <c r="H1645" s="346"/>
      <c r="O1645" s="347"/>
      <c r="Y1645" s="20">
        <f t="shared" si="99"/>
        <v>0</v>
      </c>
      <c r="AA1645" s="98">
        <f t="shared" ref="AA1645:AA1707" si="100">H1645-I1645</f>
        <v>0</v>
      </c>
      <c r="AB1645" s="350">
        <f t="shared" ref="AB1645:AB1707" si="101">R1645-H1645</f>
        <v>0</v>
      </c>
    </row>
    <row r="1646" spans="8:28" ht="22.15" customHeight="1" x14ac:dyDescent="0.25">
      <c r="H1646" s="346"/>
      <c r="O1646" s="347"/>
      <c r="Y1646" s="20">
        <f t="shared" si="99"/>
        <v>0</v>
      </c>
      <c r="AA1646" s="98">
        <f t="shared" si="100"/>
        <v>0</v>
      </c>
      <c r="AB1646" s="350">
        <f t="shared" si="101"/>
        <v>0</v>
      </c>
    </row>
    <row r="1647" spans="8:28" ht="22.15" customHeight="1" x14ac:dyDescent="0.25">
      <c r="H1647" s="346"/>
      <c r="O1647" s="347"/>
      <c r="Y1647" s="20">
        <f t="shared" si="99"/>
        <v>0</v>
      </c>
      <c r="AA1647" s="98">
        <f t="shared" si="100"/>
        <v>0</v>
      </c>
      <c r="AB1647" s="350">
        <f t="shared" si="101"/>
        <v>0</v>
      </c>
    </row>
    <row r="1648" spans="8:28" ht="22.15" customHeight="1" x14ac:dyDescent="0.25">
      <c r="H1648" s="346"/>
      <c r="O1648" s="347"/>
      <c r="Y1648" s="20">
        <f t="shared" si="99"/>
        <v>0</v>
      </c>
      <c r="AA1648" s="98">
        <f t="shared" si="100"/>
        <v>0</v>
      </c>
      <c r="AB1648" s="350">
        <f t="shared" si="101"/>
        <v>0</v>
      </c>
    </row>
    <row r="1649" spans="8:28" ht="22.15" customHeight="1" x14ac:dyDescent="0.25">
      <c r="H1649" s="346"/>
      <c r="O1649" s="347"/>
      <c r="Y1649" s="20">
        <f t="shared" si="99"/>
        <v>0</v>
      </c>
      <c r="AA1649" s="98">
        <f t="shared" si="100"/>
        <v>0</v>
      </c>
      <c r="AB1649" s="350">
        <f t="shared" si="101"/>
        <v>0</v>
      </c>
    </row>
    <row r="1650" spans="8:28" ht="22.15" customHeight="1" x14ac:dyDescent="0.25">
      <c r="H1650" s="346"/>
      <c r="O1650" s="347"/>
      <c r="Y1650" s="20">
        <f t="shared" si="99"/>
        <v>0</v>
      </c>
      <c r="AA1650" s="98">
        <f t="shared" si="100"/>
        <v>0</v>
      </c>
      <c r="AB1650" s="350">
        <f t="shared" si="101"/>
        <v>0</v>
      </c>
    </row>
    <row r="1651" spans="8:28" ht="22.15" customHeight="1" x14ac:dyDescent="0.25">
      <c r="H1651" s="346"/>
      <c r="O1651" s="347"/>
      <c r="Y1651" s="20">
        <f t="shared" si="99"/>
        <v>0</v>
      </c>
      <c r="AA1651" s="98">
        <f t="shared" si="100"/>
        <v>0</v>
      </c>
      <c r="AB1651" s="350">
        <f t="shared" si="101"/>
        <v>0</v>
      </c>
    </row>
    <row r="1652" spans="8:28" ht="22.15" customHeight="1" x14ac:dyDescent="0.25">
      <c r="H1652" s="346"/>
      <c r="O1652" s="347"/>
      <c r="Y1652" s="20">
        <f t="shared" si="99"/>
        <v>0</v>
      </c>
      <c r="AA1652" s="98">
        <f t="shared" si="100"/>
        <v>0</v>
      </c>
      <c r="AB1652" s="350">
        <f t="shared" si="101"/>
        <v>0</v>
      </c>
    </row>
    <row r="1653" spans="8:28" ht="22.15" customHeight="1" x14ac:dyDescent="0.25">
      <c r="H1653" s="346"/>
      <c r="O1653" s="347"/>
      <c r="Y1653" s="20">
        <f t="shared" si="99"/>
        <v>0</v>
      </c>
      <c r="AA1653" s="98">
        <f t="shared" si="100"/>
        <v>0</v>
      </c>
      <c r="AB1653" s="350">
        <f t="shared" si="101"/>
        <v>0</v>
      </c>
    </row>
    <row r="1654" spans="8:28" ht="22.15" customHeight="1" x14ac:dyDescent="0.25">
      <c r="H1654" s="346"/>
      <c r="O1654" s="347"/>
      <c r="Y1654" s="20">
        <f t="shared" si="99"/>
        <v>0</v>
      </c>
      <c r="AA1654" s="98">
        <f t="shared" si="100"/>
        <v>0</v>
      </c>
      <c r="AB1654" s="350">
        <f t="shared" si="101"/>
        <v>0</v>
      </c>
    </row>
    <row r="1655" spans="8:28" ht="22.15" customHeight="1" x14ac:dyDescent="0.25">
      <c r="H1655" s="346"/>
      <c r="O1655" s="347"/>
      <c r="Y1655" s="20">
        <f t="shared" si="99"/>
        <v>0</v>
      </c>
      <c r="AA1655" s="98">
        <f t="shared" si="100"/>
        <v>0</v>
      </c>
      <c r="AB1655" s="350">
        <f t="shared" si="101"/>
        <v>0</v>
      </c>
    </row>
    <row r="1656" spans="8:28" ht="22.15" customHeight="1" x14ac:dyDescent="0.25">
      <c r="H1656" s="346"/>
      <c r="O1656" s="347"/>
      <c r="Y1656" s="20">
        <f t="shared" si="99"/>
        <v>0</v>
      </c>
      <c r="AA1656" s="98">
        <f t="shared" si="100"/>
        <v>0</v>
      </c>
      <c r="AB1656" s="350">
        <f t="shared" si="101"/>
        <v>0</v>
      </c>
    </row>
    <row r="1657" spans="8:28" ht="22.15" customHeight="1" x14ac:dyDescent="0.25">
      <c r="H1657" s="346"/>
      <c r="O1657" s="347"/>
      <c r="Y1657" s="20">
        <f t="shared" si="99"/>
        <v>0</v>
      </c>
      <c r="AA1657" s="98">
        <f t="shared" si="100"/>
        <v>0</v>
      </c>
      <c r="AB1657" s="350">
        <f t="shared" si="101"/>
        <v>0</v>
      </c>
    </row>
    <row r="1658" spans="8:28" ht="22.15" customHeight="1" x14ac:dyDescent="0.25">
      <c r="H1658" s="346"/>
      <c r="O1658" s="347"/>
      <c r="Y1658" s="20">
        <f t="shared" si="99"/>
        <v>0</v>
      </c>
      <c r="AA1658" s="98">
        <f t="shared" si="100"/>
        <v>0</v>
      </c>
      <c r="AB1658" s="350">
        <f t="shared" si="101"/>
        <v>0</v>
      </c>
    </row>
    <row r="1659" spans="8:28" ht="22.15" customHeight="1" x14ac:dyDescent="0.25">
      <c r="H1659" s="346"/>
      <c r="O1659" s="347"/>
      <c r="Y1659" s="20">
        <f t="shared" si="99"/>
        <v>0</v>
      </c>
      <c r="AA1659" s="98">
        <f t="shared" si="100"/>
        <v>0</v>
      </c>
      <c r="AB1659" s="350">
        <f t="shared" si="101"/>
        <v>0</v>
      </c>
    </row>
    <row r="1660" spans="8:28" ht="22.15" customHeight="1" x14ac:dyDescent="0.25">
      <c r="H1660" s="346"/>
      <c r="O1660" s="347"/>
      <c r="Y1660" s="20">
        <f t="shared" si="99"/>
        <v>0</v>
      </c>
      <c r="AA1660" s="98">
        <f t="shared" si="100"/>
        <v>0</v>
      </c>
      <c r="AB1660" s="350">
        <f t="shared" si="101"/>
        <v>0</v>
      </c>
    </row>
    <row r="1661" spans="8:28" ht="22.15" customHeight="1" x14ac:dyDescent="0.25">
      <c r="H1661" s="346"/>
      <c r="O1661" s="347"/>
      <c r="Y1661" s="20">
        <f t="shared" si="99"/>
        <v>0</v>
      </c>
      <c r="AA1661" s="98">
        <f t="shared" si="100"/>
        <v>0</v>
      </c>
      <c r="AB1661" s="350">
        <f t="shared" si="101"/>
        <v>0</v>
      </c>
    </row>
    <row r="1662" spans="8:28" ht="22.15" customHeight="1" x14ac:dyDescent="0.25">
      <c r="H1662" s="346"/>
      <c r="O1662" s="347"/>
      <c r="Y1662" s="20">
        <f t="shared" si="99"/>
        <v>0</v>
      </c>
      <c r="AA1662" s="98">
        <f t="shared" si="100"/>
        <v>0</v>
      </c>
      <c r="AB1662" s="350">
        <f t="shared" si="101"/>
        <v>0</v>
      </c>
    </row>
    <row r="1663" spans="8:28" ht="22.15" customHeight="1" x14ac:dyDescent="0.25">
      <c r="H1663" s="346"/>
      <c r="O1663" s="347"/>
      <c r="Y1663" s="20">
        <f t="shared" si="99"/>
        <v>0</v>
      </c>
      <c r="AA1663" s="98">
        <f t="shared" si="100"/>
        <v>0</v>
      </c>
      <c r="AB1663" s="350">
        <f t="shared" si="101"/>
        <v>0</v>
      </c>
    </row>
    <row r="1664" spans="8:28" ht="22.15" customHeight="1" x14ac:dyDescent="0.25">
      <c r="H1664" s="346"/>
      <c r="O1664" s="347"/>
      <c r="Y1664" s="20">
        <f t="shared" si="99"/>
        <v>0</v>
      </c>
      <c r="AA1664" s="98">
        <f t="shared" si="100"/>
        <v>0</v>
      </c>
      <c r="AB1664" s="350">
        <f t="shared" si="101"/>
        <v>0</v>
      </c>
    </row>
    <row r="1665" spans="8:28" ht="22.15" customHeight="1" x14ac:dyDescent="0.25">
      <c r="H1665" s="346"/>
      <c r="O1665" s="347"/>
      <c r="Y1665" s="20">
        <f t="shared" si="99"/>
        <v>0</v>
      </c>
      <c r="AA1665" s="98">
        <f t="shared" si="100"/>
        <v>0</v>
      </c>
      <c r="AB1665" s="350">
        <f t="shared" si="101"/>
        <v>0</v>
      </c>
    </row>
    <row r="1666" spans="8:28" ht="22.15" customHeight="1" x14ac:dyDescent="0.25">
      <c r="H1666" s="346"/>
      <c r="O1666" s="347"/>
      <c r="Y1666" s="20">
        <f t="shared" si="99"/>
        <v>0</v>
      </c>
      <c r="AA1666" s="98">
        <f t="shared" si="100"/>
        <v>0</v>
      </c>
      <c r="AB1666" s="350">
        <f t="shared" si="101"/>
        <v>0</v>
      </c>
    </row>
    <row r="1667" spans="8:28" ht="22.15" customHeight="1" x14ac:dyDescent="0.25">
      <c r="H1667" s="346"/>
      <c r="O1667" s="347"/>
      <c r="Y1667" s="20">
        <f t="shared" ref="Y1667:Y1699" si="102">COUNTIF(K:K,K1667)</f>
        <v>0</v>
      </c>
      <c r="AA1667" s="98">
        <f t="shared" si="100"/>
        <v>0</v>
      </c>
      <c r="AB1667" s="350">
        <f t="shared" si="101"/>
        <v>0</v>
      </c>
    </row>
    <row r="1668" spans="8:28" ht="22.15" customHeight="1" x14ac:dyDescent="0.25">
      <c r="H1668" s="346"/>
      <c r="O1668" s="347"/>
      <c r="Y1668" s="20">
        <f t="shared" si="102"/>
        <v>0</v>
      </c>
      <c r="AA1668" s="98">
        <f t="shared" si="100"/>
        <v>0</v>
      </c>
      <c r="AB1668" s="350">
        <f t="shared" si="101"/>
        <v>0</v>
      </c>
    </row>
    <row r="1669" spans="8:28" ht="22.15" customHeight="1" x14ac:dyDescent="0.25">
      <c r="H1669" s="346"/>
      <c r="O1669" s="347"/>
      <c r="Y1669" s="20">
        <f t="shared" si="102"/>
        <v>0</v>
      </c>
      <c r="AA1669" s="98">
        <f t="shared" si="100"/>
        <v>0</v>
      </c>
      <c r="AB1669" s="350">
        <f t="shared" si="101"/>
        <v>0</v>
      </c>
    </row>
    <row r="1670" spans="8:28" ht="22.15" customHeight="1" x14ac:dyDescent="0.25">
      <c r="H1670" s="346"/>
      <c r="O1670" s="347"/>
      <c r="Y1670" s="20">
        <f t="shared" si="102"/>
        <v>0</v>
      </c>
      <c r="AA1670" s="98">
        <f t="shared" si="100"/>
        <v>0</v>
      </c>
      <c r="AB1670" s="350">
        <f t="shared" si="101"/>
        <v>0</v>
      </c>
    </row>
    <row r="1671" spans="8:28" ht="22.15" customHeight="1" x14ac:dyDescent="0.25">
      <c r="H1671" s="346"/>
      <c r="O1671" s="347"/>
      <c r="Y1671" s="20">
        <f t="shared" si="102"/>
        <v>0</v>
      </c>
      <c r="AA1671" s="98">
        <f t="shared" si="100"/>
        <v>0</v>
      </c>
      <c r="AB1671" s="350">
        <f t="shared" si="101"/>
        <v>0</v>
      </c>
    </row>
    <row r="1672" spans="8:28" ht="22.15" customHeight="1" x14ac:dyDescent="0.25">
      <c r="H1672" s="346"/>
      <c r="O1672" s="347"/>
      <c r="Y1672" s="20">
        <f t="shared" si="102"/>
        <v>0</v>
      </c>
      <c r="AA1672" s="98">
        <f t="shared" si="100"/>
        <v>0</v>
      </c>
      <c r="AB1672" s="350">
        <f t="shared" si="101"/>
        <v>0</v>
      </c>
    </row>
    <row r="1673" spans="8:28" ht="22.15" customHeight="1" x14ac:dyDescent="0.25">
      <c r="H1673" s="346"/>
      <c r="O1673" s="347"/>
      <c r="Y1673" s="20">
        <f t="shared" si="102"/>
        <v>0</v>
      </c>
      <c r="AA1673" s="98">
        <f t="shared" si="100"/>
        <v>0</v>
      </c>
      <c r="AB1673" s="350">
        <f t="shared" si="101"/>
        <v>0</v>
      </c>
    </row>
    <row r="1674" spans="8:28" ht="22.15" customHeight="1" x14ac:dyDescent="0.25">
      <c r="H1674" s="346"/>
      <c r="O1674" s="347"/>
      <c r="Y1674" s="20">
        <f t="shared" si="102"/>
        <v>0</v>
      </c>
      <c r="AA1674" s="98">
        <f t="shared" si="100"/>
        <v>0</v>
      </c>
      <c r="AB1674" s="350">
        <f t="shared" si="101"/>
        <v>0</v>
      </c>
    </row>
    <row r="1675" spans="8:28" ht="22.15" customHeight="1" x14ac:dyDescent="0.25">
      <c r="H1675" s="346"/>
      <c r="O1675" s="347"/>
      <c r="Y1675" s="20">
        <f t="shared" si="102"/>
        <v>0</v>
      </c>
      <c r="AA1675" s="98">
        <f t="shared" si="100"/>
        <v>0</v>
      </c>
      <c r="AB1675" s="350">
        <f t="shared" si="101"/>
        <v>0</v>
      </c>
    </row>
    <row r="1676" spans="8:28" ht="22.15" customHeight="1" x14ac:dyDescent="0.25">
      <c r="H1676" s="346"/>
      <c r="O1676" s="347"/>
      <c r="Y1676" s="20">
        <f t="shared" si="102"/>
        <v>0</v>
      </c>
      <c r="AA1676" s="98">
        <f t="shared" si="100"/>
        <v>0</v>
      </c>
      <c r="AB1676" s="350">
        <f t="shared" si="101"/>
        <v>0</v>
      </c>
    </row>
    <row r="1677" spans="8:28" ht="22.15" customHeight="1" x14ac:dyDescent="0.25">
      <c r="H1677" s="346"/>
      <c r="O1677" s="347"/>
      <c r="Y1677" s="20">
        <f t="shared" si="102"/>
        <v>0</v>
      </c>
      <c r="AA1677" s="98">
        <f t="shared" si="100"/>
        <v>0</v>
      </c>
      <c r="AB1677" s="350">
        <f t="shared" si="101"/>
        <v>0</v>
      </c>
    </row>
    <row r="1678" spans="8:28" ht="22.15" customHeight="1" x14ac:dyDescent="0.25">
      <c r="H1678" s="346"/>
      <c r="O1678" s="347"/>
      <c r="Y1678" s="20">
        <f t="shared" si="102"/>
        <v>0</v>
      </c>
      <c r="AA1678" s="98">
        <f t="shared" si="100"/>
        <v>0</v>
      </c>
      <c r="AB1678" s="350">
        <f t="shared" si="101"/>
        <v>0</v>
      </c>
    </row>
    <row r="1679" spans="8:28" ht="22.15" customHeight="1" x14ac:dyDescent="0.25">
      <c r="H1679" s="346"/>
      <c r="O1679" s="347"/>
      <c r="Y1679" s="20">
        <f t="shared" si="102"/>
        <v>0</v>
      </c>
      <c r="AA1679" s="98">
        <f t="shared" si="100"/>
        <v>0</v>
      </c>
      <c r="AB1679" s="350">
        <f t="shared" si="101"/>
        <v>0</v>
      </c>
    </row>
    <row r="1680" spans="8:28" ht="22.15" customHeight="1" x14ac:dyDescent="0.25">
      <c r="H1680" s="346"/>
      <c r="O1680" s="347"/>
      <c r="Y1680" s="20">
        <f t="shared" si="102"/>
        <v>0</v>
      </c>
      <c r="AA1680" s="98">
        <f t="shared" si="100"/>
        <v>0</v>
      </c>
      <c r="AB1680" s="350">
        <f t="shared" si="101"/>
        <v>0</v>
      </c>
    </row>
    <row r="1681" spans="8:28" ht="22.15" customHeight="1" x14ac:dyDescent="0.25">
      <c r="H1681" s="346"/>
      <c r="O1681" s="347"/>
      <c r="Y1681" s="20">
        <f t="shared" si="102"/>
        <v>0</v>
      </c>
      <c r="AA1681" s="98">
        <f t="shared" si="100"/>
        <v>0</v>
      </c>
      <c r="AB1681" s="350">
        <f t="shared" si="101"/>
        <v>0</v>
      </c>
    </row>
    <row r="1682" spans="8:28" ht="22.15" customHeight="1" x14ac:dyDescent="0.25">
      <c r="H1682" s="346"/>
      <c r="O1682" s="347"/>
      <c r="Y1682" s="20">
        <f t="shared" si="102"/>
        <v>0</v>
      </c>
      <c r="AA1682" s="98">
        <f t="shared" si="100"/>
        <v>0</v>
      </c>
      <c r="AB1682" s="350">
        <f t="shared" si="101"/>
        <v>0</v>
      </c>
    </row>
    <row r="1683" spans="8:28" ht="22.15" customHeight="1" x14ac:dyDescent="0.25">
      <c r="H1683" s="346"/>
      <c r="O1683" s="347"/>
      <c r="Y1683" s="20">
        <f t="shared" si="102"/>
        <v>0</v>
      </c>
      <c r="AA1683" s="98">
        <f t="shared" si="100"/>
        <v>0</v>
      </c>
      <c r="AB1683" s="350">
        <f t="shared" si="101"/>
        <v>0</v>
      </c>
    </row>
    <row r="1684" spans="8:28" ht="22.15" customHeight="1" x14ac:dyDescent="0.25">
      <c r="H1684" s="346"/>
      <c r="O1684" s="347"/>
      <c r="Y1684" s="20">
        <f t="shared" si="102"/>
        <v>0</v>
      </c>
      <c r="AA1684" s="98">
        <f t="shared" si="100"/>
        <v>0</v>
      </c>
      <c r="AB1684" s="350">
        <f t="shared" si="101"/>
        <v>0</v>
      </c>
    </row>
    <row r="1685" spans="8:28" ht="22.15" customHeight="1" x14ac:dyDescent="0.25">
      <c r="H1685" s="346"/>
      <c r="O1685" s="347"/>
      <c r="Y1685" s="20">
        <f t="shared" si="102"/>
        <v>0</v>
      </c>
      <c r="AA1685" s="98">
        <f t="shared" si="100"/>
        <v>0</v>
      </c>
      <c r="AB1685" s="350">
        <f t="shared" si="101"/>
        <v>0</v>
      </c>
    </row>
    <row r="1686" spans="8:28" ht="22.15" customHeight="1" x14ac:dyDescent="0.25">
      <c r="H1686" s="346"/>
      <c r="O1686" s="347"/>
      <c r="Y1686" s="20">
        <f t="shared" si="102"/>
        <v>0</v>
      </c>
      <c r="AA1686" s="98">
        <f t="shared" si="100"/>
        <v>0</v>
      </c>
      <c r="AB1686" s="350">
        <f t="shared" si="101"/>
        <v>0</v>
      </c>
    </row>
    <row r="1687" spans="8:28" ht="22.15" customHeight="1" x14ac:dyDescent="0.25">
      <c r="H1687" s="346"/>
      <c r="O1687" s="347"/>
      <c r="Y1687" s="20">
        <f t="shared" si="102"/>
        <v>0</v>
      </c>
      <c r="AA1687" s="98">
        <f t="shared" si="100"/>
        <v>0</v>
      </c>
      <c r="AB1687" s="350">
        <f t="shared" si="101"/>
        <v>0</v>
      </c>
    </row>
    <row r="1688" spans="8:28" ht="22.15" customHeight="1" x14ac:dyDescent="0.25">
      <c r="H1688" s="346"/>
      <c r="O1688" s="347"/>
      <c r="Y1688" s="20">
        <f t="shared" si="102"/>
        <v>0</v>
      </c>
      <c r="AA1688" s="98">
        <f t="shared" si="100"/>
        <v>0</v>
      </c>
      <c r="AB1688" s="350">
        <f t="shared" si="101"/>
        <v>0</v>
      </c>
    </row>
    <row r="1689" spans="8:28" ht="22.15" customHeight="1" x14ac:dyDescent="0.25">
      <c r="H1689" s="346"/>
      <c r="O1689" s="347"/>
      <c r="Y1689" s="20">
        <f t="shared" si="102"/>
        <v>0</v>
      </c>
      <c r="AA1689" s="98">
        <f t="shared" si="100"/>
        <v>0</v>
      </c>
      <c r="AB1689" s="350">
        <f t="shared" si="101"/>
        <v>0</v>
      </c>
    </row>
    <row r="1690" spans="8:28" ht="22.15" customHeight="1" x14ac:dyDescent="0.25">
      <c r="H1690" s="346"/>
      <c r="O1690" s="347"/>
      <c r="Y1690" s="20">
        <f t="shared" si="102"/>
        <v>0</v>
      </c>
      <c r="AA1690" s="98">
        <f t="shared" si="100"/>
        <v>0</v>
      </c>
      <c r="AB1690" s="350">
        <f t="shared" si="101"/>
        <v>0</v>
      </c>
    </row>
    <row r="1691" spans="8:28" ht="22.15" customHeight="1" x14ac:dyDescent="0.25">
      <c r="H1691" s="346"/>
      <c r="O1691" s="347"/>
      <c r="Y1691" s="20">
        <f t="shared" si="102"/>
        <v>0</v>
      </c>
      <c r="AA1691" s="98">
        <f t="shared" si="100"/>
        <v>0</v>
      </c>
      <c r="AB1691" s="350">
        <f t="shared" si="101"/>
        <v>0</v>
      </c>
    </row>
    <row r="1692" spans="8:28" ht="22.15" customHeight="1" x14ac:dyDescent="0.25">
      <c r="H1692" s="346"/>
      <c r="O1692" s="347"/>
      <c r="Y1692" s="20">
        <f t="shared" si="102"/>
        <v>0</v>
      </c>
      <c r="AA1692" s="98">
        <f t="shared" si="100"/>
        <v>0</v>
      </c>
      <c r="AB1692" s="350">
        <f t="shared" si="101"/>
        <v>0</v>
      </c>
    </row>
    <row r="1693" spans="8:28" ht="22.15" customHeight="1" x14ac:dyDescent="0.25">
      <c r="H1693" s="346"/>
      <c r="O1693" s="347"/>
      <c r="Y1693" s="20">
        <f t="shared" si="102"/>
        <v>0</v>
      </c>
      <c r="AA1693" s="98">
        <f t="shared" si="100"/>
        <v>0</v>
      </c>
      <c r="AB1693" s="350">
        <f t="shared" si="101"/>
        <v>0</v>
      </c>
    </row>
    <row r="1694" spans="8:28" ht="22.15" customHeight="1" x14ac:dyDescent="0.25">
      <c r="H1694" s="346"/>
      <c r="O1694" s="347"/>
      <c r="Y1694" s="20">
        <f t="shared" si="102"/>
        <v>0</v>
      </c>
      <c r="AA1694" s="98">
        <f t="shared" si="100"/>
        <v>0</v>
      </c>
      <c r="AB1694" s="350">
        <f t="shared" si="101"/>
        <v>0</v>
      </c>
    </row>
    <row r="1695" spans="8:28" ht="22.15" customHeight="1" x14ac:dyDescent="0.25">
      <c r="H1695" s="346"/>
      <c r="O1695" s="347"/>
      <c r="Y1695" s="20">
        <f t="shared" si="102"/>
        <v>0</v>
      </c>
      <c r="AA1695" s="98">
        <f t="shared" si="100"/>
        <v>0</v>
      </c>
      <c r="AB1695" s="350">
        <f t="shared" si="101"/>
        <v>0</v>
      </c>
    </row>
    <row r="1696" spans="8:28" ht="22.15" customHeight="1" x14ac:dyDescent="0.25">
      <c r="H1696" s="346"/>
      <c r="O1696" s="347"/>
      <c r="Y1696" s="20">
        <f t="shared" si="102"/>
        <v>0</v>
      </c>
      <c r="AA1696" s="98">
        <f t="shared" si="100"/>
        <v>0</v>
      </c>
      <c r="AB1696" s="350">
        <f t="shared" si="101"/>
        <v>0</v>
      </c>
    </row>
    <row r="1697" spans="8:28" ht="22.15" customHeight="1" x14ac:dyDescent="0.25">
      <c r="H1697" s="346"/>
      <c r="O1697" s="347"/>
      <c r="Y1697" s="20">
        <f t="shared" si="102"/>
        <v>0</v>
      </c>
      <c r="AA1697" s="98">
        <f t="shared" si="100"/>
        <v>0</v>
      </c>
      <c r="AB1697" s="350">
        <f t="shared" si="101"/>
        <v>0</v>
      </c>
    </row>
    <row r="1698" spans="8:28" ht="22.15" customHeight="1" x14ac:dyDescent="0.25">
      <c r="H1698" s="346"/>
      <c r="O1698" s="347"/>
      <c r="Y1698" s="20">
        <f t="shared" si="102"/>
        <v>0</v>
      </c>
      <c r="AA1698" s="98">
        <f t="shared" si="100"/>
        <v>0</v>
      </c>
      <c r="AB1698" s="350">
        <f t="shared" si="101"/>
        <v>0</v>
      </c>
    </row>
    <row r="1699" spans="8:28" ht="22.15" customHeight="1" x14ac:dyDescent="0.25">
      <c r="H1699" s="346"/>
      <c r="O1699" s="347"/>
      <c r="Y1699" s="20">
        <f t="shared" si="102"/>
        <v>0</v>
      </c>
      <c r="AA1699" s="98">
        <f t="shared" si="100"/>
        <v>0</v>
      </c>
      <c r="AB1699" s="350">
        <f t="shared" si="101"/>
        <v>0</v>
      </c>
    </row>
    <row r="1700" spans="8:28" ht="22.15" customHeight="1" x14ac:dyDescent="0.25">
      <c r="H1700" s="346"/>
      <c r="O1700" s="347"/>
      <c r="Y1700" s="20">
        <f>COUNTIF(K:K,K1699)</f>
        <v>0</v>
      </c>
      <c r="AA1700" s="98">
        <f>H1699-I1699</f>
        <v>0</v>
      </c>
      <c r="AB1700" s="350">
        <f>R1699-H1699</f>
        <v>0</v>
      </c>
    </row>
    <row r="1701" spans="8:28" ht="22.15" customHeight="1" x14ac:dyDescent="0.25">
      <c r="H1701" s="346"/>
      <c r="O1701" s="347"/>
      <c r="Y1701" s="20">
        <f>COUNTIF(K:K,K1700)</f>
        <v>0</v>
      </c>
      <c r="AA1701" s="98">
        <f>H1700-I1700</f>
        <v>0</v>
      </c>
      <c r="AB1701" s="350">
        <f>R1700-H1700</f>
        <v>0</v>
      </c>
    </row>
    <row r="1702" spans="8:28" ht="22.15" customHeight="1" x14ac:dyDescent="0.25">
      <c r="H1702" s="346"/>
      <c r="O1702" s="347"/>
      <c r="Y1702" s="20">
        <f>COUNTIF(K:K,K1701)</f>
        <v>0</v>
      </c>
      <c r="AA1702" s="98">
        <f>H1701-I1701</f>
        <v>0</v>
      </c>
      <c r="AB1702" s="350">
        <f>R1701-H1701</f>
        <v>0</v>
      </c>
    </row>
    <row r="1703" spans="8:28" ht="22.15" customHeight="1" x14ac:dyDescent="0.25">
      <c r="H1703" s="346"/>
      <c r="O1703" s="347"/>
      <c r="Y1703" s="20">
        <f t="shared" ref="Y1703:Y1723" si="103">COUNTIF(K:K,K1703)</f>
        <v>0</v>
      </c>
      <c r="AA1703" s="98">
        <f t="shared" ref="AA1703:AA1723" si="104">H1703-I1703</f>
        <v>0</v>
      </c>
      <c r="AB1703" s="350">
        <f t="shared" ref="AB1703:AB1723" si="105">R1703-H1703</f>
        <v>0</v>
      </c>
    </row>
    <row r="1704" spans="8:28" ht="22.15" customHeight="1" x14ac:dyDescent="0.25">
      <c r="H1704" s="346"/>
      <c r="O1704" s="347"/>
      <c r="Y1704" s="20">
        <f t="shared" si="103"/>
        <v>0</v>
      </c>
      <c r="AA1704" s="98">
        <f t="shared" si="104"/>
        <v>0</v>
      </c>
      <c r="AB1704" s="350">
        <f t="shared" si="105"/>
        <v>0</v>
      </c>
    </row>
    <row r="1705" spans="8:28" ht="22.15" customHeight="1" x14ac:dyDescent="0.25">
      <c r="H1705" s="346"/>
      <c r="O1705" s="347"/>
      <c r="Y1705" s="20">
        <f t="shared" si="103"/>
        <v>0</v>
      </c>
      <c r="AA1705" s="98">
        <f t="shared" si="104"/>
        <v>0</v>
      </c>
      <c r="AB1705" s="350">
        <f t="shared" si="105"/>
        <v>0</v>
      </c>
    </row>
    <row r="1706" spans="8:28" ht="22.15" customHeight="1" x14ac:dyDescent="0.25">
      <c r="H1706" s="346"/>
      <c r="O1706" s="347"/>
      <c r="Y1706" s="20">
        <f t="shared" si="103"/>
        <v>0</v>
      </c>
      <c r="AA1706" s="98">
        <f t="shared" si="104"/>
        <v>0</v>
      </c>
      <c r="AB1706" s="350">
        <f t="shared" si="105"/>
        <v>0</v>
      </c>
    </row>
    <row r="1707" spans="8:28" ht="22.15" customHeight="1" x14ac:dyDescent="0.25">
      <c r="H1707" s="346"/>
      <c r="O1707" s="347"/>
      <c r="Y1707" s="20">
        <f t="shared" si="103"/>
        <v>0</v>
      </c>
      <c r="AA1707" s="98">
        <f t="shared" si="104"/>
        <v>0</v>
      </c>
      <c r="AB1707" s="350">
        <f t="shared" si="105"/>
        <v>0</v>
      </c>
    </row>
    <row r="1708" spans="8:28" ht="22.15" customHeight="1" x14ac:dyDescent="0.25">
      <c r="H1708" s="346"/>
      <c r="O1708" s="347"/>
      <c r="Y1708" s="20">
        <f t="shared" si="103"/>
        <v>0</v>
      </c>
      <c r="AA1708" s="98">
        <f t="shared" si="104"/>
        <v>0</v>
      </c>
      <c r="AB1708" s="350">
        <f t="shared" si="105"/>
        <v>0</v>
      </c>
    </row>
    <row r="1709" spans="8:28" ht="22.15" customHeight="1" x14ac:dyDescent="0.25">
      <c r="H1709" s="346"/>
      <c r="O1709" s="347"/>
      <c r="Y1709" s="20">
        <f t="shared" si="103"/>
        <v>0</v>
      </c>
      <c r="AA1709" s="98">
        <f t="shared" si="104"/>
        <v>0</v>
      </c>
      <c r="AB1709" s="350">
        <f t="shared" si="105"/>
        <v>0</v>
      </c>
    </row>
    <row r="1710" spans="8:28" ht="22.15" customHeight="1" x14ac:dyDescent="0.25">
      <c r="H1710" s="346"/>
      <c r="O1710" s="347"/>
      <c r="Y1710" s="20">
        <f t="shared" si="103"/>
        <v>0</v>
      </c>
      <c r="AA1710" s="98">
        <f t="shared" si="104"/>
        <v>0</v>
      </c>
      <c r="AB1710" s="350">
        <f t="shared" si="105"/>
        <v>0</v>
      </c>
    </row>
    <row r="1711" spans="8:28" ht="22.15" customHeight="1" x14ac:dyDescent="0.25">
      <c r="H1711" s="346"/>
      <c r="O1711" s="347"/>
      <c r="Y1711" s="20">
        <f t="shared" si="103"/>
        <v>0</v>
      </c>
      <c r="AA1711" s="98">
        <f t="shared" si="104"/>
        <v>0</v>
      </c>
      <c r="AB1711" s="350">
        <f t="shared" si="105"/>
        <v>0</v>
      </c>
    </row>
    <row r="1712" spans="8:28" ht="22.15" customHeight="1" x14ac:dyDescent="0.25">
      <c r="H1712" s="346"/>
      <c r="O1712" s="347"/>
      <c r="Y1712" s="20">
        <f t="shared" si="103"/>
        <v>0</v>
      </c>
      <c r="AA1712" s="98">
        <f t="shared" si="104"/>
        <v>0</v>
      </c>
      <c r="AB1712" s="350">
        <f t="shared" si="105"/>
        <v>0</v>
      </c>
    </row>
    <row r="1713" spans="8:28" ht="22.15" customHeight="1" x14ac:dyDescent="0.25">
      <c r="H1713" s="346"/>
      <c r="O1713" s="347"/>
      <c r="Y1713" s="20">
        <f t="shared" si="103"/>
        <v>0</v>
      </c>
      <c r="AA1713" s="98">
        <f t="shared" si="104"/>
        <v>0</v>
      </c>
      <c r="AB1713" s="350">
        <f t="shared" si="105"/>
        <v>0</v>
      </c>
    </row>
    <row r="1714" spans="8:28" ht="22.15" customHeight="1" x14ac:dyDescent="0.25">
      <c r="H1714" s="346"/>
      <c r="O1714" s="347"/>
      <c r="Y1714" s="20">
        <f t="shared" si="103"/>
        <v>0</v>
      </c>
      <c r="AA1714" s="98">
        <f t="shared" si="104"/>
        <v>0</v>
      </c>
      <c r="AB1714" s="350">
        <f t="shared" si="105"/>
        <v>0</v>
      </c>
    </row>
    <row r="1715" spans="8:28" ht="22.15" customHeight="1" x14ac:dyDescent="0.25">
      <c r="H1715" s="346"/>
      <c r="O1715" s="347"/>
      <c r="Y1715" s="20">
        <f t="shared" si="103"/>
        <v>0</v>
      </c>
      <c r="AA1715" s="98">
        <f t="shared" si="104"/>
        <v>0</v>
      </c>
      <c r="AB1715" s="350">
        <f t="shared" si="105"/>
        <v>0</v>
      </c>
    </row>
    <row r="1716" spans="8:28" ht="22.15" customHeight="1" x14ac:dyDescent="0.25">
      <c r="H1716" s="346"/>
      <c r="O1716" s="347"/>
      <c r="Y1716" s="20">
        <f t="shared" si="103"/>
        <v>0</v>
      </c>
      <c r="AA1716" s="98">
        <f t="shared" si="104"/>
        <v>0</v>
      </c>
      <c r="AB1716" s="350">
        <f t="shared" si="105"/>
        <v>0</v>
      </c>
    </row>
    <row r="1717" spans="8:28" ht="22.15" customHeight="1" x14ac:dyDescent="0.25">
      <c r="H1717" s="346"/>
      <c r="O1717" s="347"/>
      <c r="Y1717" s="20">
        <f t="shared" si="103"/>
        <v>0</v>
      </c>
      <c r="AA1717" s="98">
        <f t="shared" si="104"/>
        <v>0</v>
      </c>
      <c r="AB1717" s="350">
        <f t="shared" si="105"/>
        <v>0</v>
      </c>
    </row>
    <row r="1718" spans="8:28" ht="22.15" customHeight="1" x14ac:dyDescent="0.25">
      <c r="H1718" s="346"/>
      <c r="O1718" s="347"/>
      <c r="Y1718" s="20">
        <f t="shared" si="103"/>
        <v>0</v>
      </c>
      <c r="AA1718" s="98">
        <f t="shared" si="104"/>
        <v>0</v>
      </c>
      <c r="AB1718" s="350">
        <f t="shared" si="105"/>
        <v>0</v>
      </c>
    </row>
    <row r="1719" spans="8:28" ht="22.15" customHeight="1" x14ac:dyDescent="0.25">
      <c r="H1719" s="346"/>
      <c r="O1719" s="347"/>
      <c r="Y1719" s="20">
        <f t="shared" si="103"/>
        <v>0</v>
      </c>
      <c r="AA1719" s="98">
        <f t="shared" si="104"/>
        <v>0</v>
      </c>
      <c r="AB1719" s="350">
        <f t="shared" si="105"/>
        <v>0</v>
      </c>
    </row>
    <row r="1720" spans="8:28" ht="22.15" customHeight="1" x14ac:dyDescent="0.25">
      <c r="H1720" s="346"/>
      <c r="O1720" s="347"/>
      <c r="Y1720" s="20">
        <f t="shared" si="103"/>
        <v>0</v>
      </c>
      <c r="AA1720" s="98">
        <f t="shared" si="104"/>
        <v>0</v>
      </c>
      <c r="AB1720" s="350">
        <f t="shared" si="105"/>
        <v>0</v>
      </c>
    </row>
    <row r="1721" spans="8:28" ht="22.15" customHeight="1" x14ac:dyDescent="0.25">
      <c r="H1721" s="346"/>
      <c r="O1721" s="347"/>
      <c r="Y1721" s="20">
        <f t="shared" si="103"/>
        <v>0</v>
      </c>
      <c r="AA1721" s="98">
        <f t="shared" si="104"/>
        <v>0</v>
      </c>
      <c r="AB1721" s="350">
        <f t="shared" si="105"/>
        <v>0</v>
      </c>
    </row>
    <row r="1722" spans="8:28" ht="22.15" customHeight="1" x14ac:dyDescent="0.25">
      <c r="H1722" s="346"/>
      <c r="O1722" s="347"/>
      <c r="Y1722" s="20">
        <f t="shared" si="103"/>
        <v>0</v>
      </c>
      <c r="AA1722" s="98">
        <f t="shared" si="104"/>
        <v>0</v>
      </c>
      <c r="AB1722" s="350">
        <f t="shared" si="105"/>
        <v>0</v>
      </c>
    </row>
    <row r="1723" spans="8:28" ht="22.15" customHeight="1" x14ac:dyDescent="0.25">
      <c r="H1723" s="346"/>
      <c r="O1723" s="347"/>
      <c r="Y1723" s="20">
        <f t="shared" si="103"/>
        <v>0</v>
      </c>
      <c r="AA1723" s="98">
        <f t="shared" si="104"/>
        <v>0</v>
      </c>
      <c r="AB1723" s="350">
        <f t="shared" si="105"/>
        <v>0</v>
      </c>
    </row>
    <row r="1724" spans="8:28" ht="22.15" customHeight="1" x14ac:dyDescent="0.25"/>
    <row r="1725" spans="8:28" ht="22.15" customHeight="1" x14ac:dyDescent="0.25"/>
    <row r="1726" spans="8:28" ht="22.15" customHeight="1" x14ac:dyDescent="0.25"/>
    <row r="1727" spans="8:28" ht="22.15" customHeight="1" x14ac:dyDescent="0.25"/>
    <row r="1728" spans="8:28" ht="22.15" customHeight="1" x14ac:dyDescent="0.25"/>
    <row r="1729" ht="22.15" customHeight="1" x14ac:dyDescent="0.25"/>
    <row r="1730" ht="22.15" customHeight="1" x14ac:dyDescent="0.25"/>
    <row r="1731" ht="22.15" customHeight="1" x14ac:dyDescent="0.25"/>
    <row r="1732" ht="22.15" customHeight="1" x14ac:dyDescent="0.25"/>
    <row r="1733" ht="22.15" customHeight="1" x14ac:dyDescent="0.25"/>
    <row r="1734" ht="22.15" customHeight="1" x14ac:dyDescent="0.25"/>
    <row r="1735" ht="22.15" customHeight="1" x14ac:dyDescent="0.25"/>
    <row r="1736" ht="22.15" customHeight="1" x14ac:dyDescent="0.25"/>
    <row r="1737" ht="22.15" customHeight="1" x14ac:dyDescent="0.25"/>
    <row r="1738" ht="22.15" customHeight="1" x14ac:dyDescent="0.25"/>
    <row r="1739" ht="22.15" customHeight="1" x14ac:dyDescent="0.25"/>
    <row r="1740" ht="22.15" customHeight="1" x14ac:dyDescent="0.25"/>
    <row r="1741" ht="22.15" customHeight="1" x14ac:dyDescent="0.25"/>
    <row r="1742" ht="22.15" customHeight="1" x14ac:dyDescent="0.25"/>
    <row r="1743" ht="22.15" customHeight="1" x14ac:dyDescent="0.25"/>
    <row r="1744" ht="22.15" customHeight="1" x14ac:dyDescent="0.25"/>
    <row r="1745" ht="22.15" customHeight="1" x14ac:dyDescent="0.25"/>
    <row r="1746" ht="22.15" customHeight="1" x14ac:dyDescent="0.25"/>
    <row r="1747" ht="22.15" customHeight="1" x14ac:dyDescent="0.25"/>
    <row r="1748" ht="22.15" customHeight="1" x14ac:dyDescent="0.25"/>
    <row r="1749" ht="22.15" customHeight="1" x14ac:dyDescent="0.25"/>
    <row r="1750" ht="22.15" customHeight="1" x14ac:dyDescent="0.25"/>
    <row r="1751" ht="22.15" customHeight="1" x14ac:dyDescent="0.25"/>
    <row r="1752" ht="22.15" customHeight="1" x14ac:dyDescent="0.25"/>
    <row r="1753" ht="22.15" customHeight="1" x14ac:dyDescent="0.25"/>
    <row r="1754" ht="22.15" customHeight="1" x14ac:dyDescent="0.25"/>
    <row r="1755" ht="22.15" customHeight="1" x14ac:dyDescent="0.25"/>
    <row r="1756" ht="22.15" customHeight="1" x14ac:dyDescent="0.25"/>
    <row r="1757" ht="22.15" customHeight="1" x14ac:dyDescent="0.25"/>
    <row r="1758" ht="22.15" customHeight="1" x14ac:dyDescent="0.25"/>
    <row r="1759" ht="22.15" customHeight="1" x14ac:dyDescent="0.25"/>
    <row r="1760" ht="22.15" customHeight="1" x14ac:dyDescent="0.25"/>
    <row r="1761" ht="22.15" customHeight="1" x14ac:dyDescent="0.25"/>
    <row r="1762" ht="22.15" customHeight="1" x14ac:dyDescent="0.25"/>
    <row r="1763" ht="22.15" customHeight="1" x14ac:dyDescent="0.25"/>
    <row r="1764" ht="22.15" customHeight="1" x14ac:dyDescent="0.25"/>
    <row r="1765" ht="22.15" customHeight="1" x14ac:dyDescent="0.25"/>
    <row r="1766" ht="22.15" customHeight="1" x14ac:dyDescent="0.25"/>
    <row r="1767" ht="22.15" customHeight="1" x14ac:dyDescent="0.25"/>
    <row r="1768" ht="22.15" customHeight="1" x14ac:dyDescent="0.25"/>
    <row r="1769" ht="22.15" customHeight="1" x14ac:dyDescent="0.25"/>
    <row r="1770" ht="22.15" customHeight="1" x14ac:dyDescent="0.25"/>
    <row r="1771" ht="22.15" customHeight="1" x14ac:dyDescent="0.25"/>
    <row r="1772" ht="22.15" customHeight="1" x14ac:dyDescent="0.25"/>
    <row r="1773" ht="22.15" customHeight="1" x14ac:dyDescent="0.25"/>
    <row r="1774" ht="22.15" customHeight="1" x14ac:dyDescent="0.25"/>
    <row r="1775" ht="22.15" customHeight="1" x14ac:dyDescent="0.25"/>
    <row r="1776" ht="22.15" customHeight="1" x14ac:dyDescent="0.25"/>
    <row r="1777" ht="22.15" customHeight="1" x14ac:dyDescent="0.25"/>
    <row r="1778" ht="22.15" customHeight="1" x14ac:dyDescent="0.25"/>
    <row r="1779" ht="22.15" customHeight="1" x14ac:dyDescent="0.25"/>
    <row r="1780" ht="22.15" customHeight="1" x14ac:dyDescent="0.25"/>
    <row r="1781" ht="22.15" customHeight="1" x14ac:dyDescent="0.25"/>
    <row r="1782" ht="22.15" customHeight="1" x14ac:dyDescent="0.25"/>
    <row r="1783" ht="22.15" customHeight="1" x14ac:dyDescent="0.25"/>
    <row r="1784" ht="22.15" customHeight="1" x14ac:dyDescent="0.25"/>
    <row r="1785" ht="22.15" customHeight="1" x14ac:dyDescent="0.25"/>
    <row r="1786" ht="22.15" customHeight="1" x14ac:dyDescent="0.25"/>
    <row r="1787" ht="22.15" customHeight="1" x14ac:dyDescent="0.25"/>
    <row r="1788" ht="22.15" customHeight="1" x14ac:dyDescent="0.25"/>
    <row r="1789" ht="22.15" customHeight="1" x14ac:dyDescent="0.25"/>
    <row r="1790" ht="22.15" customHeight="1" x14ac:dyDescent="0.25"/>
    <row r="1791" ht="22.15" customHeight="1" x14ac:dyDescent="0.25"/>
    <row r="1792" ht="22.15" customHeight="1" x14ac:dyDescent="0.25"/>
    <row r="1793" ht="22.15" customHeight="1" x14ac:dyDescent="0.25"/>
    <row r="1794" ht="22.15" customHeight="1" x14ac:dyDescent="0.25"/>
    <row r="1795" ht="22.15" customHeight="1" x14ac:dyDescent="0.25"/>
    <row r="1796" ht="22.15" customHeight="1" x14ac:dyDescent="0.25"/>
    <row r="1797" ht="22.15" customHeight="1" x14ac:dyDescent="0.25"/>
    <row r="1798" ht="22.15" customHeight="1" x14ac:dyDescent="0.25"/>
    <row r="1799" ht="22.15" customHeight="1" x14ac:dyDescent="0.25"/>
    <row r="1800" ht="22.15" customHeight="1" x14ac:dyDescent="0.25"/>
    <row r="1801" ht="22.15" customHeight="1" x14ac:dyDescent="0.25"/>
    <row r="1802" ht="22.15" customHeight="1" x14ac:dyDescent="0.25"/>
    <row r="1803" ht="22.15" customHeight="1" x14ac:dyDescent="0.25"/>
    <row r="1804" ht="22.15" customHeight="1" x14ac:dyDescent="0.25"/>
    <row r="1805" ht="22.15" customHeight="1" x14ac:dyDescent="0.25"/>
    <row r="1806" ht="22.15" customHeight="1" x14ac:dyDescent="0.25"/>
    <row r="1807" ht="22.15" customHeight="1" x14ac:dyDescent="0.25"/>
    <row r="1808" ht="22.15" customHeight="1" x14ac:dyDescent="0.25"/>
    <row r="1809" ht="22.15" customHeight="1" x14ac:dyDescent="0.25"/>
    <row r="1810" ht="22.15" customHeight="1" x14ac:dyDescent="0.25"/>
    <row r="1811" ht="22.15" customHeight="1" x14ac:dyDescent="0.25"/>
    <row r="1812" ht="22.15" customHeight="1" x14ac:dyDescent="0.25"/>
    <row r="1813" ht="22.15" customHeight="1" x14ac:dyDescent="0.25"/>
    <row r="1814" ht="22.15" customHeight="1" x14ac:dyDescent="0.25"/>
    <row r="1815" ht="22.15" customHeight="1" x14ac:dyDescent="0.25"/>
    <row r="1816" ht="22.15" customHeight="1" x14ac:dyDescent="0.25"/>
    <row r="1817" ht="22.15" customHeight="1" x14ac:dyDescent="0.25"/>
    <row r="1818" ht="22.15" customHeight="1" x14ac:dyDescent="0.25"/>
    <row r="1819" ht="22.15" customHeight="1" x14ac:dyDescent="0.25"/>
    <row r="1820" ht="22.15" customHeight="1" x14ac:dyDescent="0.25"/>
    <row r="1821" ht="22.15" customHeight="1" x14ac:dyDescent="0.25"/>
    <row r="1822" ht="22.15" customHeight="1" x14ac:dyDescent="0.25"/>
    <row r="1823" ht="22.15" customHeight="1" x14ac:dyDescent="0.25"/>
    <row r="1824" ht="22.15" customHeight="1" x14ac:dyDescent="0.25"/>
    <row r="1825" ht="22.15" customHeight="1" x14ac:dyDescent="0.25"/>
    <row r="1826" ht="22.15" customHeight="1" x14ac:dyDescent="0.25"/>
    <row r="1827" ht="22.15" customHeight="1" x14ac:dyDescent="0.25"/>
    <row r="1828" ht="22.15" customHeight="1" x14ac:dyDescent="0.25"/>
    <row r="1829" ht="22.15" customHeight="1" x14ac:dyDescent="0.25"/>
    <row r="1830" ht="22.15" customHeight="1" x14ac:dyDescent="0.25"/>
    <row r="1831" ht="22.15" customHeight="1" x14ac:dyDescent="0.25"/>
    <row r="1832" ht="22.15" customHeight="1" x14ac:dyDescent="0.25"/>
    <row r="1833" ht="22.15" customHeight="1" x14ac:dyDescent="0.25"/>
    <row r="1834" ht="22.15" customHeight="1" x14ac:dyDescent="0.25"/>
    <row r="1835" ht="22.15" customHeight="1" x14ac:dyDescent="0.25"/>
    <row r="1836" ht="22.15" customHeight="1" x14ac:dyDescent="0.25"/>
    <row r="1837" ht="22.15" customHeight="1" x14ac:dyDescent="0.25"/>
    <row r="1838" ht="22.15" customHeight="1" x14ac:dyDescent="0.25"/>
    <row r="1839" ht="22.15" customHeight="1" x14ac:dyDescent="0.25"/>
    <row r="1840" ht="22.15" customHeight="1" x14ac:dyDescent="0.25"/>
    <row r="1841" ht="22.15" customHeight="1" x14ac:dyDescent="0.25"/>
    <row r="1842" ht="22.15" customHeight="1" x14ac:dyDescent="0.25"/>
    <row r="1843" ht="22.15" customHeight="1" x14ac:dyDescent="0.25"/>
    <row r="1844" ht="22.15" customHeight="1" x14ac:dyDescent="0.25"/>
    <row r="1845" ht="22.15" customHeight="1" x14ac:dyDescent="0.25"/>
    <row r="1846" ht="22.15" customHeight="1" x14ac:dyDescent="0.25"/>
    <row r="1847" ht="22.15" customHeight="1" x14ac:dyDescent="0.25"/>
    <row r="1848" ht="22.15" customHeight="1" x14ac:dyDescent="0.25"/>
    <row r="1849" ht="22.15" customHeight="1" x14ac:dyDescent="0.25"/>
    <row r="1850" ht="22.15" customHeight="1" x14ac:dyDescent="0.25"/>
    <row r="1851" ht="22.15" customHeight="1" x14ac:dyDescent="0.25"/>
    <row r="1852" ht="22.15" customHeight="1" x14ac:dyDescent="0.25"/>
    <row r="1853" ht="22.15" customHeight="1" x14ac:dyDescent="0.25"/>
    <row r="1854" ht="22.15" customHeight="1" x14ac:dyDescent="0.25"/>
    <row r="1855" ht="22.15" customHeight="1" x14ac:dyDescent="0.25"/>
    <row r="1856" ht="22.15" customHeight="1" x14ac:dyDescent="0.25"/>
    <row r="1857" ht="22.15" customHeight="1" x14ac:dyDescent="0.25"/>
    <row r="1858" ht="22.15" customHeight="1" x14ac:dyDescent="0.25"/>
    <row r="1859" ht="22.15" customHeight="1" x14ac:dyDescent="0.25"/>
    <row r="1860" ht="22.15" customHeight="1" x14ac:dyDescent="0.25"/>
    <row r="1861" ht="22.15" customHeight="1" x14ac:dyDescent="0.25"/>
    <row r="1862" ht="22.15" customHeight="1" x14ac:dyDescent="0.25"/>
    <row r="1863" ht="22.15" customHeight="1" x14ac:dyDescent="0.25"/>
    <row r="1864" ht="22.15" customHeight="1" x14ac:dyDescent="0.25"/>
    <row r="1865" ht="22.15" customHeight="1" x14ac:dyDescent="0.25"/>
    <row r="1866" ht="22.15" customHeight="1" x14ac:dyDescent="0.25"/>
    <row r="1867" ht="22.15" customHeight="1" x14ac:dyDescent="0.25"/>
    <row r="1868" ht="22.15" customHeight="1" x14ac:dyDescent="0.25"/>
    <row r="1869" ht="22.15" customHeight="1" x14ac:dyDescent="0.25"/>
    <row r="1870" ht="22.15" customHeight="1" x14ac:dyDescent="0.25"/>
    <row r="1871" ht="22.15" customHeight="1" x14ac:dyDescent="0.25"/>
    <row r="1872" ht="22.15" customHeight="1" x14ac:dyDescent="0.25"/>
    <row r="1873" ht="22.15" customHeight="1" x14ac:dyDescent="0.25"/>
    <row r="1874" ht="22.15" customHeight="1" x14ac:dyDescent="0.25"/>
    <row r="1875" ht="22.15" customHeight="1" x14ac:dyDescent="0.25"/>
    <row r="1876" ht="22.15" customHeight="1" x14ac:dyDescent="0.25"/>
    <row r="1877" ht="22.15" customHeight="1" x14ac:dyDescent="0.25"/>
    <row r="1878" ht="22.15" customHeight="1" x14ac:dyDescent="0.25"/>
    <row r="1879" ht="22.15" customHeight="1" x14ac:dyDescent="0.25"/>
    <row r="1880" ht="22.15" customHeight="1" x14ac:dyDescent="0.25"/>
    <row r="1881" ht="22.15" customHeight="1" x14ac:dyDescent="0.25"/>
    <row r="1882" ht="22.15" customHeight="1" x14ac:dyDescent="0.25"/>
    <row r="1883" ht="22.15" customHeight="1" x14ac:dyDescent="0.25"/>
    <row r="1884" ht="22.15" customHeight="1" x14ac:dyDescent="0.25"/>
    <row r="1885" ht="22.15" customHeight="1" x14ac:dyDescent="0.25"/>
    <row r="1886" ht="22.15" customHeight="1" x14ac:dyDescent="0.25"/>
    <row r="1887" ht="22.15" customHeight="1" x14ac:dyDescent="0.25"/>
    <row r="1888" ht="22.15" customHeight="1" x14ac:dyDescent="0.25"/>
    <row r="1889" ht="22.15" customHeight="1" x14ac:dyDescent="0.25"/>
    <row r="1890" ht="22.15" customHeight="1" x14ac:dyDescent="0.25"/>
    <row r="1891" ht="22.15" customHeight="1" x14ac:dyDescent="0.25"/>
    <row r="1892" ht="22.15" customHeight="1" x14ac:dyDescent="0.25"/>
    <row r="1893" ht="22.15" customHeight="1" x14ac:dyDescent="0.25"/>
    <row r="1894" ht="22.15" customHeight="1" x14ac:dyDescent="0.25"/>
    <row r="1895" ht="22.15" customHeight="1" x14ac:dyDescent="0.25"/>
    <row r="1896" ht="22.15" customHeight="1" x14ac:dyDescent="0.25"/>
    <row r="1897" ht="22.15" customHeight="1" x14ac:dyDescent="0.25"/>
    <row r="1898" ht="22.15" customHeight="1" x14ac:dyDescent="0.25"/>
    <row r="1899" ht="22.15" customHeight="1" x14ac:dyDescent="0.25"/>
    <row r="1900" ht="22.15" customHeight="1" x14ac:dyDescent="0.25"/>
    <row r="1901" ht="22.15" customHeight="1" x14ac:dyDescent="0.25"/>
    <row r="1902" ht="22.15" customHeight="1" x14ac:dyDescent="0.25"/>
    <row r="1903" ht="22.15" customHeight="1" x14ac:dyDescent="0.25"/>
    <row r="1904" ht="22.15" customHeight="1" x14ac:dyDescent="0.25"/>
    <row r="1905" ht="22.15" customHeight="1" x14ac:dyDescent="0.25"/>
    <row r="1906" ht="22.15" customHeight="1" x14ac:dyDescent="0.25"/>
    <row r="1907" ht="22.15" customHeight="1" x14ac:dyDescent="0.25"/>
    <row r="1908" ht="22.15" customHeight="1" x14ac:dyDescent="0.25"/>
    <row r="1909" ht="22.15" customHeight="1" x14ac:dyDescent="0.25"/>
    <row r="1910" ht="22.15" customHeight="1" x14ac:dyDescent="0.25"/>
    <row r="1911" ht="22.15" customHeight="1" x14ac:dyDescent="0.25"/>
    <row r="1912" ht="22.15" customHeight="1" x14ac:dyDescent="0.25"/>
    <row r="1913" ht="22.15" customHeight="1" x14ac:dyDescent="0.25"/>
    <row r="1914" ht="22.15" customHeight="1" x14ac:dyDescent="0.25"/>
    <row r="1915" ht="22.15" customHeight="1" x14ac:dyDescent="0.25"/>
    <row r="1916" ht="22.15" customHeight="1" x14ac:dyDescent="0.25"/>
    <row r="1917" ht="22.15" customHeight="1" x14ac:dyDescent="0.25"/>
    <row r="1918" ht="22.15" customHeight="1" x14ac:dyDescent="0.25"/>
    <row r="1919" ht="22.15" customHeight="1" x14ac:dyDescent="0.25"/>
    <row r="1920" ht="22.15" customHeight="1" x14ac:dyDescent="0.25"/>
    <row r="1921" ht="22.15" customHeight="1" x14ac:dyDescent="0.25"/>
    <row r="1922" ht="22.15" customHeight="1" x14ac:dyDescent="0.25"/>
    <row r="1923" ht="22.15" customHeight="1" x14ac:dyDescent="0.25"/>
    <row r="1924" ht="22.15" customHeight="1" x14ac:dyDescent="0.25"/>
    <row r="1925" ht="22.15" customHeight="1" x14ac:dyDescent="0.25"/>
    <row r="1926" ht="22.15" customHeight="1" x14ac:dyDescent="0.25"/>
    <row r="1927" ht="22.15" customHeight="1" x14ac:dyDescent="0.25"/>
    <row r="1928" ht="22.15" customHeight="1" x14ac:dyDescent="0.25"/>
    <row r="1929" ht="22.15" customHeight="1" x14ac:dyDescent="0.25"/>
    <row r="1930" ht="22.15" customHeight="1" x14ac:dyDescent="0.25"/>
    <row r="1931" ht="22.15" customHeight="1" x14ac:dyDescent="0.25"/>
    <row r="1932" ht="22.15" customHeight="1" x14ac:dyDescent="0.25"/>
    <row r="1933" ht="22.15" customHeight="1" x14ac:dyDescent="0.25"/>
    <row r="1934" ht="22.15" customHeight="1" x14ac:dyDescent="0.25"/>
    <row r="1935" ht="22.15" customHeight="1" x14ac:dyDescent="0.25"/>
    <row r="1936" ht="22.15" customHeight="1" x14ac:dyDescent="0.25"/>
    <row r="1937" ht="22.15" customHeight="1" x14ac:dyDescent="0.25"/>
    <row r="1938" ht="22.15" customHeight="1" x14ac:dyDescent="0.25"/>
    <row r="1939" ht="22.15" customHeight="1" x14ac:dyDescent="0.25"/>
    <row r="1940" ht="22.15" customHeight="1" x14ac:dyDescent="0.25"/>
    <row r="1941" ht="22.15" customHeight="1" x14ac:dyDescent="0.25"/>
    <row r="1942" ht="22.15" customHeight="1" x14ac:dyDescent="0.25"/>
    <row r="1943" ht="22.15" customHeight="1" x14ac:dyDescent="0.25"/>
    <row r="1944" ht="22.15" customHeight="1" x14ac:dyDescent="0.25"/>
    <row r="1945" ht="22.15" customHeight="1" x14ac:dyDescent="0.25"/>
    <row r="1946" ht="22.15" customHeight="1" x14ac:dyDescent="0.25"/>
    <row r="1947" ht="22.15" customHeight="1" x14ac:dyDescent="0.25"/>
    <row r="1948" ht="22.15" customHeight="1" x14ac:dyDescent="0.25"/>
    <row r="1949" ht="22.15" customHeight="1" x14ac:dyDescent="0.25"/>
    <row r="1950" ht="22.15" customHeight="1" x14ac:dyDescent="0.25"/>
    <row r="1951" ht="22.15" customHeight="1" x14ac:dyDescent="0.25"/>
    <row r="1952" ht="22.15" customHeight="1" x14ac:dyDescent="0.25"/>
    <row r="1953" ht="22.15" customHeight="1" x14ac:dyDescent="0.25"/>
    <row r="1954" ht="22.15" customHeight="1" x14ac:dyDescent="0.25"/>
    <row r="1955" ht="22.15" customHeight="1" x14ac:dyDescent="0.25"/>
    <row r="1956" ht="22.15" customHeight="1" x14ac:dyDescent="0.25"/>
    <row r="1957" ht="22.15" customHeight="1" x14ac:dyDescent="0.25"/>
    <row r="1958" ht="22.15" customHeight="1" x14ac:dyDescent="0.25"/>
    <row r="1959" ht="22.15" customHeight="1" x14ac:dyDescent="0.25"/>
    <row r="1960" ht="22.15" customHeight="1" x14ac:dyDescent="0.25"/>
    <row r="1961" ht="22.15" customHeight="1" x14ac:dyDescent="0.25"/>
    <row r="1962" ht="22.15" customHeight="1" x14ac:dyDescent="0.25"/>
    <row r="1963" ht="22.15" customHeight="1" x14ac:dyDescent="0.25"/>
    <row r="1964" ht="22.15" customHeight="1" x14ac:dyDescent="0.25"/>
    <row r="1965" ht="22.15" customHeight="1" x14ac:dyDescent="0.25"/>
    <row r="1966" ht="22.15" customHeight="1" x14ac:dyDescent="0.25"/>
    <row r="1967" ht="22.15" customHeight="1" x14ac:dyDescent="0.25"/>
    <row r="1968" ht="22.15" customHeight="1" x14ac:dyDescent="0.25"/>
    <row r="1969" ht="22.15" customHeight="1" x14ac:dyDescent="0.25"/>
    <row r="1970" ht="22.15" customHeight="1" x14ac:dyDescent="0.25"/>
    <row r="1971" ht="22.15" customHeight="1" x14ac:dyDescent="0.25"/>
    <row r="1972" ht="22.15" customHeight="1" x14ac:dyDescent="0.25"/>
    <row r="1973" ht="22.15" customHeight="1" x14ac:dyDescent="0.25"/>
    <row r="1974" ht="22.15" customHeight="1" x14ac:dyDescent="0.25"/>
    <row r="1975" ht="22.15" customHeight="1" x14ac:dyDescent="0.25"/>
    <row r="1976" ht="22.15" customHeight="1" x14ac:dyDescent="0.25"/>
    <row r="1977" ht="22.15" customHeight="1" x14ac:dyDescent="0.25"/>
    <row r="1978" ht="22.15" customHeight="1" x14ac:dyDescent="0.25"/>
    <row r="1979" ht="22.15" customHeight="1" x14ac:dyDescent="0.25"/>
    <row r="1980" ht="22.15" customHeight="1" x14ac:dyDescent="0.25"/>
    <row r="1981" ht="22.15" customHeight="1" x14ac:dyDescent="0.25"/>
    <row r="1982" ht="22.15" customHeight="1" x14ac:dyDescent="0.25"/>
    <row r="1983" ht="22.15" customHeight="1" x14ac:dyDescent="0.25"/>
    <row r="1984" ht="22.15" customHeight="1" x14ac:dyDescent="0.25"/>
    <row r="1985" ht="22.15" customHeight="1" x14ac:dyDescent="0.25"/>
    <row r="1986" ht="22.15" customHeight="1" x14ac:dyDescent="0.25"/>
    <row r="1987" ht="22.15" customHeight="1" x14ac:dyDescent="0.25"/>
    <row r="1988" ht="22.15" customHeight="1" x14ac:dyDescent="0.25"/>
    <row r="1989" ht="22.15" customHeight="1" x14ac:dyDescent="0.25"/>
    <row r="1990" ht="22.15" customHeight="1" x14ac:dyDescent="0.25"/>
    <row r="1991" ht="22.15" customHeight="1" x14ac:dyDescent="0.25"/>
    <row r="1992" ht="22.15" customHeight="1" x14ac:dyDescent="0.25"/>
    <row r="1993" ht="22.15" customHeight="1" x14ac:dyDescent="0.25"/>
    <row r="1994" ht="22.15" customHeight="1" x14ac:dyDescent="0.25"/>
    <row r="1995" ht="22.15" customHeight="1" x14ac:dyDescent="0.25"/>
    <row r="1996" ht="22.15" customHeight="1" x14ac:dyDescent="0.25"/>
    <row r="1997" ht="22.15" customHeight="1" x14ac:dyDescent="0.25"/>
    <row r="1998" ht="22.15" customHeight="1" x14ac:dyDescent="0.25"/>
    <row r="1999" ht="22.15" customHeight="1" x14ac:dyDescent="0.25"/>
    <row r="2000" ht="22.15" customHeight="1" x14ac:dyDescent="0.25"/>
    <row r="2001" ht="22.15" customHeight="1" x14ac:dyDescent="0.25"/>
    <row r="2002" ht="22.15" customHeight="1" x14ac:dyDescent="0.25"/>
    <row r="2003" ht="22.15" customHeight="1" x14ac:dyDescent="0.25"/>
    <row r="2004" ht="22.15" customHeight="1" x14ac:dyDescent="0.25"/>
    <row r="2005" ht="22.15" customHeight="1" x14ac:dyDescent="0.25"/>
    <row r="2006" ht="22.15" customHeight="1" x14ac:dyDescent="0.25"/>
    <row r="2007" ht="22.15" customHeight="1" x14ac:dyDescent="0.25"/>
    <row r="2008" ht="22.15" customHeight="1" x14ac:dyDescent="0.25"/>
    <row r="2009" ht="22.15" customHeight="1" x14ac:dyDescent="0.25"/>
    <row r="2010" ht="22.15" customHeight="1" x14ac:dyDescent="0.25"/>
    <row r="2011" ht="22.15" customHeight="1" x14ac:dyDescent="0.25"/>
    <row r="2012" ht="22.15" customHeight="1" x14ac:dyDescent="0.25"/>
    <row r="2013" ht="22.15" customHeight="1" x14ac:dyDescent="0.25"/>
    <row r="2014" ht="22.15" customHeight="1" x14ac:dyDescent="0.25"/>
    <row r="2015" ht="22.15" customHeight="1" x14ac:dyDescent="0.25"/>
    <row r="2016" ht="22.15" customHeight="1" x14ac:dyDescent="0.25"/>
    <row r="2017" ht="22.15" customHeight="1" x14ac:dyDescent="0.25"/>
    <row r="2018" ht="22.15" customHeight="1" x14ac:dyDescent="0.25"/>
    <row r="2019" ht="22.15" customHeight="1" x14ac:dyDescent="0.25"/>
    <row r="2020" ht="22.15" customHeight="1" x14ac:dyDescent="0.25"/>
    <row r="2021" ht="22.15" customHeight="1" x14ac:dyDescent="0.25"/>
    <row r="2022" ht="22.15" customHeight="1" x14ac:dyDescent="0.25"/>
    <row r="2023" ht="22.15" customHeight="1" x14ac:dyDescent="0.25"/>
    <row r="2024" ht="22.15" customHeight="1" x14ac:dyDescent="0.25"/>
    <row r="2025" ht="22.15" customHeight="1" x14ac:dyDescent="0.25"/>
    <row r="2026" ht="22.15" customHeight="1" x14ac:dyDescent="0.25"/>
    <row r="2027" ht="22.15" customHeight="1" x14ac:dyDescent="0.25"/>
    <row r="2028" ht="22.15" customHeight="1" x14ac:dyDescent="0.25"/>
    <row r="2029" ht="22.15" customHeight="1" x14ac:dyDescent="0.25"/>
    <row r="2030" ht="22.15" customHeight="1" x14ac:dyDescent="0.25"/>
    <row r="2031" ht="22.15" customHeight="1" x14ac:dyDescent="0.25"/>
    <row r="2032" ht="22.15" customHeight="1" x14ac:dyDescent="0.25"/>
    <row r="2033" ht="22.15" customHeight="1" x14ac:dyDescent="0.25"/>
    <row r="2034" ht="22.15" customHeight="1" x14ac:dyDescent="0.25"/>
    <row r="2035" ht="22.15" customHeight="1" x14ac:dyDescent="0.25"/>
    <row r="2036" ht="22.15" customHeight="1" x14ac:dyDescent="0.25"/>
    <row r="2037" ht="22.15" customHeight="1" x14ac:dyDescent="0.25"/>
    <row r="2038" ht="22.15" customHeight="1" x14ac:dyDescent="0.25"/>
    <row r="2039" ht="22.15" customHeight="1" x14ac:dyDescent="0.25"/>
    <row r="2040" ht="22.15" customHeight="1" x14ac:dyDescent="0.25"/>
    <row r="2041" ht="22.15" customHeight="1" x14ac:dyDescent="0.25"/>
    <row r="2042" ht="22.15" customHeight="1" x14ac:dyDescent="0.25"/>
    <row r="2043" ht="22.15" customHeight="1" x14ac:dyDescent="0.25"/>
    <row r="2044" ht="22.15" customHeight="1" x14ac:dyDescent="0.25"/>
    <row r="2045" ht="22.15" customHeight="1" x14ac:dyDescent="0.25"/>
    <row r="2046" ht="22.15" customHeight="1" x14ac:dyDescent="0.25"/>
    <row r="2047" ht="22.15" customHeight="1" x14ac:dyDescent="0.25"/>
    <row r="2048" ht="22.15" customHeight="1" x14ac:dyDescent="0.25"/>
    <row r="2049" ht="22.15" customHeight="1" x14ac:dyDescent="0.25"/>
    <row r="2050" ht="22.15" customHeight="1" x14ac:dyDescent="0.25"/>
    <row r="2051" ht="22.15" customHeight="1" x14ac:dyDescent="0.25"/>
    <row r="2052" ht="22.15" customHeight="1" x14ac:dyDescent="0.25"/>
    <row r="2053" ht="22.15" customHeight="1" x14ac:dyDescent="0.25"/>
    <row r="2054" ht="22.15" customHeight="1" x14ac:dyDescent="0.25"/>
    <row r="2055" ht="22.15" customHeight="1" x14ac:dyDescent="0.25"/>
    <row r="2056" ht="22.15" customHeight="1" x14ac:dyDescent="0.25"/>
    <row r="2057" ht="22.15" customHeight="1" x14ac:dyDescent="0.25"/>
    <row r="2058" ht="22.15" customHeight="1" x14ac:dyDescent="0.25"/>
    <row r="2059" ht="22.15" customHeight="1" x14ac:dyDescent="0.25"/>
    <row r="2060" ht="22.15" customHeight="1" x14ac:dyDescent="0.25"/>
    <row r="2061" ht="22.15" customHeight="1" x14ac:dyDescent="0.25"/>
    <row r="2062" ht="22.15" customHeight="1" x14ac:dyDescent="0.25"/>
    <row r="2063" ht="22.15" customHeight="1" x14ac:dyDescent="0.25"/>
    <row r="2064" ht="22.15" customHeight="1" x14ac:dyDescent="0.25"/>
    <row r="2065" ht="22.15" customHeight="1" x14ac:dyDescent="0.25"/>
    <row r="2066" ht="22.15" customHeight="1" x14ac:dyDescent="0.25"/>
    <row r="2067" ht="22.15" customHeight="1" x14ac:dyDescent="0.25"/>
    <row r="2068" ht="22.15" customHeight="1" x14ac:dyDescent="0.25"/>
    <row r="2069" ht="22.15" customHeight="1" x14ac:dyDescent="0.25"/>
    <row r="2070" ht="22.15" customHeight="1" x14ac:dyDescent="0.25"/>
    <row r="2071" ht="22.15" customHeight="1" x14ac:dyDescent="0.25"/>
    <row r="2072" ht="22.15" customHeight="1" x14ac:dyDescent="0.25"/>
    <row r="2073" ht="22.15" customHeight="1" x14ac:dyDescent="0.25"/>
    <row r="2074" ht="22.15" customHeight="1" x14ac:dyDescent="0.25"/>
    <row r="2075" ht="22.15" customHeight="1" x14ac:dyDescent="0.25"/>
    <row r="2076" ht="22.15" customHeight="1" x14ac:dyDescent="0.25"/>
    <row r="2077" ht="22.15" customHeight="1" x14ac:dyDescent="0.25"/>
    <row r="2078" ht="22.15" customHeight="1" x14ac:dyDescent="0.25"/>
    <row r="2079" ht="22.15" customHeight="1" x14ac:dyDescent="0.25"/>
    <row r="2080" ht="22.15" customHeight="1" x14ac:dyDescent="0.25"/>
    <row r="2081" ht="22.15" customHeight="1" x14ac:dyDescent="0.25"/>
    <row r="2082" ht="22.15" customHeight="1" x14ac:dyDescent="0.25"/>
    <row r="2083" ht="22.15" customHeight="1" x14ac:dyDescent="0.25"/>
    <row r="2084" ht="22.15" customHeight="1" x14ac:dyDescent="0.25"/>
    <row r="2085" ht="22.15" customHeight="1" x14ac:dyDescent="0.25"/>
    <row r="2086" ht="22.15" customHeight="1" x14ac:dyDescent="0.25"/>
    <row r="2087" ht="22.15" customHeight="1" x14ac:dyDescent="0.25"/>
    <row r="2088" ht="22.15" customHeight="1" x14ac:dyDescent="0.25"/>
    <row r="2089" ht="22.15" customHeight="1" x14ac:dyDescent="0.25"/>
    <row r="2090" ht="22.15" customHeight="1" x14ac:dyDescent="0.25"/>
    <row r="2091" ht="22.15" customHeight="1" x14ac:dyDescent="0.25"/>
    <row r="2092" ht="22.15" customHeight="1" x14ac:dyDescent="0.25"/>
    <row r="2093" ht="22.15" customHeight="1" x14ac:dyDescent="0.25"/>
    <row r="2094" ht="22.15" customHeight="1" x14ac:dyDescent="0.25"/>
    <row r="2095" ht="22.15" customHeight="1" x14ac:dyDescent="0.25"/>
    <row r="2096" ht="22.15" customHeight="1" x14ac:dyDescent="0.25"/>
    <row r="2097" ht="22.15" customHeight="1" x14ac:dyDescent="0.25"/>
    <row r="2098" ht="22.15" customHeight="1" x14ac:dyDescent="0.25"/>
    <row r="2099" ht="22.15" customHeight="1" x14ac:dyDescent="0.25"/>
    <row r="2100" ht="22.15" customHeight="1" x14ac:dyDescent="0.25"/>
    <row r="2101" ht="22.15" customHeight="1" x14ac:dyDescent="0.25"/>
    <row r="2102" ht="22.15" customHeight="1" x14ac:dyDescent="0.25"/>
    <row r="2103" ht="22.15" customHeight="1" x14ac:dyDescent="0.25"/>
    <row r="2104" ht="22.15" customHeight="1" x14ac:dyDescent="0.25"/>
    <row r="2105" ht="22.15" customHeight="1" x14ac:dyDescent="0.25"/>
    <row r="2106" ht="22.15" customHeight="1" x14ac:dyDescent="0.25"/>
    <row r="2107" ht="22.15" customHeight="1" x14ac:dyDescent="0.25"/>
    <row r="2108" ht="22.15" customHeight="1" x14ac:dyDescent="0.25"/>
    <row r="2109" ht="22.15" customHeight="1" x14ac:dyDescent="0.25"/>
    <row r="2110" ht="22.15" customHeight="1" x14ac:dyDescent="0.25"/>
    <row r="2111" ht="22.15" customHeight="1" x14ac:dyDescent="0.25"/>
    <row r="2112" ht="22.15" customHeight="1" x14ac:dyDescent="0.25"/>
    <row r="2113" ht="22.15" customHeight="1" x14ac:dyDescent="0.25"/>
    <row r="2114" ht="22.15" customHeight="1" x14ac:dyDescent="0.25"/>
    <row r="2115" ht="22.15" customHeight="1" x14ac:dyDescent="0.25"/>
    <row r="2116" ht="22.15" customHeight="1" x14ac:dyDescent="0.25"/>
    <row r="2117" ht="22.15" customHeight="1" x14ac:dyDescent="0.25"/>
    <row r="2118" ht="22.15" customHeight="1" x14ac:dyDescent="0.25"/>
    <row r="2119" ht="22.15" customHeight="1" x14ac:dyDescent="0.25"/>
    <row r="2120" ht="22.15" customHeight="1" x14ac:dyDescent="0.25"/>
    <row r="2121" ht="22.15" customHeight="1" x14ac:dyDescent="0.25"/>
    <row r="2122" ht="22.15" customHeight="1" x14ac:dyDescent="0.25"/>
    <row r="2123" ht="22.15" customHeight="1" x14ac:dyDescent="0.25"/>
    <row r="2124" ht="22.15" customHeight="1" x14ac:dyDescent="0.25"/>
    <row r="2125" ht="22.15" customHeight="1" x14ac:dyDescent="0.25"/>
    <row r="2126" ht="22.15" customHeight="1" x14ac:dyDescent="0.25"/>
    <row r="2127" ht="22.15" customHeight="1" x14ac:dyDescent="0.25"/>
    <row r="2128" ht="22.15" customHeight="1" x14ac:dyDescent="0.25"/>
    <row r="2129" ht="22.15" customHeight="1" x14ac:dyDescent="0.25"/>
    <row r="2130" ht="22.15" customHeight="1" x14ac:dyDescent="0.25"/>
    <row r="2131" ht="22.15" customHeight="1" x14ac:dyDescent="0.25"/>
    <row r="2132" ht="22.15" customHeight="1" x14ac:dyDescent="0.25"/>
    <row r="2133" ht="22.15" customHeight="1" x14ac:dyDescent="0.25"/>
    <row r="2134" ht="22.15" customHeight="1" x14ac:dyDescent="0.25"/>
    <row r="2135" ht="22.15" customHeight="1" x14ac:dyDescent="0.25"/>
    <row r="2136" ht="22.15" customHeight="1" x14ac:dyDescent="0.25"/>
    <row r="2137" ht="22.15" customHeight="1" x14ac:dyDescent="0.25"/>
    <row r="2138" ht="22.15" customHeight="1" x14ac:dyDescent="0.25"/>
    <row r="2139" ht="22.15" customHeight="1" x14ac:dyDescent="0.25"/>
    <row r="2140" ht="22.15" customHeight="1" x14ac:dyDescent="0.25"/>
    <row r="2141" ht="22.15" customHeight="1" x14ac:dyDescent="0.25"/>
    <row r="2142" ht="22.15" customHeight="1" x14ac:dyDescent="0.25"/>
    <row r="2143" ht="22.15" customHeight="1" x14ac:dyDescent="0.25"/>
    <row r="2144" ht="22.15" customHeight="1" x14ac:dyDescent="0.25"/>
    <row r="2145" ht="22.15" customHeight="1" x14ac:dyDescent="0.25"/>
    <row r="2146" ht="22.15" customHeight="1" x14ac:dyDescent="0.25"/>
    <row r="2147" ht="22.15" customHeight="1" x14ac:dyDescent="0.25"/>
    <row r="2148" ht="22.15" customHeight="1" x14ac:dyDescent="0.25"/>
    <row r="2149" ht="22.15" customHeight="1" x14ac:dyDescent="0.25"/>
    <row r="2150" ht="22.15" customHeight="1" x14ac:dyDescent="0.25"/>
    <row r="2151" ht="22.15" customHeight="1" x14ac:dyDescent="0.25"/>
    <row r="2152" ht="22.15" customHeight="1" x14ac:dyDescent="0.25"/>
    <row r="2153" ht="22.15" customHeight="1" x14ac:dyDescent="0.25"/>
    <row r="2154" ht="22.15" customHeight="1" x14ac:dyDescent="0.25"/>
    <row r="2155" ht="22.15" customHeight="1" x14ac:dyDescent="0.25"/>
    <row r="2156" ht="22.15" customHeight="1" x14ac:dyDescent="0.25"/>
    <row r="2157" ht="22.15" customHeight="1" x14ac:dyDescent="0.25"/>
    <row r="2158" ht="22.15" customHeight="1" x14ac:dyDescent="0.25"/>
    <row r="2159" ht="22.15" customHeight="1" x14ac:dyDescent="0.25"/>
    <row r="2160" ht="22.15" customHeight="1" x14ac:dyDescent="0.25"/>
    <row r="2161" ht="22.15" customHeight="1" x14ac:dyDescent="0.25"/>
    <row r="2162" ht="22.15" customHeight="1" x14ac:dyDescent="0.25"/>
    <row r="2163" ht="22.15" customHeight="1" x14ac:dyDescent="0.25"/>
    <row r="2164" ht="22.15" customHeight="1" x14ac:dyDescent="0.25"/>
    <row r="2165" ht="22.15" customHeight="1" x14ac:dyDescent="0.25"/>
    <row r="2166" ht="22.15" customHeight="1" x14ac:dyDescent="0.25"/>
    <row r="2167" ht="22.15" customHeight="1" x14ac:dyDescent="0.25"/>
    <row r="2168" ht="22.15" customHeight="1" x14ac:dyDescent="0.25"/>
    <row r="2169" ht="22.15" customHeight="1" x14ac:dyDescent="0.25"/>
    <row r="2170" ht="22.15" customHeight="1" x14ac:dyDescent="0.25"/>
    <row r="2171" ht="22.15" customHeight="1" x14ac:dyDescent="0.25"/>
    <row r="2172" ht="22.15" customHeight="1" x14ac:dyDescent="0.25"/>
    <row r="2173" ht="22.15" customHeight="1" x14ac:dyDescent="0.25"/>
    <row r="2174" ht="22.15" customHeight="1" x14ac:dyDescent="0.25"/>
    <row r="2175" ht="22.15" customHeight="1" x14ac:dyDescent="0.25"/>
    <row r="2176" ht="22.15" customHeight="1" x14ac:dyDescent="0.25"/>
    <row r="2177" ht="22.15" customHeight="1" x14ac:dyDescent="0.25"/>
    <row r="2178" ht="22.15" customHeight="1" x14ac:dyDescent="0.25"/>
    <row r="2179" ht="22.15" customHeight="1" x14ac:dyDescent="0.25"/>
    <row r="2180" ht="22.15" customHeight="1" x14ac:dyDescent="0.25"/>
    <row r="2181" ht="22.15" customHeight="1" x14ac:dyDescent="0.25"/>
    <row r="2182" ht="22.15" customHeight="1" x14ac:dyDescent="0.25"/>
    <row r="2183" ht="22.15" customHeight="1" x14ac:dyDescent="0.25"/>
    <row r="2184" ht="22.15" customHeight="1" x14ac:dyDescent="0.25"/>
    <row r="2185" ht="22.15" customHeight="1" x14ac:dyDescent="0.25"/>
    <row r="2186" ht="22.15" customHeight="1" x14ac:dyDescent="0.25"/>
    <row r="2187" ht="22.15" customHeight="1" x14ac:dyDescent="0.25"/>
    <row r="2188" ht="22.15" customHeight="1" x14ac:dyDescent="0.25"/>
    <row r="2189" ht="22.15" customHeight="1" x14ac:dyDescent="0.25"/>
    <row r="2190" ht="22.15" customHeight="1" x14ac:dyDescent="0.25"/>
    <row r="2191" ht="22.15" customHeight="1" x14ac:dyDescent="0.25"/>
    <row r="2192" ht="22.15" customHeight="1" x14ac:dyDescent="0.25"/>
    <row r="2193" ht="22.15" customHeight="1" x14ac:dyDescent="0.25"/>
    <row r="2194" ht="22.15" customHeight="1" x14ac:dyDescent="0.25"/>
    <row r="2195" ht="22.15" customHeight="1" x14ac:dyDescent="0.25"/>
    <row r="2196" ht="22.15" customHeight="1" x14ac:dyDescent="0.25"/>
    <row r="2197" ht="22.15" customHeight="1" x14ac:dyDescent="0.25"/>
    <row r="2198" ht="22.15" customHeight="1" x14ac:dyDescent="0.25"/>
    <row r="2199" ht="22.15" customHeight="1" x14ac:dyDescent="0.25"/>
    <row r="2200" ht="22.15" customHeight="1" x14ac:dyDescent="0.25"/>
    <row r="2201" ht="22.15" customHeight="1" x14ac:dyDescent="0.25"/>
    <row r="2202" ht="22.15" customHeight="1" x14ac:dyDescent="0.25"/>
    <row r="2203" ht="22.15" customHeight="1" x14ac:dyDescent="0.25"/>
    <row r="2204" ht="22.15" customHeight="1" x14ac:dyDescent="0.25"/>
    <row r="2205" ht="22.15" customHeight="1" x14ac:dyDescent="0.25"/>
    <row r="2206" ht="22.15" customHeight="1" x14ac:dyDescent="0.25"/>
    <row r="2207" ht="22.15" customHeight="1" x14ac:dyDescent="0.25"/>
    <row r="2208" ht="22.15" customHeight="1" x14ac:dyDescent="0.25"/>
    <row r="2209" ht="22.15" customHeight="1" x14ac:dyDescent="0.25"/>
    <row r="2210" ht="22.15" customHeight="1" x14ac:dyDescent="0.25"/>
    <row r="2211" ht="22.15" customHeight="1" x14ac:dyDescent="0.25"/>
    <row r="2212" ht="22.15" customHeight="1" x14ac:dyDescent="0.25"/>
    <row r="2213" ht="22.15" customHeight="1" x14ac:dyDescent="0.25"/>
    <row r="2214" ht="22.15" customHeight="1" x14ac:dyDescent="0.25"/>
    <row r="2215" ht="22.15" customHeight="1" x14ac:dyDescent="0.25"/>
    <row r="2216" ht="22.15" customHeight="1" x14ac:dyDescent="0.25"/>
    <row r="2217" ht="22.15" customHeight="1" x14ac:dyDescent="0.25"/>
    <row r="2218" ht="22.15" customHeight="1" x14ac:dyDescent="0.25"/>
    <row r="2219" ht="22.15" customHeight="1" x14ac:dyDescent="0.25"/>
    <row r="2220" ht="22.15" customHeight="1" x14ac:dyDescent="0.25"/>
    <row r="2221" ht="22.15" customHeight="1" x14ac:dyDescent="0.25"/>
    <row r="2222" ht="22.15" customHeight="1" x14ac:dyDescent="0.25"/>
    <row r="2223" ht="22.15" customHeight="1" x14ac:dyDescent="0.25"/>
    <row r="2224" ht="22.15" customHeight="1" x14ac:dyDescent="0.25"/>
    <row r="2225" ht="22.15" customHeight="1" x14ac:dyDescent="0.25"/>
    <row r="2226" ht="22.15" customHeight="1" x14ac:dyDescent="0.25"/>
    <row r="2227" ht="22.15" customHeight="1" x14ac:dyDescent="0.25"/>
    <row r="2228" ht="22.15" customHeight="1" x14ac:dyDescent="0.25"/>
    <row r="2229" ht="22.15" customHeight="1" x14ac:dyDescent="0.25"/>
    <row r="2230" ht="22.15" customHeight="1" x14ac:dyDescent="0.25"/>
    <row r="2231" ht="22.15" customHeight="1" x14ac:dyDescent="0.25"/>
    <row r="2232" ht="22.15" customHeight="1" x14ac:dyDescent="0.25"/>
    <row r="2233" ht="22.15" customHeight="1" x14ac:dyDescent="0.25"/>
    <row r="2234" ht="22.15" customHeight="1" x14ac:dyDescent="0.25"/>
    <row r="2235" ht="22.15" customHeight="1" x14ac:dyDescent="0.25"/>
    <row r="2236" ht="22.15" customHeight="1" x14ac:dyDescent="0.25"/>
    <row r="2237" ht="22.15" customHeight="1" x14ac:dyDescent="0.25"/>
    <row r="2238" ht="22.15" customHeight="1" x14ac:dyDescent="0.25"/>
    <row r="2239" ht="22.15" customHeight="1" x14ac:dyDescent="0.25"/>
    <row r="2240" ht="22.15" customHeight="1" x14ac:dyDescent="0.25"/>
    <row r="2241" ht="22.15" customHeight="1" x14ac:dyDescent="0.25"/>
    <row r="2242" ht="22.15" customHeight="1" x14ac:dyDescent="0.25"/>
    <row r="2243" ht="22.15" customHeight="1" x14ac:dyDescent="0.25"/>
    <row r="2244" ht="22.15" customHeight="1" x14ac:dyDescent="0.25"/>
    <row r="2245" ht="22.15" customHeight="1" x14ac:dyDescent="0.25"/>
    <row r="2246" ht="22.15" customHeight="1" x14ac:dyDescent="0.25"/>
    <row r="2247" ht="22.15" customHeight="1" x14ac:dyDescent="0.25"/>
    <row r="2248" ht="22.15" customHeight="1" x14ac:dyDescent="0.25"/>
    <row r="2249" ht="22.15" customHeight="1" x14ac:dyDescent="0.25"/>
    <row r="2250" ht="22.15" customHeight="1" x14ac:dyDescent="0.25"/>
    <row r="2251" ht="22.15" customHeight="1" x14ac:dyDescent="0.25"/>
    <row r="2252" ht="22.15" customHeight="1" x14ac:dyDescent="0.25"/>
    <row r="2253" ht="22.15" customHeight="1" x14ac:dyDescent="0.25"/>
    <row r="2254" ht="22.15" customHeight="1" x14ac:dyDescent="0.25"/>
    <row r="2255" ht="22.15" customHeight="1" x14ac:dyDescent="0.25"/>
    <row r="2256" ht="22.15" customHeight="1" x14ac:dyDescent="0.25"/>
    <row r="2257" ht="22.15" customHeight="1" x14ac:dyDescent="0.25"/>
    <row r="2258" ht="22.15" customHeight="1" x14ac:dyDescent="0.25"/>
    <row r="2259" ht="22.15" customHeight="1" x14ac:dyDescent="0.25"/>
    <row r="2260" ht="22.15" customHeight="1" x14ac:dyDescent="0.25"/>
    <row r="2261" ht="22.15" customHeight="1" x14ac:dyDescent="0.25"/>
    <row r="2262" ht="22.15" customHeight="1" x14ac:dyDescent="0.25"/>
    <row r="2263" ht="22.15" customHeight="1" x14ac:dyDescent="0.25"/>
    <row r="2264" ht="22.15" customHeight="1" x14ac:dyDescent="0.25"/>
    <row r="2265" ht="22.15" customHeight="1" x14ac:dyDescent="0.25"/>
    <row r="2266" ht="22.15" customHeight="1" x14ac:dyDescent="0.25"/>
    <row r="2267" ht="22.15" customHeight="1" x14ac:dyDescent="0.25"/>
    <row r="2268" ht="22.15" customHeight="1" x14ac:dyDescent="0.25"/>
    <row r="2269" ht="22.15" customHeight="1" x14ac:dyDescent="0.25"/>
    <row r="2270" ht="22.15" customHeight="1" x14ac:dyDescent="0.25"/>
    <row r="2271" ht="22.15" customHeight="1" x14ac:dyDescent="0.25"/>
    <row r="2272" ht="22.15" customHeight="1" x14ac:dyDescent="0.25"/>
    <row r="2273" ht="22.15" customHeight="1" x14ac:dyDescent="0.25"/>
    <row r="2274" ht="22.15" customHeight="1" x14ac:dyDescent="0.25"/>
    <row r="2275" ht="22.15" customHeight="1" x14ac:dyDescent="0.25"/>
    <row r="2276" ht="22.15" customHeight="1" x14ac:dyDescent="0.25"/>
    <row r="2277" ht="22.15" customHeight="1" x14ac:dyDescent="0.25"/>
    <row r="2278" ht="22.15" customHeight="1" x14ac:dyDescent="0.25"/>
    <row r="2279" ht="22.15" customHeight="1" x14ac:dyDescent="0.25"/>
    <row r="2280" ht="22.15" customHeight="1" x14ac:dyDescent="0.25"/>
    <row r="2281" ht="22.15" customHeight="1" x14ac:dyDescent="0.25"/>
    <row r="2282" ht="22.15" customHeight="1" x14ac:dyDescent="0.25"/>
    <row r="2283" ht="22.15" customHeight="1" x14ac:dyDescent="0.25"/>
    <row r="2284" ht="22.15" customHeight="1" x14ac:dyDescent="0.25"/>
    <row r="2285" ht="22.15" customHeight="1" x14ac:dyDescent="0.25"/>
    <row r="2286" ht="22.15" customHeight="1" x14ac:dyDescent="0.25"/>
    <row r="2287" ht="22.15" customHeight="1" x14ac:dyDescent="0.25"/>
    <row r="2288" ht="22.15" customHeight="1" x14ac:dyDescent="0.25"/>
    <row r="2289" ht="22.15" customHeight="1" x14ac:dyDescent="0.25"/>
    <row r="2290" ht="22.15" customHeight="1" x14ac:dyDescent="0.25"/>
    <row r="2291" ht="22.15" customHeight="1" x14ac:dyDescent="0.25"/>
    <row r="2292" ht="22.15" customHeight="1" x14ac:dyDescent="0.25"/>
    <row r="2293" ht="22.15" customHeight="1" x14ac:dyDescent="0.25"/>
    <row r="2294" ht="22.15" customHeight="1" x14ac:dyDescent="0.25"/>
    <row r="2295" ht="22.15" customHeight="1" x14ac:dyDescent="0.25"/>
    <row r="2296" ht="22.15" customHeight="1" x14ac:dyDescent="0.25"/>
    <row r="2297" ht="22.15" customHeight="1" x14ac:dyDescent="0.25"/>
    <row r="2298" ht="22.15" customHeight="1" x14ac:dyDescent="0.25"/>
    <row r="2299" ht="22.15" customHeight="1" x14ac:dyDescent="0.25"/>
    <row r="2300" ht="22.15" customHeight="1" x14ac:dyDescent="0.25"/>
    <row r="2301" ht="22.15" customHeight="1" x14ac:dyDescent="0.25"/>
    <row r="2302" ht="22.15" customHeight="1" x14ac:dyDescent="0.25"/>
    <row r="2303" ht="22.15" customHeight="1" x14ac:dyDescent="0.25"/>
    <row r="2304" ht="22.15" customHeight="1" x14ac:dyDescent="0.25"/>
    <row r="2305" ht="22.15" customHeight="1" x14ac:dyDescent="0.25"/>
    <row r="2306" ht="22.15" customHeight="1" x14ac:dyDescent="0.25"/>
    <row r="2307" ht="22.15" customHeight="1" x14ac:dyDescent="0.25"/>
    <row r="2308" ht="22.15" customHeight="1" x14ac:dyDescent="0.25"/>
    <row r="2309" ht="22.15" customHeight="1" x14ac:dyDescent="0.25"/>
    <row r="2310" ht="22.15" customHeight="1" x14ac:dyDescent="0.25"/>
    <row r="2311" ht="22.15" customHeight="1" x14ac:dyDescent="0.25"/>
    <row r="2312" ht="22.15" customHeight="1" x14ac:dyDescent="0.25"/>
    <row r="2313" ht="22.15" customHeight="1" x14ac:dyDescent="0.25"/>
    <row r="2314" ht="22.15" customHeight="1" x14ac:dyDescent="0.25"/>
    <row r="2315" ht="22.15" customHeight="1" x14ac:dyDescent="0.25"/>
    <row r="2316" ht="22.15" customHeight="1" x14ac:dyDescent="0.25"/>
    <row r="2317" ht="22.15" customHeight="1" x14ac:dyDescent="0.25"/>
    <row r="2318" ht="22.15" customHeight="1" x14ac:dyDescent="0.25"/>
    <row r="2319" ht="22.15" customHeight="1" x14ac:dyDescent="0.25"/>
    <row r="2320" ht="22.15" customHeight="1" x14ac:dyDescent="0.25"/>
    <row r="2321" ht="22.15" customHeight="1" x14ac:dyDescent="0.25"/>
    <row r="2322" ht="22.15" customHeight="1" x14ac:dyDescent="0.25"/>
    <row r="2323" ht="22.15" customHeight="1" x14ac:dyDescent="0.25"/>
    <row r="2324" ht="22.15" customHeight="1" x14ac:dyDescent="0.25"/>
    <row r="2325" ht="22.15" customHeight="1" x14ac:dyDescent="0.25"/>
    <row r="2326" ht="22.15" customHeight="1" x14ac:dyDescent="0.25"/>
    <row r="2327" ht="22.15" customHeight="1" x14ac:dyDescent="0.25"/>
    <row r="2328" ht="22.15" customHeight="1" x14ac:dyDescent="0.25"/>
    <row r="2329" ht="22.15" customHeight="1" x14ac:dyDescent="0.25"/>
    <row r="2330" ht="22.15" customHeight="1" x14ac:dyDescent="0.25"/>
    <row r="2331" ht="22.15" customHeight="1" x14ac:dyDescent="0.25"/>
    <row r="2332" ht="22.15" customHeight="1" x14ac:dyDescent="0.25"/>
    <row r="2333" ht="22.15" customHeight="1" x14ac:dyDescent="0.25"/>
    <row r="2334" ht="22.15" customHeight="1" x14ac:dyDescent="0.25"/>
    <row r="2335" ht="22.15" customHeight="1" x14ac:dyDescent="0.25"/>
    <row r="2336" ht="22.15" customHeight="1" x14ac:dyDescent="0.25"/>
    <row r="2337" ht="22.15" customHeight="1" x14ac:dyDescent="0.25"/>
    <row r="2338" ht="22.15" customHeight="1" x14ac:dyDescent="0.25"/>
    <row r="2339" ht="22.15" customHeight="1" x14ac:dyDescent="0.25"/>
    <row r="2340" ht="22.15" customHeight="1" x14ac:dyDescent="0.25"/>
    <row r="2341" ht="22.15" customHeight="1" x14ac:dyDescent="0.25"/>
    <row r="2342" ht="22.15" customHeight="1" x14ac:dyDescent="0.25"/>
    <row r="2343" ht="22.15" customHeight="1" x14ac:dyDescent="0.25"/>
    <row r="2344" ht="22.15" customHeight="1" x14ac:dyDescent="0.25"/>
    <row r="2345" ht="22.15" customHeight="1" x14ac:dyDescent="0.25"/>
    <row r="2346" ht="22.15" customHeight="1" x14ac:dyDescent="0.25"/>
    <row r="2347" ht="22.15" customHeight="1" x14ac:dyDescent="0.25"/>
    <row r="2348" ht="22.15" customHeight="1" x14ac:dyDescent="0.25"/>
    <row r="2349" ht="22.15" customHeight="1" x14ac:dyDescent="0.25"/>
    <row r="2350" ht="22.15" customHeight="1" x14ac:dyDescent="0.25"/>
    <row r="2351" ht="22.15" customHeight="1" x14ac:dyDescent="0.25"/>
    <row r="2352" ht="22.15" customHeight="1" x14ac:dyDescent="0.25"/>
    <row r="2353" ht="22.15" customHeight="1" x14ac:dyDescent="0.25"/>
    <row r="2354" ht="22.15" customHeight="1" x14ac:dyDescent="0.25"/>
    <row r="2355" ht="22.15" customHeight="1" x14ac:dyDescent="0.25"/>
    <row r="2356" ht="22.15" customHeight="1" x14ac:dyDescent="0.25"/>
    <row r="2357" ht="22.15" customHeight="1" x14ac:dyDescent="0.25"/>
    <row r="2358" ht="22.15" customHeight="1" x14ac:dyDescent="0.25"/>
    <row r="2359" ht="22.15" customHeight="1" x14ac:dyDescent="0.25"/>
    <row r="2360" ht="22.15" customHeight="1" x14ac:dyDescent="0.25"/>
    <row r="2361" ht="22.15" customHeight="1" x14ac:dyDescent="0.25"/>
    <row r="2362" ht="22.15" customHeight="1" x14ac:dyDescent="0.25"/>
    <row r="2363" ht="22.15" customHeight="1" x14ac:dyDescent="0.25"/>
    <row r="2364" ht="22.15" customHeight="1" x14ac:dyDescent="0.25"/>
    <row r="2365" ht="22.15" customHeight="1" x14ac:dyDescent="0.25"/>
    <row r="2366" ht="22.15" customHeight="1" x14ac:dyDescent="0.25"/>
    <row r="2367" ht="22.15" customHeight="1" x14ac:dyDescent="0.25"/>
    <row r="2368" ht="22.15" customHeight="1" x14ac:dyDescent="0.25"/>
    <row r="2369" ht="22.15" customHeight="1" x14ac:dyDescent="0.25"/>
    <row r="2370" ht="22.15" customHeight="1" x14ac:dyDescent="0.25"/>
    <row r="2371" ht="22.15" customHeight="1" x14ac:dyDescent="0.25"/>
    <row r="2372" ht="22.15" customHeight="1" x14ac:dyDescent="0.25"/>
    <row r="2373" ht="22.15" customHeight="1" x14ac:dyDescent="0.25"/>
    <row r="2374" ht="22.15" customHeight="1" x14ac:dyDescent="0.25"/>
    <row r="2375" ht="22.15" customHeight="1" x14ac:dyDescent="0.25"/>
    <row r="2376" ht="22.15" customHeight="1" x14ac:dyDescent="0.25"/>
    <row r="2377" ht="22.15" customHeight="1" x14ac:dyDescent="0.25"/>
    <row r="2378" ht="22.15" customHeight="1" x14ac:dyDescent="0.25"/>
    <row r="2379" ht="22.15" customHeight="1" x14ac:dyDescent="0.25"/>
    <row r="2380" ht="22.15" customHeight="1" x14ac:dyDescent="0.25"/>
    <row r="2381" ht="22.15" customHeight="1" x14ac:dyDescent="0.25"/>
    <row r="2382" ht="22.15" customHeight="1" x14ac:dyDescent="0.25"/>
    <row r="2383" ht="22.15" customHeight="1" x14ac:dyDescent="0.25"/>
    <row r="2384" ht="22.15" customHeight="1" x14ac:dyDescent="0.25"/>
    <row r="2385" ht="22.15" customHeight="1" x14ac:dyDescent="0.25"/>
    <row r="2386" ht="22.15" customHeight="1" x14ac:dyDescent="0.25"/>
    <row r="2387" ht="22.15" customHeight="1" x14ac:dyDescent="0.25"/>
    <row r="2388" ht="22.15" customHeight="1" x14ac:dyDescent="0.25"/>
    <row r="2389" ht="22.15" customHeight="1" x14ac:dyDescent="0.25"/>
    <row r="2390" ht="22.15" customHeight="1" x14ac:dyDescent="0.25"/>
    <row r="2391" ht="22.15" customHeight="1" x14ac:dyDescent="0.25"/>
    <row r="2392" ht="22.15" customHeight="1" x14ac:dyDescent="0.25"/>
    <row r="2393" ht="22.15" customHeight="1" x14ac:dyDescent="0.25"/>
    <row r="2394" ht="22.15" customHeight="1" x14ac:dyDescent="0.25"/>
    <row r="2395" ht="22.15" customHeight="1" x14ac:dyDescent="0.25"/>
    <row r="2396" ht="22.15" customHeight="1" x14ac:dyDescent="0.25"/>
    <row r="2397" ht="22.15" customHeight="1" x14ac:dyDescent="0.25"/>
    <row r="2398" ht="22.15" customHeight="1" x14ac:dyDescent="0.25"/>
    <row r="2399" ht="22.15" customHeight="1" x14ac:dyDescent="0.25"/>
    <row r="2400" ht="22.15" customHeight="1" x14ac:dyDescent="0.25"/>
    <row r="2401" ht="22.15" customHeight="1" x14ac:dyDescent="0.25"/>
    <row r="2402" ht="22.15" customHeight="1" x14ac:dyDescent="0.25"/>
    <row r="2403" ht="22.15" customHeight="1" x14ac:dyDescent="0.25"/>
    <row r="2404" ht="22.15" customHeight="1" x14ac:dyDescent="0.25"/>
    <row r="2405" ht="22.15" customHeight="1" x14ac:dyDescent="0.25"/>
    <row r="2406" ht="22.15" customHeight="1" x14ac:dyDescent="0.25"/>
    <row r="2407" ht="22.15" customHeight="1" x14ac:dyDescent="0.25"/>
    <row r="2408" ht="22.15" customHeight="1" x14ac:dyDescent="0.25"/>
    <row r="2409" ht="22.15" customHeight="1" x14ac:dyDescent="0.25"/>
    <row r="2410" ht="22.15" customHeight="1" x14ac:dyDescent="0.25"/>
    <row r="2411" ht="22.15" customHeight="1" x14ac:dyDescent="0.25"/>
    <row r="2412" ht="22.15" customHeight="1" x14ac:dyDescent="0.25"/>
    <row r="2413" ht="22.15" customHeight="1" x14ac:dyDescent="0.25"/>
    <row r="2414" ht="22.15" customHeight="1" x14ac:dyDescent="0.25"/>
    <row r="2415" ht="22.15" customHeight="1" x14ac:dyDescent="0.25"/>
    <row r="2416" ht="22.15" customHeight="1" x14ac:dyDescent="0.25"/>
    <row r="2417" ht="22.15" customHeight="1" x14ac:dyDescent="0.25"/>
    <row r="2418" ht="22.15" customHeight="1" x14ac:dyDescent="0.25"/>
    <row r="2419" ht="22.15" customHeight="1" x14ac:dyDescent="0.25"/>
    <row r="2420" ht="22.15" customHeight="1" x14ac:dyDescent="0.25"/>
    <row r="2421" ht="22.15" customHeight="1" x14ac:dyDescent="0.25"/>
    <row r="2422" ht="22.15" customHeight="1" x14ac:dyDescent="0.25"/>
    <row r="2423" ht="22.15" customHeight="1" x14ac:dyDescent="0.25"/>
    <row r="2424" ht="22.15" customHeight="1" x14ac:dyDescent="0.25"/>
    <row r="2425" ht="22.15" customHeight="1" x14ac:dyDescent="0.25"/>
    <row r="2426" ht="22.15" customHeight="1" x14ac:dyDescent="0.25"/>
    <row r="2427" ht="22.15" customHeight="1" x14ac:dyDescent="0.25"/>
    <row r="2428" ht="22.15" customHeight="1" x14ac:dyDescent="0.25"/>
    <row r="2429" ht="22.15" customHeight="1" x14ac:dyDescent="0.25"/>
    <row r="2430" ht="22.15" customHeight="1" x14ac:dyDescent="0.25"/>
    <row r="2431" ht="22.15" customHeight="1" x14ac:dyDescent="0.25"/>
    <row r="2432" ht="22.15" customHeight="1" x14ac:dyDescent="0.25"/>
    <row r="2433" ht="22.15" customHeight="1" x14ac:dyDescent="0.25"/>
    <row r="2434" ht="22.15" customHeight="1" x14ac:dyDescent="0.25"/>
    <row r="2435" ht="22.15" customHeight="1" x14ac:dyDescent="0.25"/>
    <row r="2436" ht="22.15" customHeight="1" x14ac:dyDescent="0.25"/>
    <row r="2437" ht="22.15" customHeight="1" x14ac:dyDescent="0.25"/>
    <row r="2438" ht="22.15" customHeight="1" x14ac:dyDescent="0.25"/>
    <row r="2439" ht="22.15" customHeight="1" x14ac:dyDescent="0.25"/>
    <row r="2440" ht="22.15" customHeight="1" x14ac:dyDescent="0.25"/>
    <row r="2441" ht="22.15" customHeight="1" x14ac:dyDescent="0.25"/>
    <row r="2442" ht="22.15" customHeight="1" x14ac:dyDescent="0.25"/>
    <row r="2443" ht="22.15" customHeight="1" x14ac:dyDescent="0.25"/>
    <row r="2444" ht="22.15" customHeight="1" x14ac:dyDescent="0.25"/>
    <row r="2445" ht="22.15" customHeight="1" x14ac:dyDescent="0.25"/>
    <row r="2446" ht="22.15" customHeight="1" x14ac:dyDescent="0.25"/>
    <row r="2447" ht="22.15" customHeight="1" x14ac:dyDescent="0.25"/>
    <row r="2448" ht="22.15" customHeight="1" x14ac:dyDescent="0.25"/>
    <row r="2449" ht="22.15" customHeight="1" x14ac:dyDescent="0.25"/>
    <row r="2450" ht="22.15" customHeight="1" x14ac:dyDescent="0.25"/>
    <row r="2451" ht="22.15" customHeight="1" x14ac:dyDescent="0.25"/>
    <row r="2452" ht="22.15" customHeight="1" x14ac:dyDescent="0.25"/>
    <row r="2453" ht="22.15" customHeight="1" x14ac:dyDescent="0.25"/>
    <row r="2454" ht="22.15" customHeight="1" x14ac:dyDescent="0.25"/>
    <row r="2455" ht="22.15" customHeight="1" x14ac:dyDescent="0.25"/>
    <row r="2456" ht="22.15" customHeight="1" x14ac:dyDescent="0.25"/>
    <row r="2457" ht="22.15" customHeight="1" x14ac:dyDescent="0.25"/>
    <row r="2458" ht="22.15" customHeight="1" x14ac:dyDescent="0.25"/>
    <row r="2459" ht="22.15" customHeight="1" x14ac:dyDescent="0.25"/>
    <row r="2460" ht="22.15" customHeight="1" x14ac:dyDescent="0.25"/>
    <row r="2461" ht="22.15" customHeight="1" x14ac:dyDescent="0.25"/>
    <row r="2462" ht="22.15" customHeight="1" x14ac:dyDescent="0.25"/>
    <row r="2463" ht="22.15" customHeight="1" x14ac:dyDescent="0.25"/>
    <row r="2464" ht="22.15" customHeight="1" x14ac:dyDescent="0.25"/>
    <row r="2465" ht="22.15" customHeight="1" x14ac:dyDescent="0.25"/>
    <row r="2466" ht="22.15" customHeight="1" x14ac:dyDescent="0.25"/>
    <row r="2467" ht="22.15" customHeight="1" x14ac:dyDescent="0.25"/>
    <row r="2468" ht="22.15" customHeight="1" x14ac:dyDescent="0.25"/>
    <row r="2469" ht="22.15" customHeight="1" x14ac:dyDescent="0.25"/>
    <row r="2470" ht="22.15" customHeight="1" x14ac:dyDescent="0.25"/>
    <row r="2471" ht="22.15" customHeight="1" x14ac:dyDescent="0.25"/>
    <row r="2472" ht="22.15" customHeight="1" x14ac:dyDescent="0.25"/>
    <row r="2473" ht="22.15" customHeight="1" x14ac:dyDescent="0.25"/>
    <row r="2474" ht="22.15" customHeight="1" x14ac:dyDescent="0.25"/>
    <row r="2475" ht="22.15" customHeight="1" x14ac:dyDescent="0.25"/>
    <row r="2476" ht="22.15" customHeight="1" x14ac:dyDescent="0.25"/>
    <row r="2477" ht="22.15" customHeight="1" x14ac:dyDescent="0.25"/>
    <row r="2478" ht="22.15" customHeight="1" x14ac:dyDescent="0.25"/>
    <row r="2479" ht="22.15" customHeight="1" x14ac:dyDescent="0.25"/>
    <row r="2480" ht="22.15" customHeight="1" x14ac:dyDescent="0.25"/>
    <row r="2481" ht="22.15" customHeight="1" x14ac:dyDescent="0.25"/>
    <row r="2482" ht="22.15" customHeight="1" x14ac:dyDescent="0.25"/>
    <row r="2483" ht="22.15" customHeight="1" x14ac:dyDescent="0.25"/>
    <row r="2484" ht="22.15" customHeight="1" x14ac:dyDescent="0.25"/>
    <row r="2485" ht="22.15" customHeight="1" x14ac:dyDescent="0.25"/>
    <row r="2486" ht="22.15" customHeight="1" x14ac:dyDescent="0.25"/>
    <row r="2487" ht="22.15" customHeight="1" x14ac:dyDescent="0.25"/>
    <row r="2488" ht="22.15" customHeight="1" x14ac:dyDescent="0.25"/>
    <row r="2489" ht="22.15" customHeight="1" x14ac:dyDescent="0.25"/>
    <row r="2490" ht="22.15" customHeight="1" x14ac:dyDescent="0.25"/>
    <row r="2491" ht="22.15" customHeight="1" x14ac:dyDescent="0.25"/>
    <row r="2492" ht="22.15" customHeight="1" x14ac:dyDescent="0.25"/>
    <row r="2493" ht="22.15" customHeight="1" x14ac:dyDescent="0.25"/>
    <row r="2494" ht="22.15" customHeight="1" x14ac:dyDescent="0.25"/>
    <row r="2495" ht="22.15" customHeight="1" x14ac:dyDescent="0.25"/>
    <row r="2496" ht="22.15" customHeight="1" x14ac:dyDescent="0.25"/>
    <row r="2497" ht="22.15" customHeight="1" x14ac:dyDescent="0.25"/>
    <row r="2498" ht="22.15" customHeight="1" x14ac:dyDescent="0.25"/>
    <row r="2499" ht="22.15" customHeight="1" x14ac:dyDescent="0.25"/>
    <row r="2500" ht="22.15" customHeight="1" x14ac:dyDescent="0.25"/>
    <row r="2501" ht="22.15" customHeight="1" x14ac:dyDescent="0.25"/>
    <row r="2502" ht="22.15" customHeight="1" x14ac:dyDescent="0.25"/>
    <row r="2503" ht="22.15" customHeight="1" x14ac:dyDescent="0.25"/>
    <row r="2504" ht="22.15" customHeight="1" x14ac:dyDescent="0.25"/>
    <row r="2505" ht="22.15" customHeight="1" x14ac:dyDescent="0.25"/>
    <row r="2506" ht="22.15" customHeight="1" x14ac:dyDescent="0.25"/>
    <row r="2507" ht="22.15" customHeight="1" x14ac:dyDescent="0.25"/>
    <row r="2508" ht="22.15" customHeight="1" x14ac:dyDescent="0.25"/>
    <row r="2509" ht="22.15" customHeight="1" x14ac:dyDescent="0.25"/>
    <row r="2510" ht="22.15" customHeight="1" x14ac:dyDescent="0.25"/>
    <row r="2511" ht="22.15" customHeight="1" x14ac:dyDescent="0.25"/>
    <row r="2512" ht="22.15" customHeight="1" x14ac:dyDescent="0.25"/>
    <row r="2513" ht="22.15" customHeight="1" x14ac:dyDescent="0.25"/>
    <row r="2514" ht="22.15" customHeight="1" x14ac:dyDescent="0.25"/>
    <row r="2515" ht="22.15" customHeight="1" x14ac:dyDescent="0.25"/>
    <row r="2516" ht="22.15" customHeight="1" x14ac:dyDescent="0.25"/>
    <row r="2517" ht="22.15" customHeight="1" x14ac:dyDescent="0.25"/>
    <row r="2518" ht="22.15" customHeight="1" x14ac:dyDescent="0.25"/>
    <row r="2519" ht="22.15" customHeight="1" x14ac:dyDescent="0.25"/>
    <row r="2520" ht="22.15" customHeight="1" x14ac:dyDescent="0.25"/>
    <row r="2521" ht="22.15" customHeight="1" x14ac:dyDescent="0.25"/>
    <row r="2522" ht="22.15" customHeight="1" x14ac:dyDescent="0.25"/>
    <row r="2523" ht="22.15" customHeight="1" x14ac:dyDescent="0.25"/>
    <row r="2524" ht="22.15" customHeight="1" x14ac:dyDescent="0.25"/>
    <row r="2525" ht="22.15" customHeight="1" x14ac:dyDescent="0.25"/>
    <row r="2526" ht="22.15" customHeight="1" x14ac:dyDescent="0.25"/>
    <row r="2527" ht="22.15" customHeight="1" x14ac:dyDescent="0.25"/>
    <row r="2528" ht="22.15" customHeight="1" x14ac:dyDescent="0.25"/>
    <row r="2529" ht="22.15" customHeight="1" x14ac:dyDescent="0.25"/>
    <row r="2530" ht="22.15" customHeight="1" x14ac:dyDescent="0.25"/>
    <row r="2531" ht="22.15" customHeight="1" x14ac:dyDescent="0.25"/>
    <row r="2532" ht="22.15" customHeight="1" x14ac:dyDescent="0.25"/>
    <row r="2533" ht="22.15" customHeight="1" x14ac:dyDescent="0.25"/>
    <row r="2534" ht="22.15" customHeight="1" x14ac:dyDescent="0.25"/>
    <row r="2535" ht="22.15" customHeight="1" x14ac:dyDescent="0.25"/>
    <row r="2536" ht="22.15" customHeight="1" x14ac:dyDescent="0.25"/>
    <row r="2537" ht="22.15" customHeight="1" x14ac:dyDescent="0.25"/>
    <row r="2538" ht="22.15" customHeight="1" x14ac:dyDescent="0.25"/>
    <row r="2539" ht="22.15" customHeight="1" x14ac:dyDescent="0.25"/>
    <row r="2540" ht="22.15" customHeight="1" x14ac:dyDescent="0.25"/>
    <row r="2541" ht="22.15" customHeight="1" x14ac:dyDescent="0.25"/>
    <row r="2542" ht="22.15" customHeight="1" x14ac:dyDescent="0.25"/>
    <row r="2543" ht="22.15" customHeight="1" x14ac:dyDescent="0.25"/>
    <row r="2544" ht="22.15" customHeight="1" x14ac:dyDescent="0.25"/>
    <row r="2545" ht="22.15" customHeight="1" x14ac:dyDescent="0.25"/>
    <row r="2546" ht="22.15" customHeight="1" x14ac:dyDescent="0.25"/>
    <row r="2547" ht="22.15" customHeight="1" x14ac:dyDescent="0.25"/>
    <row r="2548" ht="22.15" customHeight="1" x14ac:dyDescent="0.25"/>
    <row r="2549" ht="22.15" customHeight="1" x14ac:dyDescent="0.25"/>
    <row r="2550" ht="22.15" customHeight="1" x14ac:dyDescent="0.25"/>
    <row r="2551" ht="22.15" customHeight="1" x14ac:dyDescent="0.25"/>
    <row r="2552" ht="22.15" customHeight="1" x14ac:dyDescent="0.25"/>
    <row r="2553" ht="22.15" customHeight="1" x14ac:dyDescent="0.25"/>
    <row r="2554" ht="22.15" customHeight="1" x14ac:dyDescent="0.25"/>
    <row r="2555" ht="22.15" customHeight="1" x14ac:dyDescent="0.25"/>
    <row r="2556" ht="22.15" customHeight="1" x14ac:dyDescent="0.25"/>
    <row r="2557" ht="22.15" customHeight="1" x14ac:dyDescent="0.25"/>
    <row r="2558" ht="22.15" customHeight="1" x14ac:dyDescent="0.25"/>
    <row r="2559" ht="22.15" customHeight="1" x14ac:dyDescent="0.25"/>
    <row r="2560" ht="22.15" customHeight="1" x14ac:dyDescent="0.25"/>
    <row r="2561" ht="22.15" customHeight="1" x14ac:dyDescent="0.25"/>
    <row r="2562" ht="22.15" customHeight="1" x14ac:dyDescent="0.25"/>
    <row r="2563" ht="22.15" customHeight="1" x14ac:dyDescent="0.25"/>
    <row r="2564" ht="22.15" customHeight="1" x14ac:dyDescent="0.25"/>
    <row r="2565" ht="22.15" customHeight="1" x14ac:dyDescent="0.25"/>
    <row r="2566" ht="22.15" customHeight="1" x14ac:dyDescent="0.25"/>
    <row r="2567" ht="22.15" customHeight="1" x14ac:dyDescent="0.25"/>
    <row r="2568" ht="22.15" customHeight="1" x14ac:dyDescent="0.25"/>
    <row r="2569" ht="22.15" customHeight="1" x14ac:dyDescent="0.25"/>
    <row r="2570" ht="22.15" customHeight="1" x14ac:dyDescent="0.25"/>
    <row r="2571" ht="22.15" customHeight="1" x14ac:dyDescent="0.25"/>
    <row r="2572" ht="22.15" customHeight="1" x14ac:dyDescent="0.25"/>
    <row r="2573" ht="22.15" customHeight="1" x14ac:dyDescent="0.25"/>
    <row r="2574" ht="22.15" customHeight="1" x14ac:dyDescent="0.25"/>
    <row r="2575" ht="22.15" customHeight="1" x14ac:dyDescent="0.25"/>
    <row r="2576" ht="22.15" customHeight="1" x14ac:dyDescent="0.25"/>
    <row r="2577" ht="22.15" customHeight="1" x14ac:dyDescent="0.25"/>
    <row r="2578" ht="22.15" customHeight="1" x14ac:dyDescent="0.25"/>
    <row r="2579" ht="22.15" customHeight="1" x14ac:dyDescent="0.25"/>
    <row r="2580" ht="22.15" customHeight="1" x14ac:dyDescent="0.25"/>
    <row r="2581" ht="22.15" customHeight="1" x14ac:dyDescent="0.25"/>
    <row r="2582" ht="22.15" customHeight="1" x14ac:dyDescent="0.25"/>
    <row r="2583" ht="22.15" customHeight="1" x14ac:dyDescent="0.25"/>
    <row r="2584" ht="22.15" customHeight="1" x14ac:dyDescent="0.25"/>
    <row r="2585" ht="22.15" customHeight="1" x14ac:dyDescent="0.25"/>
    <row r="2586" ht="22.15" customHeight="1" x14ac:dyDescent="0.25"/>
    <row r="2587" ht="22.15" customHeight="1" x14ac:dyDescent="0.25"/>
    <row r="2588" ht="22.15" customHeight="1" x14ac:dyDescent="0.25"/>
    <row r="2589" ht="22.15" customHeight="1" x14ac:dyDescent="0.25"/>
    <row r="2590" ht="22.15" customHeight="1" x14ac:dyDescent="0.25"/>
    <row r="2591" ht="22.15" customHeight="1" x14ac:dyDescent="0.25"/>
    <row r="2592" ht="22.15" customHeight="1" x14ac:dyDescent="0.25"/>
    <row r="2593" ht="22.15" customHeight="1" x14ac:dyDescent="0.25"/>
    <row r="2594" ht="22.15" customHeight="1" x14ac:dyDescent="0.25"/>
    <row r="2595" ht="22.15" customHeight="1" x14ac:dyDescent="0.25"/>
    <row r="2596" ht="22.15" customHeight="1" x14ac:dyDescent="0.25"/>
    <row r="2597" ht="22.15" customHeight="1" x14ac:dyDescent="0.25"/>
    <row r="2598" ht="22.15" customHeight="1" x14ac:dyDescent="0.25"/>
    <row r="2599" ht="22.15" customHeight="1" x14ac:dyDescent="0.25"/>
    <row r="2600" ht="22.15" customHeight="1" x14ac:dyDescent="0.25"/>
    <row r="2601" ht="22.15" customHeight="1" x14ac:dyDescent="0.25"/>
    <row r="2602" ht="22.15" customHeight="1" x14ac:dyDescent="0.25"/>
    <row r="2603" ht="22.15" customHeight="1" x14ac:dyDescent="0.25"/>
    <row r="2604" ht="22.15" customHeight="1" x14ac:dyDescent="0.25"/>
    <row r="2605" ht="22.15" customHeight="1" x14ac:dyDescent="0.25"/>
    <row r="2606" ht="22.15" customHeight="1" x14ac:dyDescent="0.25"/>
    <row r="2607" ht="22.15" customHeight="1" x14ac:dyDescent="0.25"/>
    <row r="2608" ht="22.15" customHeight="1" x14ac:dyDescent="0.25"/>
    <row r="2609" ht="22.15" customHeight="1" x14ac:dyDescent="0.25"/>
    <row r="2610" ht="22.15" customHeight="1" x14ac:dyDescent="0.25"/>
    <row r="2611" ht="22.15" customHeight="1" x14ac:dyDescent="0.25"/>
    <row r="2612" ht="22.15" customHeight="1" x14ac:dyDescent="0.25"/>
    <row r="2613" ht="22.15" customHeight="1" x14ac:dyDescent="0.25"/>
    <row r="2614" ht="22.15" customHeight="1" x14ac:dyDescent="0.25"/>
    <row r="2615" ht="22.15" customHeight="1" x14ac:dyDescent="0.25"/>
    <row r="2616" ht="22.15" customHeight="1" x14ac:dyDescent="0.25"/>
    <row r="2617" ht="22.15" customHeight="1" x14ac:dyDescent="0.25"/>
    <row r="2618" ht="22.15" customHeight="1" x14ac:dyDescent="0.25"/>
    <row r="2619" ht="22.15" customHeight="1" x14ac:dyDescent="0.25"/>
    <row r="2620" ht="22.15" customHeight="1" x14ac:dyDescent="0.25"/>
    <row r="2621" ht="22.15" customHeight="1" x14ac:dyDescent="0.25"/>
    <row r="2622" ht="22.15" customHeight="1" x14ac:dyDescent="0.25"/>
    <row r="2623" ht="22.15" customHeight="1" x14ac:dyDescent="0.25"/>
    <row r="2624" ht="22.15" customHeight="1" x14ac:dyDescent="0.25"/>
    <row r="2625" ht="22.15" customHeight="1" x14ac:dyDescent="0.25"/>
    <row r="2626" ht="22.15" customHeight="1" x14ac:dyDescent="0.25"/>
    <row r="2627" ht="22.15" customHeight="1" x14ac:dyDescent="0.25"/>
    <row r="2628" ht="22.15" customHeight="1" x14ac:dyDescent="0.25"/>
    <row r="2629" ht="22.15" customHeight="1" x14ac:dyDescent="0.25"/>
    <row r="2630" ht="22.15" customHeight="1" x14ac:dyDescent="0.25"/>
    <row r="2631" ht="22.15" customHeight="1" x14ac:dyDescent="0.25"/>
    <row r="2632" ht="22.15" customHeight="1" x14ac:dyDescent="0.25"/>
    <row r="2633" ht="22.15" customHeight="1" x14ac:dyDescent="0.25"/>
    <row r="2634" ht="22.15" customHeight="1" x14ac:dyDescent="0.25"/>
    <row r="2635" ht="22.15" customHeight="1" x14ac:dyDescent="0.25"/>
    <row r="2636" ht="22.15" customHeight="1" x14ac:dyDescent="0.25"/>
    <row r="2637" ht="22.15" customHeight="1" x14ac:dyDescent="0.25"/>
    <row r="2638" ht="22.15" customHeight="1" x14ac:dyDescent="0.25"/>
    <row r="2639" ht="22.15" customHeight="1" x14ac:dyDescent="0.25"/>
    <row r="2640" ht="22.15" customHeight="1" x14ac:dyDescent="0.25"/>
    <row r="2641" ht="22.15" customHeight="1" x14ac:dyDescent="0.25"/>
    <row r="2642" ht="22.15" customHeight="1" x14ac:dyDescent="0.25"/>
    <row r="2643" ht="22.15" customHeight="1" x14ac:dyDescent="0.25"/>
    <row r="2644" ht="22.15" customHeight="1" x14ac:dyDescent="0.25"/>
    <row r="2645" ht="22.15" customHeight="1" x14ac:dyDescent="0.25"/>
    <row r="2646" ht="22.15" customHeight="1" x14ac:dyDescent="0.25"/>
    <row r="2647" ht="22.15" customHeight="1" x14ac:dyDescent="0.25"/>
    <row r="2648" ht="22.15" customHeight="1" x14ac:dyDescent="0.25"/>
    <row r="2649" ht="22.15" customHeight="1" x14ac:dyDescent="0.25"/>
    <row r="2650" ht="22.15" customHeight="1" x14ac:dyDescent="0.25"/>
    <row r="2651" ht="22.15" customHeight="1" x14ac:dyDescent="0.25"/>
    <row r="2652" ht="22.15" customHeight="1" x14ac:dyDescent="0.25"/>
    <row r="2653" ht="22.15" customHeight="1" x14ac:dyDescent="0.25"/>
    <row r="2654" ht="22.15" customHeight="1" x14ac:dyDescent="0.25"/>
    <row r="2655" ht="22.15" customHeight="1" x14ac:dyDescent="0.25"/>
    <row r="2656" ht="22.15" customHeight="1" x14ac:dyDescent="0.25"/>
    <row r="2657" ht="22.15" customHeight="1" x14ac:dyDescent="0.25"/>
    <row r="2658" ht="22.15" customHeight="1" x14ac:dyDescent="0.25"/>
    <row r="2659" ht="22.15" customHeight="1" x14ac:dyDescent="0.25"/>
    <row r="2660" ht="22.15" customHeight="1" x14ac:dyDescent="0.25"/>
    <row r="2661" ht="22.15" customHeight="1" x14ac:dyDescent="0.25"/>
    <row r="2662" ht="22.15" customHeight="1" x14ac:dyDescent="0.25"/>
    <row r="2663" ht="22.15" customHeight="1" x14ac:dyDescent="0.25"/>
    <row r="2664" ht="22.15" customHeight="1" x14ac:dyDescent="0.25"/>
    <row r="2665" ht="22.15" customHeight="1" x14ac:dyDescent="0.25"/>
    <row r="2666" ht="22.15" customHeight="1" x14ac:dyDescent="0.25"/>
    <row r="2667" ht="22.15" customHeight="1" x14ac:dyDescent="0.25"/>
    <row r="2668" ht="22.15" customHeight="1" x14ac:dyDescent="0.25"/>
    <row r="2669" ht="22.15" customHeight="1" x14ac:dyDescent="0.25"/>
    <row r="2670" ht="22.15" customHeight="1" x14ac:dyDescent="0.25"/>
    <row r="2671" ht="22.15" customHeight="1" x14ac:dyDescent="0.25"/>
    <row r="2672" ht="22.15" customHeight="1" x14ac:dyDescent="0.25"/>
    <row r="2673" ht="22.15" customHeight="1" x14ac:dyDescent="0.25"/>
    <row r="2674" ht="22.15" customHeight="1" x14ac:dyDescent="0.25"/>
    <row r="2675" ht="22.15" customHeight="1" x14ac:dyDescent="0.25"/>
    <row r="2676" ht="22.15" customHeight="1" x14ac:dyDescent="0.25"/>
    <row r="2677" ht="22.15" customHeight="1" x14ac:dyDescent="0.25"/>
    <row r="2678" ht="22.15" customHeight="1" x14ac:dyDescent="0.25"/>
    <row r="2679" ht="22.15" customHeight="1" x14ac:dyDescent="0.25"/>
    <row r="2680" ht="22.15" customHeight="1" x14ac:dyDescent="0.25"/>
    <row r="2681" ht="22.15" customHeight="1" x14ac:dyDescent="0.25"/>
    <row r="2682" ht="22.15" customHeight="1" x14ac:dyDescent="0.25"/>
    <row r="2683" ht="22.15" customHeight="1" x14ac:dyDescent="0.25"/>
    <row r="2684" ht="22.15" customHeight="1" x14ac:dyDescent="0.25"/>
    <row r="2685" ht="22.15" customHeight="1" x14ac:dyDescent="0.25"/>
    <row r="2686" ht="22.15" customHeight="1" x14ac:dyDescent="0.25"/>
    <row r="2687" ht="22.15" customHeight="1" x14ac:dyDescent="0.25"/>
    <row r="2688" ht="22.15" customHeight="1" x14ac:dyDescent="0.25"/>
    <row r="2689" ht="22.15" customHeight="1" x14ac:dyDescent="0.25"/>
    <row r="2690" ht="22.15" customHeight="1" x14ac:dyDescent="0.25"/>
    <row r="2691" ht="22.15" customHeight="1" x14ac:dyDescent="0.25"/>
    <row r="2692" ht="22.15" customHeight="1" x14ac:dyDescent="0.25"/>
    <row r="2693" ht="22.15" customHeight="1" x14ac:dyDescent="0.25"/>
    <row r="2694" ht="22.15" customHeight="1" x14ac:dyDescent="0.25"/>
    <row r="2695" ht="22.15" customHeight="1" x14ac:dyDescent="0.25"/>
    <row r="2696" ht="22.15" customHeight="1" x14ac:dyDescent="0.25"/>
    <row r="2697" ht="22.15" customHeight="1" x14ac:dyDescent="0.25"/>
    <row r="2698" ht="22.15" customHeight="1" x14ac:dyDescent="0.25"/>
    <row r="2699" ht="22.15" customHeight="1" x14ac:dyDescent="0.25"/>
    <row r="2700" ht="22.15" customHeight="1" x14ac:dyDescent="0.25"/>
    <row r="2701" ht="22.15" customHeight="1" x14ac:dyDescent="0.25"/>
    <row r="2702" ht="22.15" customHeight="1" x14ac:dyDescent="0.25"/>
    <row r="2703" ht="22.15" customHeight="1" x14ac:dyDescent="0.25"/>
    <row r="2704" ht="22.15" customHeight="1" x14ac:dyDescent="0.25"/>
    <row r="2705" ht="22.15" customHeight="1" x14ac:dyDescent="0.25"/>
    <row r="2706" ht="22.15" customHeight="1" x14ac:dyDescent="0.25"/>
    <row r="2707" ht="22.15" customHeight="1" x14ac:dyDescent="0.25"/>
    <row r="2708" ht="22.15" customHeight="1" x14ac:dyDescent="0.25"/>
    <row r="2709" ht="22.15" customHeight="1" x14ac:dyDescent="0.25"/>
    <row r="2710" ht="22.15" customHeight="1" x14ac:dyDescent="0.25"/>
    <row r="2711" ht="22.15" customHeight="1" x14ac:dyDescent="0.25"/>
    <row r="2712" ht="22.15" customHeight="1" x14ac:dyDescent="0.25"/>
    <row r="2713" ht="22.15" customHeight="1" x14ac:dyDescent="0.25"/>
    <row r="2714" ht="22.15" customHeight="1" x14ac:dyDescent="0.25"/>
    <row r="2715" ht="22.15" customHeight="1" x14ac:dyDescent="0.25"/>
    <row r="2716" ht="22.15" customHeight="1" x14ac:dyDescent="0.25"/>
    <row r="2717" ht="22.15" customHeight="1" x14ac:dyDescent="0.25"/>
    <row r="2718" ht="22.15" customHeight="1" x14ac:dyDescent="0.25"/>
    <row r="2719" ht="22.15" customHeight="1" x14ac:dyDescent="0.25"/>
    <row r="2720" ht="22.15" customHeight="1" x14ac:dyDescent="0.25"/>
    <row r="2721" ht="22.15" customHeight="1" x14ac:dyDescent="0.25"/>
    <row r="2722" ht="22.15" customHeight="1" x14ac:dyDescent="0.25"/>
    <row r="2723" ht="22.15" customHeight="1" x14ac:dyDescent="0.25"/>
    <row r="2724" ht="22.15" customHeight="1" x14ac:dyDescent="0.25"/>
    <row r="2725" ht="22.15" customHeight="1" x14ac:dyDescent="0.25"/>
    <row r="2726" ht="22.15" customHeight="1" x14ac:dyDescent="0.25"/>
    <row r="2727" ht="22.15" customHeight="1" x14ac:dyDescent="0.25"/>
    <row r="2728" ht="22.15" customHeight="1" x14ac:dyDescent="0.25"/>
    <row r="2729" ht="22.15" customHeight="1" x14ac:dyDescent="0.25"/>
    <row r="2730" ht="22.15" customHeight="1" x14ac:dyDescent="0.25"/>
    <row r="2731" ht="22.15" customHeight="1" x14ac:dyDescent="0.25"/>
    <row r="2732" ht="22.15" customHeight="1" x14ac:dyDescent="0.25"/>
    <row r="2733" ht="22.15" customHeight="1" x14ac:dyDescent="0.25"/>
    <row r="2734" ht="22.15" customHeight="1" x14ac:dyDescent="0.25"/>
    <row r="2735" ht="22.15" customHeight="1" x14ac:dyDescent="0.25"/>
    <row r="2736" ht="22.15" customHeight="1" x14ac:dyDescent="0.25"/>
    <row r="2737" ht="22.15" customHeight="1" x14ac:dyDescent="0.25"/>
    <row r="2738" ht="22.15" customHeight="1" x14ac:dyDescent="0.25"/>
    <row r="2739" ht="22.15" customHeight="1" x14ac:dyDescent="0.25"/>
    <row r="2740" ht="22.15" customHeight="1" x14ac:dyDescent="0.25"/>
    <row r="2741" ht="22.15" customHeight="1" x14ac:dyDescent="0.25"/>
    <row r="2742" ht="22.15" customHeight="1" x14ac:dyDescent="0.25"/>
    <row r="2743" ht="22.15" customHeight="1" x14ac:dyDescent="0.25"/>
    <row r="2744" ht="22.15" customHeight="1" x14ac:dyDescent="0.25"/>
    <row r="2745" ht="22.15" customHeight="1" x14ac:dyDescent="0.25"/>
    <row r="2746" ht="22.15" customHeight="1" x14ac:dyDescent="0.25"/>
    <row r="2747" ht="22.15" customHeight="1" x14ac:dyDescent="0.25"/>
    <row r="2748" ht="22.15" customHeight="1" x14ac:dyDescent="0.25"/>
    <row r="2749" ht="22.15" customHeight="1" x14ac:dyDescent="0.25"/>
    <row r="2750" ht="22.15" customHeight="1" x14ac:dyDescent="0.25"/>
    <row r="2751" ht="22.15" customHeight="1" x14ac:dyDescent="0.25"/>
    <row r="2752" ht="22.15" customHeight="1" x14ac:dyDescent="0.25"/>
    <row r="2753" ht="22.15" customHeight="1" x14ac:dyDescent="0.25"/>
    <row r="2754" ht="22.15" customHeight="1" x14ac:dyDescent="0.25"/>
    <row r="2755" ht="22.15" customHeight="1" x14ac:dyDescent="0.25"/>
    <row r="2756" ht="22.15" customHeight="1" x14ac:dyDescent="0.25"/>
    <row r="2757" ht="22.15" customHeight="1" x14ac:dyDescent="0.25"/>
    <row r="2758" ht="22.15" customHeight="1" x14ac:dyDescent="0.25"/>
    <row r="2759" ht="22.15" customHeight="1" x14ac:dyDescent="0.25"/>
    <row r="2760" ht="22.15" customHeight="1" x14ac:dyDescent="0.25"/>
    <row r="2761" ht="22.15" customHeight="1" x14ac:dyDescent="0.25"/>
    <row r="2762" ht="22.15" customHeight="1" x14ac:dyDescent="0.25"/>
    <row r="2763" ht="22.15" customHeight="1" x14ac:dyDescent="0.25"/>
    <row r="2764" ht="22.15" customHeight="1" x14ac:dyDescent="0.25"/>
    <row r="2765" ht="22.15" customHeight="1" x14ac:dyDescent="0.25"/>
    <row r="2766" ht="22.15" customHeight="1" x14ac:dyDescent="0.25"/>
    <row r="2767" ht="22.15" customHeight="1" x14ac:dyDescent="0.25"/>
    <row r="2768" ht="22.15" customHeight="1" x14ac:dyDescent="0.25"/>
    <row r="2769" ht="22.15" customHeight="1" x14ac:dyDescent="0.25"/>
    <row r="2770" ht="22.15" customHeight="1" x14ac:dyDescent="0.25"/>
    <row r="2771" ht="22.15" customHeight="1" x14ac:dyDescent="0.25"/>
    <row r="2772" ht="22.15" customHeight="1" x14ac:dyDescent="0.25"/>
    <row r="2773" ht="22.15" customHeight="1" x14ac:dyDescent="0.25"/>
    <row r="2774" ht="22.15" customHeight="1" x14ac:dyDescent="0.25"/>
    <row r="2775" ht="22.15" customHeight="1" x14ac:dyDescent="0.25"/>
    <row r="2776" ht="22.15" customHeight="1" x14ac:dyDescent="0.25"/>
    <row r="2777" ht="22.15" customHeight="1" x14ac:dyDescent="0.25"/>
    <row r="2778" ht="22.15" customHeight="1" x14ac:dyDescent="0.25"/>
    <row r="2779" ht="22.15" customHeight="1" x14ac:dyDescent="0.25"/>
    <row r="2780" ht="22.15" customHeight="1" x14ac:dyDescent="0.25"/>
    <row r="2781" ht="22.15" customHeight="1" x14ac:dyDescent="0.25"/>
    <row r="2782" ht="22.15" customHeight="1" x14ac:dyDescent="0.25"/>
    <row r="2783" ht="22.15" customHeight="1" x14ac:dyDescent="0.25"/>
    <row r="2784" ht="22.15" customHeight="1" x14ac:dyDescent="0.25"/>
    <row r="2785" ht="22.15" customHeight="1" x14ac:dyDescent="0.25"/>
    <row r="2786" ht="22.15" customHeight="1" x14ac:dyDescent="0.25"/>
    <row r="2787" ht="22.15" customHeight="1" x14ac:dyDescent="0.25"/>
    <row r="2788" ht="22.15" customHeight="1" x14ac:dyDescent="0.25"/>
    <row r="2789" ht="22.15" customHeight="1" x14ac:dyDescent="0.25"/>
    <row r="2790" ht="22.15" customHeight="1" x14ac:dyDescent="0.25"/>
    <row r="2791" ht="22.15" customHeight="1" x14ac:dyDescent="0.25"/>
    <row r="2792" ht="22.15" customHeight="1" x14ac:dyDescent="0.25"/>
    <row r="2793" ht="22.15" customHeight="1" x14ac:dyDescent="0.25"/>
    <row r="2794" ht="22.15" customHeight="1" x14ac:dyDescent="0.25"/>
    <row r="2795" ht="22.15" customHeight="1" x14ac:dyDescent="0.25"/>
    <row r="2796" ht="22.15" customHeight="1" x14ac:dyDescent="0.25"/>
    <row r="2797" ht="22.15" customHeight="1" x14ac:dyDescent="0.25"/>
    <row r="2798" ht="22.15" customHeight="1" x14ac:dyDescent="0.25"/>
    <row r="2799" ht="22.15" customHeight="1" x14ac:dyDescent="0.25"/>
    <row r="2800" ht="22.15" customHeight="1" x14ac:dyDescent="0.25"/>
    <row r="2801" ht="22.15" customHeight="1" x14ac:dyDescent="0.25"/>
    <row r="2802" ht="22.15" customHeight="1" x14ac:dyDescent="0.25"/>
    <row r="2803" ht="22.15" customHeight="1" x14ac:dyDescent="0.25"/>
    <row r="2804" ht="22.15" customHeight="1" x14ac:dyDescent="0.25"/>
    <row r="2805" ht="22.15" customHeight="1" x14ac:dyDescent="0.25"/>
    <row r="2806" ht="22.15" customHeight="1" x14ac:dyDescent="0.25"/>
    <row r="2807" ht="22.15" customHeight="1" x14ac:dyDescent="0.25"/>
    <row r="2808" ht="22.15" customHeight="1" x14ac:dyDescent="0.25"/>
    <row r="2809" ht="22.15" customHeight="1" x14ac:dyDescent="0.25"/>
    <row r="2810" ht="22.15" customHeight="1" x14ac:dyDescent="0.25"/>
    <row r="2811" ht="22.15" customHeight="1" x14ac:dyDescent="0.25"/>
    <row r="2812" ht="22.15" customHeight="1" x14ac:dyDescent="0.25"/>
    <row r="2813" ht="22.15" customHeight="1" x14ac:dyDescent="0.25"/>
    <row r="2814" ht="22.15" customHeight="1" x14ac:dyDescent="0.25"/>
    <row r="2815" ht="22.15" customHeight="1" x14ac:dyDescent="0.25"/>
    <row r="2816" ht="22.15" customHeight="1" x14ac:dyDescent="0.25"/>
    <row r="2817" ht="22.15" customHeight="1" x14ac:dyDescent="0.25"/>
    <row r="2818" ht="22.15" customHeight="1" x14ac:dyDescent="0.25"/>
    <row r="2819" ht="22.15" customHeight="1" x14ac:dyDescent="0.25"/>
    <row r="2820" ht="22.15" customHeight="1" x14ac:dyDescent="0.25"/>
    <row r="2821" ht="22.15" customHeight="1" x14ac:dyDescent="0.25"/>
    <row r="2822" ht="22.15" customHeight="1" x14ac:dyDescent="0.25"/>
    <row r="2823" ht="22.15" customHeight="1" x14ac:dyDescent="0.25"/>
    <row r="2824" ht="22.15" customHeight="1" x14ac:dyDescent="0.25"/>
    <row r="2825" ht="22.15" customHeight="1" x14ac:dyDescent="0.25"/>
    <row r="2826" ht="22.15" customHeight="1" x14ac:dyDescent="0.25"/>
    <row r="2827" ht="22.15" customHeight="1" x14ac:dyDescent="0.25"/>
    <row r="2828" ht="22.15" customHeight="1" x14ac:dyDescent="0.25"/>
    <row r="2829" ht="22.15" customHeight="1" x14ac:dyDescent="0.25"/>
    <row r="2830" ht="22.15" customHeight="1" x14ac:dyDescent="0.25"/>
    <row r="2831" ht="22.15" customHeight="1" x14ac:dyDescent="0.25"/>
    <row r="2832" ht="22.15" customHeight="1" x14ac:dyDescent="0.25"/>
    <row r="2833" ht="22.15" customHeight="1" x14ac:dyDescent="0.25"/>
    <row r="2834" ht="22.15" customHeight="1" x14ac:dyDescent="0.25"/>
    <row r="2835" ht="22.15" customHeight="1" x14ac:dyDescent="0.25"/>
    <row r="2836" ht="22.15" customHeight="1" x14ac:dyDescent="0.25"/>
    <row r="2837" ht="22.15" customHeight="1" x14ac:dyDescent="0.25"/>
    <row r="2838" ht="22.15" customHeight="1" x14ac:dyDescent="0.25"/>
    <row r="2839" ht="22.15" customHeight="1" x14ac:dyDescent="0.25"/>
    <row r="2840" ht="22.15" customHeight="1" x14ac:dyDescent="0.25"/>
    <row r="2841" ht="22.15" customHeight="1" x14ac:dyDescent="0.25"/>
    <row r="2842" ht="22.15" customHeight="1" x14ac:dyDescent="0.25"/>
    <row r="2843" ht="22.15" customHeight="1" x14ac:dyDescent="0.25"/>
    <row r="2844" ht="22.15" customHeight="1" x14ac:dyDescent="0.25"/>
    <row r="2845" ht="22.15" customHeight="1" x14ac:dyDescent="0.25"/>
    <row r="2846" ht="22.15" customHeight="1" x14ac:dyDescent="0.25"/>
    <row r="2847" ht="22.15" customHeight="1" x14ac:dyDescent="0.25"/>
    <row r="2848" ht="22.15" customHeight="1" x14ac:dyDescent="0.25"/>
    <row r="2849" ht="22.15" customHeight="1" x14ac:dyDescent="0.25"/>
    <row r="2850" ht="22.15" customHeight="1" x14ac:dyDescent="0.25"/>
    <row r="2851" ht="22.15" customHeight="1" x14ac:dyDescent="0.25"/>
    <row r="2852" ht="22.15" customHeight="1" x14ac:dyDescent="0.25"/>
    <row r="2853" ht="22.15" customHeight="1" x14ac:dyDescent="0.25"/>
    <row r="2854" ht="22.15" customHeight="1" x14ac:dyDescent="0.25"/>
    <row r="2855" ht="22.15" customHeight="1" x14ac:dyDescent="0.25"/>
    <row r="2856" ht="22.15" customHeight="1" x14ac:dyDescent="0.25"/>
    <row r="2857" ht="22.15" customHeight="1" x14ac:dyDescent="0.25"/>
    <row r="2858" ht="22.15" customHeight="1" x14ac:dyDescent="0.25"/>
    <row r="2859" ht="22.15" customHeight="1" x14ac:dyDescent="0.25"/>
    <row r="2860" ht="22.15" customHeight="1" x14ac:dyDescent="0.25"/>
    <row r="2861" ht="22.15" customHeight="1" x14ac:dyDescent="0.25"/>
    <row r="2862" ht="22.15" customHeight="1" x14ac:dyDescent="0.25"/>
    <row r="2863" ht="22.15" customHeight="1" x14ac:dyDescent="0.25"/>
    <row r="2864" ht="22.15" customHeight="1" x14ac:dyDescent="0.25"/>
    <row r="2865" ht="22.15" customHeight="1" x14ac:dyDescent="0.25"/>
    <row r="2866" ht="22.15" customHeight="1" x14ac:dyDescent="0.25"/>
    <row r="2867" ht="22.15" customHeight="1" x14ac:dyDescent="0.25"/>
    <row r="2868" ht="22.15" customHeight="1" x14ac:dyDescent="0.25"/>
    <row r="2869" ht="22.15" customHeight="1" x14ac:dyDescent="0.25"/>
    <row r="2870" ht="22.15" customHeight="1" x14ac:dyDescent="0.25"/>
    <row r="2871" ht="22.15" customHeight="1" x14ac:dyDescent="0.25"/>
    <row r="2872" ht="22.15" customHeight="1" x14ac:dyDescent="0.25"/>
    <row r="2873" ht="22.15" customHeight="1" x14ac:dyDescent="0.25"/>
    <row r="2874" ht="22.15" customHeight="1" x14ac:dyDescent="0.25"/>
    <row r="2875" ht="22.15" customHeight="1" x14ac:dyDescent="0.25"/>
    <row r="2876" ht="22.15" customHeight="1" x14ac:dyDescent="0.25"/>
    <row r="2877" ht="22.15" customHeight="1" x14ac:dyDescent="0.25"/>
    <row r="2878" ht="22.15" customHeight="1" x14ac:dyDescent="0.25"/>
    <row r="2879" ht="22.15" customHeight="1" x14ac:dyDescent="0.25"/>
    <row r="2880" ht="22.15" customHeight="1" x14ac:dyDescent="0.25"/>
    <row r="2881" ht="22.15" customHeight="1" x14ac:dyDescent="0.25"/>
    <row r="2882" ht="22.15" customHeight="1" x14ac:dyDescent="0.25"/>
    <row r="2883" ht="22.15" customHeight="1" x14ac:dyDescent="0.25"/>
    <row r="2884" ht="22.15" customHeight="1" x14ac:dyDescent="0.25"/>
    <row r="2885" ht="22.15" customHeight="1" x14ac:dyDescent="0.25"/>
    <row r="2886" ht="22.15" customHeight="1" x14ac:dyDescent="0.25"/>
    <row r="2887" ht="22.15" customHeight="1" x14ac:dyDescent="0.25"/>
    <row r="2888" ht="22.15" customHeight="1" x14ac:dyDescent="0.25"/>
    <row r="2889" ht="22.15" customHeight="1" x14ac:dyDescent="0.25"/>
    <row r="2890" ht="22.15" customHeight="1" x14ac:dyDescent="0.25"/>
    <row r="2891" ht="22.15" customHeight="1" x14ac:dyDescent="0.25"/>
    <row r="2892" ht="22.15" customHeight="1" x14ac:dyDescent="0.25"/>
    <row r="2893" ht="22.15" customHeight="1" x14ac:dyDescent="0.25"/>
    <row r="2894" ht="22.15" customHeight="1" x14ac:dyDescent="0.25"/>
    <row r="2895" ht="22.15" customHeight="1" x14ac:dyDescent="0.25"/>
    <row r="2896" ht="22.15" customHeight="1" x14ac:dyDescent="0.25"/>
    <row r="2897" ht="22.15" customHeight="1" x14ac:dyDescent="0.25"/>
    <row r="2898" ht="22.15" customHeight="1" x14ac:dyDescent="0.25"/>
    <row r="2899" ht="22.15" customHeight="1" x14ac:dyDescent="0.25"/>
    <row r="2900" ht="22.15" customHeight="1" x14ac:dyDescent="0.25"/>
    <row r="2901" ht="22.15" customHeight="1" x14ac:dyDescent="0.25"/>
    <row r="2902" ht="22.15" customHeight="1" x14ac:dyDescent="0.25"/>
    <row r="2903" ht="22.15" customHeight="1" x14ac:dyDescent="0.25"/>
    <row r="2904" ht="22.15" customHeight="1" x14ac:dyDescent="0.25"/>
    <row r="2905" ht="22.15" customHeight="1" x14ac:dyDescent="0.25"/>
    <row r="2906" ht="22.15" customHeight="1" x14ac:dyDescent="0.25"/>
    <row r="2907" ht="22.15" customHeight="1" x14ac:dyDescent="0.25"/>
    <row r="2908" ht="22.15" customHeight="1" x14ac:dyDescent="0.25"/>
    <row r="2909" ht="22.15" customHeight="1" x14ac:dyDescent="0.25"/>
    <row r="2910" ht="22.15" customHeight="1" x14ac:dyDescent="0.25"/>
    <row r="2911" ht="22.15" customHeight="1" x14ac:dyDescent="0.25"/>
    <row r="2912" ht="22.15" customHeight="1" x14ac:dyDescent="0.25"/>
    <row r="2913" ht="22.15" customHeight="1" x14ac:dyDescent="0.25"/>
    <row r="2914" ht="22.15" customHeight="1" x14ac:dyDescent="0.25"/>
    <row r="2915" ht="22.15" customHeight="1" x14ac:dyDescent="0.25"/>
    <row r="2916" ht="22.15" customHeight="1" x14ac:dyDescent="0.25"/>
    <row r="2917" ht="22.15" customHeight="1" x14ac:dyDescent="0.25"/>
    <row r="2918" ht="22.15" customHeight="1" x14ac:dyDescent="0.25"/>
    <row r="2919" ht="22.15" customHeight="1" x14ac:dyDescent="0.25"/>
    <row r="2920" ht="22.15" customHeight="1" x14ac:dyDescent="0.25"/>
    <row r="2921" ht="22.15" customHeight="1" x14ac:dyDescent="0.25"/>
    <row r="2922" ht="22.15" customHeight="1" x14ac:dyDescent="0.25"/>
    <row r="2923" ht="22.15" customHeight="1" x14ac:dyDescent="0.25"/>
    <row r="2924" ht="22.15" customHeight="1" x14ac:dyDescent="0.25"/>
    <row r="2925" ht="22.15" customHeight="1" x14ac:dyDescent="0.25"/>
    <row r="2926" ht="22.15" customHeight="1" x14ac:dyDescent="0.25"/>
    <row r="2927" ht="22.15" customHeight="1" x14ac:dyDescent="0.25"/>
    <row r="2928" ht="22.15" customHeight="1" x14ac:dyDescent="0.25"/>
    <row r="2929" ht="22.15" customHeight="1" x14ac:dyDescent="0.25"/>
    <row r="2930" ht="22.15" customHeight="1" x14ac:dyDescent="0.25"/>
    <row r="2931" ht="22.15" customHeight="1" x14ac:dyDescent="0.25"/>
    <row r="2932" ht="22.15" customHeight="1" x14ac:dyDescent="0.25"/>
    <row r="2933" ht="22.15" customHeight="1" x14ac:dyDescent="0.25"/>
    <row r="2934" ht="22.15" customHeight="1" x14ac:dyDescent="0.25"/>
    <row r="2935" ht="22.15" customHeight="1" x14ac:dyDescent="0.25"/>
    <row r="2936" ht="22.15" customHeight="1" x14ac:dyDescent="0.25"/>
    <row r="2937" ht="22.15" customHeight="1" x14ac:dyDescent="0.25"/>
    <row r="2938" ht="22.15" customHeight="1" x14ac:dyDescent="0.25"/>
    <row r="2939" ht="22.15" customHeight="1" x14ac:dyDescent="0.25"/>
    <row r="2940" ht="22.15" customHeight="1" x14ac:dyDescent="0.25"/>
    <row r="2941" ht="22.15" customHeight="1" x14ac:dyDescent="0.25"/>
    <row r="2942" ht="22.15" customHeight="1" x14ac:dyDescent="0.25"/>
    <row r="2943" ht="22.15" customHeight="1" x14ac:dyDescent="0.25"/>
    <row r="2944" ht="22.15" customHeight="1" x14ac:dyDescent="0.25"/>
    <row r="2945" ht="22.15" customHeight="1" x14ac:dyDescent="0.25"/>
    <row r="2946" ht="22.15" customHeight="1" x14ac:dyDescent="0.25"/>
    <row r="2947" ht="22.15" customHeight="1" x14ac:dyDescent="0.25"/>
    <row r="2948" ht="22.15" customHeight="1" x14ac:dyDescent="0.25"/>
    <row r="2949" ht="22.15" customHeight="1" x14ac:dyDescent="0.25"/>
    <row r="2950" ht="22.15" customHeight="1" x14ac:dyDescent="0.25"/>
    <row r="2951" ht="22.15" customHeight="1" x14ac:dyDescent="0.25"/>
    <row r="2952" ht="22.15" customHeight="1" x14ac:dyDescent="0.25"/>
    <row r="2953" ht="22.15" customHeight="1" x14ac:dyDescent="0.25"/>
    <row r="2954" ht="22.15" customHeight="1" x14ac:dyDescent="0.25"/>
    <row r="2955" ht="22.15" customHeight="1" x14ac:dyDescent="0.25"/>
    <row r="2956" ht="22.15" customHeight="1" x14ac:dyDescent="0.25"/>
    <row r="2957" ht="22.15" customHeight="1" x14ac:dyDescent="0.25"/>
    <row r="2958" ht="22.15" customHeight="1" x14ac:dyDescent="0.25"/>
    <row r="2959" ht="22.15" customHeight="1" x14ac:dyDescent="0.25"/>
    <row r="2960" ht="22.15" customHeight="1" x14ac:dyDescent="0.25"/>
    <row r="2961" ht="22.15" customHeight="1" x14ac:dyDescent="0.25"/>
    <row r="2962" ht="22.15" customHeight="1" x14ac:dyDescent="0.25"/>
    <row r="2963" ht="22.15" customHeight="1" x14ac:dyDescent="0.25"/>
    <row r="2964" ht="22.15" customHeight="1" x14ac:dyDescent="0.25"/>
    <row r="2965" ht="22.15" customHeight="1" x14ac:dyDescent="0.25"/>
    <row r="2966" ht="22.15" customHeight="1" x14ac:dyDescent="0.25"/>
    <row r="2967" ht="22.15" customHeight="1" x14ac:dyDescent="0.25"/>
    <row r="2968" ht="22.15" customHeight="1" x14ac:dyDescent="0.25"/>
    <row r="2969" ht="22.15" customHeight="1" x14ac:dyDescent="0.25"/>
    <row r="2970" ht="22.15" customHeight="1" x14ac:dyDescent="0.25"/>
    <row r="2971" ht="22.15" customHeight="1" x14ac:dyDescent="0.25"/>
    <row r="2972" ht="22.15" customHeight="1" x14ac:dyDescent="0.25"/>
    <row r="2973" ht="22.15" customHeight="1" x14ac:dyDescent="0.25"/>
    <row r="2974" ht="22.15" customHeight="1" x14ac:dyDescent="0.25"/>
    <row r="2975" ht="22.15" customHeight="1" x14ac:dyDescent="0.25"/>
    <row r="2976" ht="22.15" customHeight="1" x14ac:dyDescent="0.25"/>
    <row r="2977" ht="22.15" customHeight="1" x14ac:dyDescent="0.25"/>
    <row r="2978" ht="22.15" customHeight="1" x14ac:dyDescent="0.25"/>
    <row r="2979" ht="22.15" customHeight="1" x14ac:dyDescent="0.25"/>
    <row r="2980" ht="22.15" customHeight="1" x14ac:dyDescent="0.25"/>
    <row r="2981" ht="22.15" customHeight="1" x14ac:dyDescent="0.25"/>
    <row r="2982" ht="22.15" customHeight="1" x14ac:dyDescent="0.25"/>
    <row r="2983" ht="22.15" customHeight="1" x14ac:dyDescent="0.25"/>
    <row r="2984" ht="22.15" customHeight="1" x14ac:dyDescent="0.25"/>
    <row r="2985" ht="22.15" customHeight="1" x14ac:dyDescent="0.25"/>
    <row r="2986" ht="22.15" customHeight="1" x14ac:dyDescent="0.25"/>
    <row r="2987" ht="22.15" customHeight="1" x14ac:dyDescent="0.25"/>
    <row r="2988" ht="22.15" customHeight="1" x14ac:dyDescent="0.25"/>
    <row r="2989" ht="22.15" customHeight="1" x14ac:dyDescent="0.25"/>
    <row r="2990" ht="22.15" customHeight="1" x14ac:dyDescent="0.25"/>
    <row r="2991" ht="22.15" customHeight="1" x14ac:dyDescent="0.25"/>
    <row r="2992" ht="22.15" customHeight="1" x14ac:dyDescent="0.25"/>
    <row r="2993" ht="22.15" customHeight="1" x14ac:dyDescent="0.25"/>
    <row r="2994" ht="22.15" customHeight="1" x14ac:dyDescent="0.25"/>
    <row r="2995" ht="22.15" customHeight="1" x14ac:dyDescent="0.25"/>
    <row r="2996" ht="22.15" customHeight="1" x14ac:dyDescent="0.25"/>
    <row r="2997" ht="22.15" customHeight="1" x14ac:dyDescent="0.25"/>
    <row r="2998" ht="22.15" customHeight="1" x14ac:dyDescent="0.25"/>
    <row r="2999" ht="22.15" customHeight="1" x14ac:dyDescent="0.25"/>
    <row r="3000" ht="22.15" customHeight="1" x14ac:dyDescent="0.25"/>
    <row r="3001" ht="22.15" customHeight="1" x14ac:dyDescent="0.25"/>
    <row r="3002" ht="22.15" customHeight="1" x14ac:dyDescent="0.25"/>
    <row r="3003" ht="22.15" customHeight="1" x14ac:dyDescent="0.25"/>
    <row r="3004" ht="22.15" customHeight="1" x14ac:dyDescent="0.25"/>
    <row r="3005" ht="22.15" customHeight="1" x14ac:dyDescent="0.25"/>
    <row r="3006" ht="22.15" customHeight="1" x14ac:dyDescent="0.25"/>
    <row r="3007" ht="22.15" customHeight="1" x14ac:dyDescent="0.25"/>
    <row r="3008" ht="22.15" customHeight="1" x14ac:dyDescent="0.25"/>
    <row r="3009" ht="22.15" customHeight="1" x14ac:dyDescent="0.25"/>
    <row r="3010" ht="22.15" customHeight="1" x14ac:dyDescent="0.25"/>
    <row r="3011" ht="22.15" customHeight="1" x14ac:dyDescent="0.25"/>
    <row r="3012" ht="22.15" customHeight="1" x14ac:dyDescent="0.25"/>
    <row r="3013" ht="22.15" customHeight="1" x14ac:dyDescent="0.25"/>
    <row r="3014" ht="22.15" customHeight="1" x14ac:dyDescent="0.25"/>
    <row r="3015" ht="22.15" customHeight="1" x14ac:dyDescent="0.25"/>
    <row r="3016" ht="22.15" customHeight="1" x14ac:dyDescent="0.25"/>
    <row r="3017" ht="22.15" customHeight="1" x14ac:dyDescent="0.25"/>
    <row r="3018" ht="22.15" customHeight="1" x14ac:dyDescent="0.25"/>
    <row r="3019" ht="22.15" customHeight="1" x14ac:dyDescent="0.25"/>
    <row r="3020" ht="22.15" customHeight="1" x14ac:dyDescent="0.25"/>
    <row r="3021" ht="22.15" customHeight="1" x14ac:dyDescent="0.25"/>
    <row r="3022" ht="22.15" customHeight="1" x14ac:dyDescent="0.25"/>
    <row r="3023" ht="22.15" customHeight="1" x14ac:dyDescent="0.25"/>
    <row r="3024" ht="22.15" customHeight="1" x14ac:dyDescent="0.25"/>
    <row r="3025" ht="22.15" customHeight="1" x14ac:dyDescent="0.25"/>
    <row r="3026" ht="22.15" customHeight="1" x14ac:dyDescent="0.25"/>
    <row r="3027" ht="22.15" customHeight="1" x14ac:dyDescent="0.25"/>
    <row r="3028" ht="22.15" customHeight="1" x14ac:dyDescent="0.25"/>
    <row r="3029" ht="22.15" customHeight="1" x14ac:dyDescent="0.25"/>
    <row r="3030" ht="22.15" customHeight="1" x14ac:dyDescent="0.25"/>
    <row r="3031" ht="22.15" customHeight="1" x14ac:dyDescent="0.25"/>
    <row r="3032" ht="22.15" customHeight="1" x14ac:dyDescent="0.25"/>
    <row r="3033" ht="22.15" customHeight="1" x14ac:dyDescent="0.25"/>
    <row r="3034" ht="22.15" customHeight="1" x14ac:dyDescent="0.25"/>
    <row r="3035" ht="22.15" customHeight="1" x14ac:dyDescent="0.25"/>
    <row r="3036" ht="22.15" customHeight="1" x14ac:dyDescent="0.25"/>
    <row r="3037" ht="22.15" customHeight="1" x14ac:dyDescent="0.25"/>
    <row r="3038" ht="22.15" customHeight="1" x14ac:dyDescent="0.25"/>
    <row r="3039" ht="22.15" customHeight="1" x14ac:dyDescent="0.25"/>
    <row r="3040" ht="22.15" customHeight="1" x14ac:dyDescent="0.25"/>
    <row r="3041" ht="22.15" customHeight="1" x14ac:dyDescent="0.25"/>
    <row r="3042" ht="22.15" customHeight="1" x14ac:dyDescent="0.25"/>
    <row r="3043" ht="22.15" customHeight="1" x14ac:dyDescent="0.25"/>
    <row r="3044" ht="22.15" customHeight="1" x14ac:dyDescent="0.25"/>
    <row r="3045" ht="22.15" customHeight="1" x14ac:dyDescent="0.25"/>
    <row r="3046" ht="22.15" customHeight="1" x14ac:dyDescent="0.25"/>
    <row r="3047" ht="22.15" customHeight="1" x14ac:dyDescent="0.25"/>
    <row r="3048" ht="22.15" customHeight="1" x14ac:dyDescent="0.25"/>
    <row r="3049" ht="22.15" customHeight="1" x14ac:dyDescent="0.25"/>
    <row r="3050" ht="22.15" customHeight="1" x14ac:dyDescent="0.25"/>
    <row r="3051" ht="22.15" customHeight="1" x14ac:dyDescent="0.25"/>
    <row r="3052" ht="22.15" customHeight="1" x14ac:dyDescent="0.25"/>
    <row r="3053" ht="22.15" customHeight="1" x14ac:dyDescent="0.25"/>
    <row r="3054" ht="22.15" customHeight="1" x14ac:dyDescent="0.25"/>
    <row r="3055" ht="22.15" customHeight="1" x14ac:dyDescent="0.25"/>
    <row r="3056" ht="22.15" customHeight="1" x14ac:dyDescent="0.25"/>
    <row r="3057" ht="22.15" customHeight="1" x14ac:dyDescent="0.25"/>
    <row r="3058" ht="22.15" customHeight="1" x14ac:dyDescent="0.25"/>
    <row r="3059" ht="22.15" customHeight="1" x14ac:dyDescent="0.25"/>
    <row r="3060" ht="22.15" customHeight="1" x14ac:dyDescent="0.25"/>
    <row r="3061" ht="22.15" customHeight="1" x14ac:dyDescent="0.25"/>
    <row r="3062" ht="22.15" customHeight="1" x14ac:dyDescent="0.25"/>
    <row r="3063" ht="22.15" customHeight="1" x14ac:dyDescent="0.25"/>
    <row r="3064" ht="22.15" customHeight="1" x14ac:dyDescent="0.25"/>
    <row r="3065" ht="22.15" customHeight="1" x14ac:dyDescent="0.25"/>
    <row r="3066" ht="22.15" customHeight="1" x14ac:dyDescent="0.25"/>
    <row r="3067" ht="22.15" customHeight="1" x14ac:dyDescent="0.25"/>
    <row r="3068" ht="22.15" customHeight="1" x14ac:dyDescent="0.25"/>
    <row r="3069" ht="22.15" customHeight="1" x14ac:dyDescent="0.25"/>
    <row r="3070" ht="22.15" customHeight="1" x14ac:dyDescent="0.25"/>
    <row r="3071" ht="22.15" customHeight="1" x14ac:dyDescent="0.25"/>
    <row r="3072" ht="22.15" customHeight="1" x14ac:dyDescent="0.25"/>
    <row r="3073" ht="22.15" customHeight="1" x14ac:dyDescent="0.25"/>
    <row r="3074" ht="22.15" customHeight="1" x14ac:dyDescent="0.25"/>
    <row r="3075" ht="22.15" customHeight="1" x14ac:dyDescent="0.25"/>
    <row r="3076" ht="22.15" customHeight="1" x14ac:dyDescent="0.25"/>
    <row r="3077" ht="22.15" customHeight="1" x14ac:dyDescent="0.25"/>
    <row r="3078" ht="22.15" customHeight="1" x14ac:dyDescent="0.25"/>
    <row r="3079" ht="22.15" customHeight="1" x14ac:dyDescent="0.25"/>
    <row r="3080" ht="22.15" customHeight="1" x14ac:dyDescent="0.25"/>
    <row r="3081" ht="22.15" customHeight="1" x14ac:dyDescent="0.25"/>
    <row r="3082" ht="22.15" customHeight="1" x14ac:dyDescent="0.25"/>
    <row r="3083" ht="22.15" customHeight="1" x14ac:dyDescent="0.25"/>
    <row r="3084" ht="22.15" customHeight="1" x14ac:dyDescent="0.25"/>
    <row r="3085" ht="22.15" customHeight="1" x14ac:dyDescent="0.25"/>
    <row r="3086" ht="22.15" customHeight="1" x14ac:dyDescent="0.25"/>
    <row r="3087" ht="22.15" customHeight="1" x14ac:dyDescent="0.25"/>
    <row r="3088" ht="22.15" customHeight="1" x14ac:dyDescent="0.25"/>
    <row r="3089" ht="22.15" customHeight="1" x14ac:dyDescent="0.25"/>
    <row r="3090" ht="22.15" customHeight="1" x14ac:dyDescent="0.25"/>
    <row r="3091" ht="22.15" customHeight="1" x14ac:dyDescent="0.25"/>
    <row r="3092" ht="22.15" customHeight="1" x14ac:dyDescent="0.25"/>
    <row r="3093" ht="22.15" customHeight="1" x14ac:dyDescent="0.25"/>
    <row r="3094" ht="22.15" customHeight="1" x14ac:dyDescent="0.25"/>
    <row r="3095" ht="22.15" customHeight="1" x14ac:dyDescent="0.25"/>
    <row r="3096" ht="22.15" customHeight="1" x14ac:dyDescent="0.25"/>
    <row r="3097" ht="22.15" customHeight="1" x14ac:dyDescent="0.25"/>
    <row r="3098" ht="22.15" customHeight="1" x14ac:dyDescent="0.25"/>
    <row r="3099" ht="22.15" customHeight="1" x14ac:dyDescent="0.25"/>
    <row r="3100" ht="22.15" customHeight="1" x14ac:dyDescent="0.25"/>
    <row r="3101" ht="22.15" customHeight="1" x14ac:dyDescent="0.25"/>
    <row r="3102" ht="22.15" customHeight="1" x14ac:dyDescent="0.25"/>
    <row r="3103" ht="22.15" customHeight="1" x14ac:dyDescent="0.25"/>
    <row r="3104" ht="22.15" customHeight="1" x14ac:dyDescent="0.25"/>
    <row r="3105" ht="22.15" customHeight="1" x14ac:dyDescent="0.25"/>
    <row r="3106" ht="22.15" customHeight="1" x14ac:dyDescent="0.25"/>
    <row r="3107" ht="22.15" customHeight="1" x14ac:dyDescent="0.25"/>
    <row r="3108" ht="22.15" customHeight="1" x14ac:dyDescent="0.25"/>
    <row r="3109" ht="22.15" customHeight="1" x14ac:dyDescent="0.25"/>
    <row r="3110" ht="22.15" customHeight="1" x14ac:dyDescent="0.25"/>
    <row r="3111" ht="22.15" customHeight="1" x14ac:dyDescent="0.25"/>
    <row r="3112" ht="22.15" customHeight="1" x14ac:dyDescent="0.25"/>
    <row r="3113" ht="22.15" customHeight="1" x14ac:dyDescent="0.25"/>
    <row r="3114" ht="22.15" customHeight="1" x14ac:dyDescent="0.25"/>
    <row r="3115" ht="22.15" customHeight="1" x14ac:dyDescent="0.25"/>
    <row r="3116" ht="22.15" customHeight="1" x14ac:dyDescent="0.25"/>
    <row r="3117" ht="22.15" customHeight="1" x14ac:dyDescent="0.25"/>
    <row r="3118" ht="22.15" customHeight="1" x14ac:dyDescent="0.25"/>
    <row r="3119" ht="22.15" customHeight="1" x14ac:dyDescent="0.25"/>
    <row r="3120" ht="22.15" customHeight="1" x14ac:dyDescent="0.25"/>
    <row r="3121" ht="22.15" customHeight="1" x14ac:dyDescent="0.25"/>
    <row r="3122" ht="22.15" customHeight="1" x14ac:dyDescent="0.25"/>
    <row r="3123" ht="22.15" customHeight="1" x14ac:dyDescent="0.25"/>
    <row r="3124" ht="22.15" customHeight="1" x14ac:dyDescent="0.25"/>
    <row r="3125" ht="22.15" customHeight="1" x14ac:dyDescent="0.25"/>
    <row r="3126" ht="22.15" customHeight="1" x14ac:dyDescent="0.25"/>
    <row r="3127" ht="22.15" customHeight="1" x14ac:dyDescent="0.25"/>
    <row r="3128" ht="22.15" customHeight="1" x14ac:dyDescent="0.25"/>
    <row r="3129" ht="22.15" customHeight="1" x14ac:dyDescent="0.25"/>
    <row r="3130" ht="22.15" customHeight="1" x14ac:dyDescent="0.25"/>
    <row r="3131" ht="22.15" customHeight="1" x14ac:dyDescent="0.25"/>
    <row r="3132" ht="22.15" customHeight="1" x14ac:dyDescent="0.25"/>
    <row r="3133" ht="22.15" customHeight="1" x14ac:dyDescent="0.25"/>
    <row r="3134" ht="22.15" customHeight="1" x14ac:dyDescent="0.25"/>
    <row r="3135" ht="22.15" customHeight="1" x14ac:dyDescent="0.25"/>
    <row r="3136" ht="22.15" customHeight="1" x14ac:dyDescent="0.25"/>
    <row r="3137" ht="22.15" customHeight="1" x14ac:dyDescent="0.25"/>
    <row r="3138" ht="22.15" customHeight="1" x14ac:dyDescent="0.25"/>
    <row r="3139" ht="22.15" customHeight="1" x14ac:dyDescent="0.25"/>
    <row r="3140" ht="22.15" customHeight="1" x14ac:dyDescent="0.25"/>
    <row r="3141" ht="22.15" customHeight="1" x14ac:dyDescent="0.25"/>
    <row r="3142" ht="22.15" customHeight="1" x14ac:dyDescent="0.25"/>
    <row r="3143" ht="22.15" customHeight="1" x14ac:dyDescent="0.25"/>
    <row r="3144" ht="22.15" customHeight="1" x14ac:dyDescent="0.25"/>
    <row r="3145" ht="22.15" customHeight="1" x14ac:dyDescent="0.25"/>
    <row r="3146" ht="22.15" customHeight="1" x14ac:dyDescent="0.25"/>
    <row r="3147" ht="22.15" customHeight="1" x14ac:dyDescent="0.25"/>
    <row r="3148" ht="22.15" customHeight="1" x14ac:dyDescent="0.25"/>
    <row r="3149" ht="22.15" customHeight="1" x14ac:dyDescent="0.25"/>
    <row r="3150" ht="22.15" customHeight="1" x14ac:dyDescent="0.25"/>
    <row r="3151" ht="22.15" customHeight="1" x14ac:dyDescent="0.25"/>
    <row r="3152" ht="22.15" customHeight="1" x14ac:dyDescent="0.25"/>
    <row r="3153" ht="22.15" customHeight="1" x14ac:dyDescent="0.25"/>
    <row r="3154" ht="22.15" customHeight="1" x14ac:dyDescent="0.25"/>
    <row r="3155" ht="22.15" customHeight="1" x14ac:dyDescent="0.25"/>
    <row r="3156" ht="22.15" customHeight="1" x14ac:dyDescent="0.25"/>
    <row r="3157" ht="22.15" customHeight="1" x14ac:dyDescent="0.25"/>
    <row r="3158" ht="22.15" customHeight="1" x14ac:dyDescent="0.25"/>
    <row r="3159" ht="22.15" customHeight="1" x14ac:dyDescent="0.25"/>
    <row r="3160" ht="22.15" customHeight="1" x14ac:dyDescent="0.25"/>
    <row r="3161" ht="22.15" customHeight="1" x14ac:dyDescent="0.25"/>
    <row r="3162" ht="22.15" customHeight="1" x14ac:dyDescent="0.25"/>
    <row r="3163" ht="22.15" customHeight="1" x14ac:dyDescent="0.25"/>
    <row r="3164" ht="22.15" customHeight="1" x14ac:dyDescent="0.25"/>
    <row r="3165" ht="22.15" customHeight="1" x14ac:dyDescent="0.25"/>
    <row r="3166" ht="22.15" customHeight="1" x14ac:dyDescent="0.25"/>
    <row r="3167" ht="22.15" customHeight="1" x14ac:dyDescent="0.25"/>
    <row r="3168" ht="22.15" customHeight="1" x14ac:dyDescent="0.25"/>
    <row r="3169" ht="22.15" customHeight="1" x14ac:dyDescent="0.25"/>
    <row r="3170" ht="22.15" customHeight="1" x14ac:dyDescent="0.25"/>
    <row r="3171" ht="22.15" customHeight="1" x14ac:dyDescent="0.25"/>
    <row r="3172" ht="22.15" customHeight="1" x14ac:dyDescent="0.25"/>
    <row r="3173" ht="22.15" customHeight="1" x14ac:dyDescent="0.25"/>
    <row r="3174" ht="22.15" customHeight="1" x14ac:dyDescent="0.25"/>
    <row r="3175" ht="22.15" customHeight="1" x14ac:dyDescent="0.25"/>
    <row r="3176" ht="22.15" customHeight="1" x14ac:dyDescent="0.25"/>
    <row r="3177" ht="22.15" customHeight="1" x14ac:dyDescent="0.25"/>
    <row r="3178" ht="22.15" customHeight="1" x14ac:dyDescent="0.25"/>
    <row r="3179" ht="22.15" customHeight="1" x14ac:dyDescent="0.25"/>
    <row r="3180" ht="22.15" customHeight="1" x14ac:dyDescent="0.25"/>
    <row r="3181" ht="22.15" customHeight="1" x14ac:dyDescent="0.25"/>
    <row r="3182" ht="22.15" customHeight="1" x14ac:dyDescent="0.25"/>
    <row r="3183" ht="22.15" customHeight="1" x14ac:dyDescent="0.25"/>
    <row r="3184" ht="22.15" customHeight="1" x14ac:dyDescent="0.25"/>
    <row r="3185" ht="22.15" customHeight="1" x14ac:dyDescent="0.25"/>
    <row r="3186" ht="22.15" customHeight="1" x14ac:dyDescent="0.25"/>
    <row r="3187" ht="22.15" customHeight="1" x14ac:dyDescent="0.25"/>
    <row r="3188" ht="22.15" customHeight="1" x14ac:dyDescent="0.25"/>
    <row r="3189" ht="22.15" customHeight="1" x14ac:dyDescent="0.25"/>
    <row r="3190" ht="22.15" customHeight="1" x14ac:dyDescent="0.25"/>
    <row r="3191" ht="22.15" customHeight="1" x14ac:dyDescent="0.25"/>
    <row r="3192" ht="22.15" customHeight="1" x14ac:dyDescent="0.25"/>
    <row r="3193" ht="22.15" customHeight="1" x14ac:dyDescent="0.25"/>
    <row r="3194" ht="22.15" customHeight="1" x14ac:dyDescent="0.25"/>
    <row r="3195" ht="22.15" customHeight="1" x14ac:dyDescent="0.25"/>
    <row r="3196" ht="22.15" customHeight="1" x14ac:dyDescent="0.25"/>
    <row r="3197" ht="22.15" customHeight="1" x14ac:dyDescent="0.25"/>
    <row r="3198" ht="22.15" customHeight="1" x14ac:dyDescent="0.25"/>
    <row r="3199" ht="22.15" customHeight="1" x14ac:dyDescent="0.25"/>
    <row r="3200" ht="22.15" customHeight="1" x14ac:dyDescent="0.25"/>
    <row r="3201" ht="22.15" customHeight="1" x14ac:dyDescent="0.25"/>
    <row r="3202" ht="22.15" customHeight="1" x14ac:dyDescent="0.25"/>
    <row r="3203" ht="22.15" customHeight="1" x14ac:dyDescent="0.25"/>
    <row r="3204" ht="22.15" customHeight="1" x14ac:dyDescent="0.25"/>
    <row r="3205" ht="22.15" customHeight="1" x14ac:dyDescent="0.25"/>
    <row r="3206" ht="22.15" customHeight="1" x14ac:dyDescent="0.25"/>
    <row r="3207" ht="22.15" customHeight="1" x14ac:dyDescent="0.25"/>
    <row r="3208" ht="22.15" customHeight="1" x14ac:dyDescent="0.25"/>
    <row r="3209" ht="22.15" customHeight="1" x14ac:dyDescent="0.25"/>
    <row r="3210" ht="22.15" customHeight="1" x14ac:dyDescent="0.25"/>
    <row r="3211" ht="22.15" customHeight="1" x14ac:dyDescent="0.25"/>
    <row r="3212" ht="22.15" customHeight="1" x14ac:dyDescent="0.25"/>
    <row r="3213" ht="22.15" customHeight="1" x14ac:dyDescent="0.25"/>
    <row r="3214" ht="22.15" customHeight="1" x14ac:dyDescent="0.25"/>
    <row r="3215" ht="22.15" customHeight="1" x14ac:dyDescent="0.25"/>
    <row r="3216" ht="22.15" customHeight="1" x14ac:dyDescent="0.25"/>
    <row r="3217" ht="22.15" customHeight="1" x14ac:dyDescent="0.25"/>
    <row r="3218" ht="22.15" customHeight="1" x14ac:dyDescent="0.25"/>
    <row r="3219" ht="22.15" customHeight="1" x14ac:dyDescent="0.25"/>
    <row r="3220" ht="22.15" customHeight="1" x14ac:dyDescent="0.25"/>
    <row r="3221" ht="22.15" customHeight="1" x14ac:dyDescent="0.25"/>
    <row r="3222" ht="22.15" customHeight="1" x14ac:dyDescent="0.25"/>
    <row r="3223" ht="22.15" customHeight="1" x14ac:dyDescent="0.25"/>
    <row r="3224" ht="22.15" customHeight="1" x14ac:dyDescent="0.25"/>
    <row r="3225" ht="22.15" customHeight="1" x14ac:dyDescent="0.25"/>
    <row r="3226" ht="22.15" customHeight="1" x14ac:dyDescent="0.25"/>
    <row r="3227" ht="22.15" customHeight="1" x14ac:dyDescent="0.25"/>
    <row r="3228" ht="22.15" customHeight="1" x14ac:dyDescent="0.25"/>
    <row r="3229" ht="22.15" customHeight="1" x14ac:dyDescent="0.25"/>
    <row r="3230" ht="22.15" customHeight="1" x14ac:dyDescent="0.25"/>
    <row r="3231" ht="22.15" customHeight="1" x14ac:dyDescent="0.25"/>
    <row r="3232" ht="22.15" customHeight="1" x14ac:dyDescent="0.25"/>
    <row r="3233" ht="22.15" customHeight="1" x14ac:dyDescent="0.25"/>
    <row r="3234" ht="22.15" customHeight="1" x14ac:dyDescent="0.25"/>
    <row r="3235" ht="22.15" customHeight="1" x14ac:dyDescent="0.25"/>
    <row r="3236" ht="22.15" customHeight="1" x14ac:dyDescent="0.25"/>
    <row r="3237" ht="22.15" customHeight="1" x14ac:dyDescent="0.25"/>
    <row r="3238" ht="22.15" customHeight="1" x14ac:dyDescent="0.25"/>
    <row r="3239" ht="22.15" customHeight="1" x14ac:dyDescent="0.25"/>
    <row r="3240" ht="22.15" customHeight="1" x14ac:dyDescent="0.25"/>
    <row r="3241" ht="22.15" customHeight="1" x14ac:dyDescent="0.25"/>
    <row r="3242" ht="22.15" customHeight="1" x14ac:dyDescent="0.25"/>
    <row r="3243" ht="22.15" customHeight="1" x14ac:dyDescent="0.25"/>
    <row r="3244" ht="22.15" customHeight="1" x14ac:dyDescent="0.25"/>
    <row r="3245" ht="22.15" customHeight="1" x14ac:dyDescent="0.25"/>
    <row r="3246" ht="22.15" customHeight="1" x14ac:dyDescent="0.25"/>
    <row r="3247" ht="22.15" customHeight="1" x14ac:dyDescent="0.25"/>
    <row r="3248" ht="22.15" customHeight="1" x14ac:dyDescent="0.25"/>
    <row r="3249" ht="22.15" customHeight="1" x14ac:dyDescent="0.25"/>
    <row r="3250" ht="22.15" customHeight="1" x14ac:dyDescent="0.25"/>
    <row r="3251" ht="22.15" customHeight="1" x14ac:dyDescent="0.25"/>
    <row r="3252" ht="22.15" customHeight="1" x14ac:dyDescent="0.25"/>
    <row r="3253" ht="22.15" customHeight="1" x14ac:dyDescent="0.25"/>
    <row r="3254" ht="22.15" customHeight="1" x14ac:dyDescent="0.25"/>
    <row r="3255" ht="22.15" customHeight="1" x14ac:dyDescent="0.25"/>
    <row r="3256" ht="22.15" customHeight="1" x14ac:dyDescent="0.25"/>
    <row r="3257" ht="22.15" customHeight="1" x14ac:dyDescent="0.25"/>
    <row r="3258" ht="22.15" customHeight="1" x14ac:dyDescent="0.25"/>
    <row r="3259" ht="22.15" customHeight="1" x14ac:dyDescent="0.25"/>
    <row r="3260" ht="22.15" customHeight="1" x14ac:dyDescent="0.25"/>
    <row r="3261" ht="22.15" customHeight="1" x14ac:dyDescent="0.25"/>
    <row r="3262" ht="22.15" customHeight="1" x14ac:dyDescent="0.25"/>
    <row r="3263" ht="22.15" customHeight="1" x14ac:dyDescent="0.25"/>
    <row r="3264" ht="22.15" customHeight="1" x14ac:dyDescent="0.25"/>
    <row r="3265" ht="22.15" customHeight="1" x14ac:dyDescent="0.25"/>
    <row r="3266" ht="22.15" customHeight="1" x14ac:dyDescent="0.25"/>
    <row r="3267" ht="22.15" customHeight="1" x14ac:dyDescent="0.25"/>
    <row r="3268" ht="22.15" customHeight="1" x14ac:dyDescent="0.25"/>
    <row r="3269" ht="22.15" customHeight="1" x14ac:dyDescent="0.25"/>
    <row r="3270" ht="22.15" customHeight="1" x14ac:dyDescent="0.25"/>
    <row r="3271" ht="22.15" customHeight="1" x14ac:dyDescent="0.25"/>
    <row r="3272" ht="22.15" customHeight="1" x14ac:dyDescent="0.25"/>
    <row r="3273" ht="22.15" customHeight="1" x14ac:dyDescent="0.25"/>
    <row r="3274" ht="22.15" customHeight="1" x14ac:dyDescent="0.25"/>
    <row r="3275" ht="22.15" customHeight="1" x14ac:dyDescent="0.25"/>
    <row r="3276" ht="22.15" customHeight="1" x14ac:dyDescent="0.25"/>
    <row r="3277" ht="22.15" customHeight="1" x14ac:dyDescent="0.25"/>
    <row r="3278" ht="22.15" customHeight="1" x14ac:dyDescent="0.25"/>
    <row r="3279" ht="22.15" customHeight="1" x14ac:dyDescent="0.25"/>
    <row r="3280" ht="22.15" customHeight="1" x14ac:dyDescent="0.25"/>
    <row r="3281" ht="22.15" customHeight="1" x14ac:dyDescent="0.25"/>
    <row r="3282" ht="22.15" customHeight="1" x14ac:dyDescent="0.25"/>
    <row r="3283" ht="22.15" customHeight="1" x14ac:dyDescent="0.25"/>
    <row r="3284" ht="22.15" customHeight="1" x14ac:dyDescent="0.25"/>
    <row r="3285" ht="22.15" customHeight="1" x14ac:dyDescent="0.25"/>
    <row r="3286" ht="22.15" customHeight="1" x14ac:dyDescent="0.25"/>
    <row r="3287" ht="22.15" customHeight="1" x14ac:dyDescent="0.25"/>
    <row r="3288" ht="22.15" customHeight="1" x14ac:dyDescent="0.25"/>
    <row r="3289" ht="22.15" customHeight="1" x14ac:dyDescent="0.25"/>
    <row r="3290" ht="22.15" customHeight="1" x14ac:dyDescent="0.25"/>
    <row r="3291" ht="22.15" customHeight="1" x14ac:dyDescent="0.25"/>
    <row r="3292" ht="22.15" customHeight="1" x14ac:dyDescent="0.25"/>
    <row r="3293" ht="22.15" customHeight="1" x14ac:dyDescent="0.25"/>
    <row r="3294" ht="22.15" customHeight="1" x14ac:dyDescent="0.25"/>
    <row r="3295" ht="22.15" customHeight="1" x14ac:dyDescent="0.25"/>
    <row r="3296" ht="22.15" customHeight="1" x14ac:dyDescent="0.25"/>
    <row r="3297" ht="22.15" customHeight="1" x14ac:dyDescent="0.25"/>
    <row r="3298" ht="22.15" customHeight="1" x14ac:dyDescent="0.25"/>
    <row r="3299" ht="22.15" customHeight="1" x14ac:dyDescent="0.25"/>
    <row r="3300" ht="22.15" customHeight="1" x14ac:dyDescent="0.25"/>
    <row r="3301" ht="22.15" customHeight="1" x14ac:dyDescent="0.25"/>
    <row r="3302" ht="22.15" customHeight="1" x14ac:dyDescent="0.25"/>
    <row r="3303" ht="22.15" customHeight="1" x14ac:dyDescent="0.25"/>
    <row r="3304" ht="22.15" customHeight="1" x14ac:dyDescent="0.25"/>
    <row r="3305" ht="22.15" customHeight="1" x14ac:dyDescent="0.25"/>
    <row r="3306" ht="22.15" customHeight="1" x14ac:dyDescent="0.25"/>
    <row r="3307" ht="22.15" customHeight="1" x14ac:dyDescent="0.25"/>
    <row r="3308" ht="22.15" customHeight="1" x14ac:dyDescent="0.25"/>
    <row r="3309" ht="22.15" customHeight="1" x14ac:dyDescent="0.25"/>
    <row r="3310" ht="22.15" customHeight="1" x14ac:dyDescent="0.25"/>
    <row r="3311" ht="22.15" customHeight="1" x14ac:dyDescent="0.25"/>
    <row r="3312" ht="22.15" customHeight="1" x14ac:dyDescent="0.25"/>
    <row r="3313" ht="22.15" customHeight="1" x14ac:dyDescent="0.25"/>
    <row r="3314" ht="22.15" customHeight="1" x14ac:dyDescent="0.25"/>
    <row r="3315" ht="22.15" customHeight="1" x14ac:dyDescent="0.25"/>
    <row r="3316" ht="22.15" customHeight="1" x14ac:dyDescent="0.25"/>
    <row r="3317" ht="22.15" customHeight="1" x14ac:dyDescent="0.25"/>
    <row r="3318" ht="22.15" customHeight="1" x14ac:dyDescent="0.25"/>
    <row r="3319" ht="22.15" customHeight="1" x14ac:dyDescent="0.25"/>
    <row r="3320" ht="22.15" customHeight="1" x14ac:dyDescent="0.25"/>
    <row r="3321" ht="22.15" customHeight="1" x14ac:dyDescent="0.25"/>
    <row r="3322" ht="22.15" customHeight="1" x14ac:dyDescent="0.25"/>
    <row r="3323" ht="22.15" customHeight="1" x14ac:dyDescent="0.25"/>
    <row r="3324" ht="22.15" customHeight="1" x14ac:dyDescent="0.25"/>
    <row r="3325" ht="22.15" customHeight="1" x14ac:dyDescent="0.25"/>
    <row r="3326" ht="22.15" customHeight="1" x14ac:dyDescent="0.25"/>
    <row r="3327" ht="22.15" customHeight="1" x14ac:dyDescent="0.25"/>
    <row r="3328" ht="22.15" customHeight="1" x14ac:dyDescent="0.25"/>
    <row r="3329" ht="22.15" customHeight="1" x14ac:dyDescent="0.25"/>
    <row r="3330" ht="22.15" customHeight="1" x14ac:dyDescent="0.25"/>
    <row r="3331" ht="22.15" customHeight="1" x14ac:dyDescent="0.25"/>
    <row r="3332" ht="22.15" customHeight="1" x14ac:dyDescent="0.25"/>
    <row r="3333" ht="22.15" customHeight="1" x14ac:dyDescent="0.25"/>
    <row r="3334" ht="22.15" customHeight="1" x14ac:dyDescent="0.25"/>
    <row r="3335" ht="22.15" customHeight="1" x14ac:dyDescent="0.25"/>
    <row r="3336" ht="22.15" customHeight="1" x14ac:dyDescent="0.25"/>
    <row r="3337" ht="22.15" customHeight="1" x14ac:dyDescent="0.25"/>
    <row r="3338" ht="22.15" customHeight="1" x14ac:dyDescent="0.25"/>
    <row r="3339" ht="22.15" customHeight="1" x14ac:dyDescent="0.25"/>
    <row r="3340" ht="22.15" customHeight="1" x14ac:dyDescent="0.25"/>
    <row r="3341" ht="22.15" customHeight="1" x14ac:dyDescent="0.25"/>
    <row r="3342" ht="22.15" customHeight="1" x14ac:dyDescent="0.25"/>
    <row r="3343" ht="22.15" customHeight="1" x14ac:dyDescent="0.25"/>
    <row r="3344" ht="22.15" customHeight="1" x14ac:dyDescent="0.25"/>
    <row r="3345" ht="22.15" customHeight="1" x14ac:dyDescent="0.25"/>
    <row r="3346" ht="22.15" customHeight="1" x14ac:dyDescent="0.25"/>
    <row r="3347" ht="22.15" customHeight="1" x14ac:dyDescent="0.25"/>
    <row r="3348" ht="22.15" customHeight="1" x14ac:dyDescent="0.25"/>
    <row r="3349" ht="22.15" customHeight="1" x14ac:dyDescent="0.25"/>
    <row r="3350" ht="22.15" customHeight="1" x14ac:dyDescent="0.25"/>
    <row r="3351" ht="22.15" customHeight="1" x14ac:dyDescent="0.25"/>
    <row r="3352" ht="22.15" customHeight="1" x14ac:dyDescent="0.25"/>
    <row r="3353" ht="22.15" customHeight="1" x14ac:dyDescent="0.25"/>
    <row r="3354" ht="22.15" customHeight="1" x14ac:dyDescent="0.25"/>
    <row r="3355" ht="22.15" customHeight="1" x14ac:dyDescent="0.25"/>
    <row r="3356" ht="22.15" customHeight="1" x14ac:dyDescent="0.25"/>
    <row r="3357" ht="22.15" customHeight="1" x14ac:dyDescent="0.25"/>
    <row r="3358" ht="22.15" customHeight="1" x14ac:dyDescent="0.25"/>
    <row r="3359" ht="22.15" customHeight="1" x14ac:dyDescent="0.25"/>
    <row r="3360" ht="22.15" customHeight="1" x14ac:dyDescent="0.25"/>
    <row r="3361" ht="22.15" customHeight="1" x14ac:dyDescent="0.25"/>
    <row r="3362" ht="22.15" customHeight="1" x14ac:dyDescent="0.25"/>
    <row r="3363" ht="22.15" customHeight="1" x14ac:dyDescent="0.25"/>
    <row r="3364" ht="22.15" customHeight="1" x14ac:dyDescent="0.25"/>
    <row r="3365" ht="22.15" customHeight="1" x14ac:dyDescent="0.25"/>
    <row r="3366" ht="22.15" customHeight="1" x14ac:dyDescent="0.25"/>
    <row r="3367" ht="22.15" customHeight="1" x14ac:dyDescent="0.25"/>
    <row r="3368" ht="22.15" customHeight="1" x14ac:dyDescent="0.25"/>
    <row r="3369" ht="22.15" customHeight="1" x14ac:dyDescent="0.25"/>
    <row r="3370" ht="22.15" customHeight="1" x14ac:dyDescent="0.25"/>
    <row r="3371" ht="22.15" customHeight="1" x14ac:dyDescent="0.25"/>
    <row r="3372" ht="22.15" customHeight="1" x14ac:dyDescent="0.25"/>
    <row r="3373" ht="22.15" customHeight="1" x14ac:dyDescent="0.25"/>
    <row r="3374" ht="22.15" customHeight="1" x14ac:dyDescent="0.25"/>
    <row r="3375" ht="22.15" customHeight="1" x14ac:dyDescent="0.25"/>
    <row r="3376" ht="22.15" customHeight="1" x14ac:dyDescent="0.25"/>
    <row r="3377" ht="22.15" customHeight="1" x14ac:dyDescent="0.25"/>
    <row r="3378" ht="22.15" customHeight="1" x14ac:dyDescent="0.25"/>
    <row r="3379" ht="22.15" customHeight="1" x14ac:dyDescent="0.25"/>
    <row r="3380" ht="22.15" customHeight="1" x14ac:dyDescent="0.25"/>
    <row r="3381" ht="22.15" customHeight="1" x14ac:dyDescent="0.25"/>
    <row r="3382" ht="22.15" customHeight="1" x14ac:dyDescent="0.25"/>
    <row r="3383" ht="22.15" customHeight="1" x14ac:dyDescent="0.25"/>
    <row r="3384" ht="22.15" customHeight="1" x14ac:dyDescent="0.25"/>
    <row r="3385" ht="22.15" customHeight="1" x14ac:dyDescent="0.25"/>
    <row r="3386" ht="22.15" customHeight="1" x14ac:dyDescent="0.25"/>
    <row r="3387" ht="22.15" customHeight="1" x14ac:dyDescent="0.25"/>
    <row r="3388" ht="22.15" customHeight="1" x14ac:dyDescent="0.25"/>
    <row r="3389" ht="22.15" customHeight="1" x14ac:dyDescent="0.25"/>
    <row r="3390" ht="22.15" customHeight="1" x14ac:dyDescent="0.25"/>
    <row r="3391" ht="22.15" customHeight="1" x14ac:dyDescent="0.25"/>
    <row r="3392" ht="22.15" customHeight="1" x14ac:dyDescent="0.25"/>
    <row r="3393" ht="22.15" customHeight="1" x14ac:dyDescent="0.25"/>
    <row r="3394" ht="22.15" customHeight="1" x14ac:dyDescent="0.25"/>
    <row r="3395" ht="22.15" customHeight="1" x14ac:dyDescent="0.25"/>
    <row r="3396" ht="22.15" customHeight="1" x14ac:dyDescent="0.25"/>
    <row r="3397" ht="22.15" customHeight="1" x14ac:dyDescent="0.25"/>
    <row r="3398" ht="22.15" customHeight="1" x14ac:dyDescent="0.25"/>
    <row r="3399" ht="22.15" customHeight="1" x14ac:dyDescent="0.25"/>
    <row r="3400" ht="22.15" customHeight="1" x14ac:dyDescent="0.25"/>
    <row r="3401" ht="22.15" customHeight="1" x14ac:dyDescent="0.25"/>
    <row r="3402" ht="22.15" customHeight="1" x14ac:dyDescent="0.25"/>
    <row r="3403" ht="22.15" customHeight="1" x14ac:dyDescent="0.25"/>
    <row r="3404" ht="22.15" customHeight="1" x14ac:dyDescent="0.25"/>
    <row r="3405" ht="22.15" customHeight="1" x14ac:dyDescent="0.25"/>
    <row r="3406" ht="22.15" customHeight="1" x14ac:dyDescent="0.25"/>
    <row r="3407" ht="22.15" customHeight="1" x14ac:dyDescent="0.25"/>
    <row r="3408" ht="22.15" customHeight="1" x14ac:dyDescent="0.25"/>
    <row r="3409" ht="22.15" customHeight="1" x14ac:dyDescent="0.25"/>
    <row r="3410" ht="22.15" customHeight="1" x14ac:dyDescent="0.25"/>
    <row r="3411" ht="22.15" customHeight="1" x14ac:dyDescent="0.25"/>
    <row r="3412" ht="22.15" customHeight="1" x14ac:dyDescent="0.25"/>
    <row r="3413" ht="22.15" customHeight="1" x14ac:dyDescent="0.25"/>
    <row r="3414" ht="22.15" customHeight="1" x14ac:dyDescent="0.25"/>
    <row r="3415" ht="22.15" customHeight="1" x14ac:dyDescent="0.25"/>
    <row r="3416" ht="22.15" customHeight="1" x14ac:dyDescent="0.25"/>
    <row r="3417" ht="22.15" customHeight="1" x14ac:dyDescent="0.25"/>
    <row r="3418" ht="22.15" customHeight="1" x14ac:dyDescent="0.25"/>
    <row r="3419" ht="22.15" customHeight="1" x14ac:dyDescent="0.25"/>
    <row r="3420" ht="22.15" customHeight="1" x14ac:dyDescent="0.25"/>
    <row r="3421" ht="22.15" customHeight="1" x14ac:dyDescent="0.25"/>
    <row r="3422" ht="22.15" customHeight="1" x14ac:dyDescent="0.25"/>
    <row r="3423" ht="22.15" customHeight="1" x14ac:dyDescent="0.25"/>
    <row r="3424" ht="22.15" customHeight="1" x14ac:dyDescent="0.25"/>
    <row r="3425" ht="22.15" customHeight="1" x14ac:dyDescent="0.25"/>
    <row r="3426" ht="22.15" customHeight="1" x14ac:dyDescent="0.25"/>
    <row r="3427" ht="22.15" customHeight="1" x14ac:dyDescent="0.25"/>
    <row r="3428" ht="22.15" customHeight="1" x14ac:dyDescent="0.25"/>
    <row r="3429" ht="22.15" customHeight="1" x14ac:dyDescent="0.25"/>
    <row r="3430" ht="22.15" customHeight="1" x14ac:dyDescent="0.25"/>
    <row r="3431" ht="22.15" customHeight="1" x14ac:dyDescent="0.25"/>
    <row r="3432" ht="22.15" customHeight="1" x14ac:dyDescent="0.25"/>
    <row r="3433" ht="22.15" customHeight="1" x14ac:dyDescent="0.25"/>
    <row r="3434" ht="22.15" customHeight="1" x14ac:dyDescent="0.25"/>
    <row r="3435" ht="22.15" customHeight="1" x14ac:dyDescent="0.25"/>
    <row r="3436" ht="22.15" customHeight="1" x14ac:dyDescent="0.25"/>
    <row r="3437" ht="22.15" customHeight="1" x14ac:dyDescent="0.25"/>
    <row r="3438" ht="22.15" customHeight="1" x14ac:dyDescent="0.25"/>
    <row r="3439" ht="22.15" customHeight="1" x14ac:dyDescent="0.25"/>
    <row r="3440" ht="22.15" customHeight="1" x14ac:dyDescent="0.25"/>
    <row r="3441" ht="22.15" customHeight="1" x14ac:dyDescent="0.25"/>
    <row r="3442" ht="22.15" customHeight="1" x14ac:dyDescent="0.25"/>
    <row r="3443" ht="22.15" customHeight="1" x14ac:dyDescent="0.25"/>
    <row r="3444" ht="22.15" customHeight="1" x14ac:dyDescent="0.25"/>
    <row r="3445" ht="22.15" customHeight="1" x14ac:dyDescent="0.25"/>
    <row r="3446" ht="22.15" customHeight="1" x14ac:dyDescent="0.25"/>
    <row r="3447" ht="22.15" customHeight="1" x14ac:dyDescent="0.25"/>
    <row r="3448" ht="22.15" customHeight="1" x14ac:dyDescent="0.25"/>
    <row r="3449" ht="22.15" customHeight="1" x14ac:dyDescent="0.25"/>
    <row r="3450" ht="22.15" customHeight="1" x14ac:dyDescent="0.25"/>
    <row r="3451" ht="22.15" customHeight="1" x14ac:dyDescent="0.25"/>
    <row r="3452" ht="22.15" customHeight="1" x14ac:dyDescent="0.25"/>
    <row r="3453" ht="22.15" customHeight="1" x14ac:dyDescent="0.25"/>
    <row r="3454" ht="22.15" customHeight="1" x14ac:dyDescent="0.25"/>
    <row r="3455" ht="22.15" customHeight="1" x14ac:dyDescent="0.25"/>
    <row r="3456" ht="22.15" customHeight="1" x14ac:dyDescent="0.25"/>
    <row r="3457" ht="22.15" customHeight="1" x14ac:dyDescent="0.25"/>
    <row r="3458" ht="22.15" customHeight="1" x14ac:dyDescent="0.25"/>
    <row r="3459" ht="22.15" customHeight="1" x14ac:dyDescent="0.25"/>
    <row r="3460" ht="22.15" customHeight="1" x14ac:dyDescent="0.25"/>
    <row r="3461" ht="22.15" customHeight="1" x14ac:dyDescent="0.25"/>
    <row r="3462" ht="22.15" customHeight="1" x14ac:dyDescent="0.25"/>
    <row r="3463" ht="22.15" customHeight="1" x14ac:dyDescent="0.25"/>
    <row r="3464" ht="22.15" customHeight="1" x14ac:dyDescent="0.25"/>
    <row r="3465" ht="22.15" customHeight="1" x14ac:dyDescent="0.25"/>
    <row r="3466" ht="22.15" customHeight="1" x14ac:dyDescent="0.25"/>
    <row r="3467" ht="22.15" customHeight="1" x14ac:dyDescent="0.25"/>
    <row r="3468" ht="22.15" customHeight="1" x14ac:dyDescent="0.25"/>
    <row r="3469" ht="22.15" customHeight="1" x14ac:dyDescent="0.25"/>
    <row r="3470" ht="22.15" customHeight="1" x14ac:dyDescent="0.25"/>
    <row r="3471" ht="22.15" customHeight="1" x14ac:dyDescent="0.25"/>
    <row r="3472" ht="22.15" customHeight="1" x14ac:dyDescent="0.25"/>
    <row r="3473" ht="22.15" customHeight="1" x14ac:dyDescent="0.25"/>
    <row r="3474" ht="22.15" customHeight="1" x14ac:dyDescent="0.25"/>
    <row r="3475" ht="22.15" customHeight="1" x14ac:dyDescent="0.25"/>
    <row r="3476" ht="22.15" customHeight="1" x14ac:dyDescent="0.25"/>
    <row r="3477" ht="22.15" customHeight="1" x14ac:dyDescent="0.25"/>
    <row r="3478" ht="22.15" customHeight="1" x14ac:dyDescent="0.25"/>
    <row r="3479" ht="22.15" customHeight="1" x14ac:dyDescent="0.25"/>
    <row r="3480" ht="22.15" customHeight="1" x14ac:dyDescent="0.25"/>
    <row r="3481" ht="22.15" customHeight="1" x14ac:dyDescent="0.25"/>
    <row r="3482" ht="22.15" customHeight="1" x14ac:dyDescent="0.25"/>
    <row r="3483" ht="22.15" customHeight="1" x14ac:dyDescent="0.25"/>
    <row r="3484" ht="22.15" customHeight="1" x14ac:dyDescent="0.25"/>
    <row r="3485" ht="22.15" customHeight="1" x14ac:dyDescent="0.25"/>
    <row r="3486" ht="22.15" customHeight="1" x14ac:dyDescent="0.25"/>
    <row r="3487" ht="22.15" customHeight="1" x14ac:dyDescent="0.25"/>
    <row r="3488" ht="22.15" customHeight="1" x14ac:dyDescent="0.25"/>
    <row r="3489" ht="22.15" customHeight="1" x14ac:dyDescent="0.25"/>
    <row r="3490" ht="22.15" customHeight="1" x14ac:dyDescent="0.25"/>
    <row r="3491" ht="22.15" customHeight="1" x14ac:dyDescent="0.25"/>
    <row r="3492" ht="22.15" customHeight="1" x14ac:dyDescent="0.25"/>
    <row r="3493" ht="22.15" customHeight="1" x14ac:dyDescent="0.25"/>
    <row r="3494" ht="22.15" customHeight="1" x14ac:dyDescent="0.25"/>
    <row r="3495" ht="22.15" customHeight="1" x14ac:dyDescent="0.25"/>
    <row r="3496" ht="22.15" customHeight="1" x14ac:dyDescent="0.25"/>
    <row r="3497" ht="22.15" customHeight="1" x14ac:dyDescent="0.25"/>
    <row r="3498" ht="22.15" customHeight="1" x14ac:dyDescent="0.25"/>
    <row r="3499" ht="22.15" customHeight="1" x14ac:dyDescent="0.25"/>
    <row r="3500" ht="22.15" customHeight="1" x14ac:dyDescent="0.25"/>
    <row r="3501" ht="22.15" customHeight="1" x14ac:dyDescent="0.25"/>
    <row r="3502" ht="22.15" customHeight="1" x14ac:dyDescent="0.25"/>
    <row r="3503" ht="22.15" customHeight="1" x14ac:dyDescent="0.25"/>
    <row r="3504" ht="22.15" customHeight="1" x14ac:dyDescent="0.25"/>
    <row r="3505" ht="22.15" customHeight="1" x14ac:dyDescent="0.25"/>
    <row r="3506" ht="22.15" customHeight="1" x14ac:dyDescent="0.25"/>
    <row r="3507" ht="22.15" customHeight="1" x14ac:dyDescent="0.25"/>
    <row r="3508" ht="22.15" customHeight="1" x14ac:dyDescent="0.25"/>
    <row r="3509" ht="22.15" customHeight="1" x14ac:dyDescent="0.25"/>
    <row r="3510" ht="22.15" customHeight="1" x14ac:dyDescent="0.25"/>
    <row r="3511" ht="22.15" customHeight="1" x14ac:dyDescent="0.25"/>
    <row r="3512" ht="22.15" customHeight="1" x14ac:dyDescent="0.25"/>
    <row r="3513" ht="22.15" customHeight="1" x14ac:dyDescent="0.25"/>
    <row r="3514" ht="22.15" customHeight="1" x14ac:dyDescent="0.25"/>
    <row r="3515" ht="22.15" customHeight="1" x14ac:dyDescent="0.25"/>
    <row r="3516" ht="22.15" customHeight="1" x14ac:dyDescent="0.25"/>
    <row r="3517" ht="22.15" customHeight="1" x14ac:dyDescent="0.25"/>
    <row r="3518" ht="22.15" customHeight="1" x14ac:dyDescent="0.25"/>
    <row r="3519" ht="22.15" customHeight="1" x14ac:dyDescent="0.25"/>
    <row r="3520" ht="22.15" customHeight="1" x14ac:dyDescent="0.25"/>
    <row r="3521" ht="22.15" customHeight="1" x14ac:dyDescent="0.25"/>
    <row r="3522" ht="22.15" customHeight="1" x14ac:dyDescent="0.25"/>
    <row r="3523" ht="22.15" customHeight="1" x14ac:dyDescent="0.25"/>
    <row r="3524" ht="22.15" customHeight="1" x14ac:dyDescent="0.25"/>
    <row r="3525" ht="22.15" customHeight="1" x14ac:dyDescent="0.25"/>
    <row r="3526" ht="22.15" customHeight="1" x14ac:dyDescent="0.25"/>
    <row r="3527" ht="22.15" customHeight="1" x14ac:dyDescent="0.25"/>
    <row r="3528" ht="22.15" customHeight="1" x14ac:dyDescent="0.25"/>
    <row r="3529" ht="22.15" customHeight="1" x14ac:dyDescent="0.25"/>
    <row r="3530" ht="22.15" customHeight="1" x14ac:dyDescent="0.25"/>
    <row r="3531" ht="22.15" customHeight="1" x14ac:dyDescent="0.25"/>
    <row r="3532" ht="22.15" customHeight="1" x14ac:dyDescent="0.25"/>
    <row r="3533" ht="22.15" customHeight="1" x14ac:dyDescent="0.25"/>
    <row r="3534" ht="22.15" customHeight="1" x14ac:dyDescent="0.25"/>
    <row r="3535" ht="22.15" customHeight="1" x14ac:dyDescent="0.25"/>
    <row r="3536" ht="22.15" customHeight="1" x14ac:dyDescent="0.25"/>
    <row r="3537" ht="22.15" customHeight="1" x14ac:dyDescent="0.25"/>
    <row r="3538" ht="22.15" customHeight="1" x14ac:dyDescent="0.25"/>
    <row r="3539" ht="22.15" customHeight="1" x14ac:dyDescent="0.25"/>
    <row r="3540" ht="22.15" customHeight="1" x14ac:dyDescent="0.25"/>
    <row r="3541" ht="22.15" customHeight="1" x14ac:dyDescent="0.25"/>
    <row r="3542" ht="22.15" customHeight="1" x14ac:dyDescent="0.25"/>
    <row r="3543" ht="22.15" customHeight="1" x14ac:dyDescent="0.25"/>
    <row r="3544" ht="22.15" customHeight="1" x14ac:dyDescent="0.25"/>
    <row r="3545" ht="22.15" customHeight="1" x14ac:dyDescent="0.25"/>
    <row r="3546" ht="22.15" customHeight="1" x14ac:dyDescent="0.25"/>
    <row r="3547" ht="22.15" customHeight="1" x14ac:dyDescent="0.25"/>
    <row r="3548" ht="22.15" customHeight="1" x14ac:dyDescent="0.25"/>
    <row r="3549" ht="22.15" customHeight="1" x14ac:dyDescent="0.25"/>
    <row r="3550" ht="22.15" customHeight="1" x14ac:dyDescent="0.25"/>
    <row r="3551" ht="22.15" customHeight="1" x14ac:dyDescent="0.25"/>
    <row r="3552" ht="22.15" customHeight="1" x14ac:dyDescent="0.25"/>
    <row r="3553" ht="22.15" customHeight="1" x14ac:dyDescent="0.25"/>
    <row r="3554" ht="22.15" customHeight="1" x14ac:dyDescent="0.25"/>
    <row r="3555" ht="22.15" customHeight="1" x14ac:dyDescent="0.25"/>
    <row r="3556" ht="22.15" customHeight="1" x14ac:dyDescent="0.25"/>
    <row r="3557" ht="22.15" customHeight="1" x14ac:dyDescent="0.25"/>
    <row r="3558" ht="22.15" customHeight="1" x14ac:dyDescent="0.25"/>
    <row r="3559" ht="22.15" customHeight="1" x14ac:dyDescent="0.25"/>
    <row r="3560" ht="22.15" customHeight="1" x14ac:dyDescent="0.25"/>
    <row r="3561" ht="22.15" customHeight="1" x14ac:dyDescent="0.25"/>
    <row r="3562" ht="22.15" customHeight="1" x14ac:dyDescent="0.25"/>
    <row r="3563" ht="22.15" customHeight="1" x14ac:dyDescent="0.25"/>
    <row r="3564" ht="22.15" customHeight="1" x14ac:dyDescent="0.25"/>
    <row r="3565" ht="22.15" customHeight="1" x14ac:dyDescent="0.25"/>
    <row r="3566" ht="22.15" customHeight="1" x14ac:dyDescent="0.25"/>
    <row r="3567" ht="22.15" customHeight="1" x14ac:dyDescent="0.25"/>
    <row r="3568" ht="22.15" customHeight="1" x14ac:dyDescent="0.25"/>
    <row r="3569" ht="22.15" customHeight="1" x14ac:dyDescent="0.25"/>
    <row r="3570" ht="22.15" customHeight="1" x14ac:dyDescent="0.25"/>
    <row r="3571" ht="22.15" customHeight="1" x14ac:dyDescent="0.25"/>
    <row r="3572" ht="22.15" customHeight="1" x14ac:dyDescent="0.25"/>
    <row r="3573" ht="22.15" customHeight="1" x14ac:dyDescent="0.25"/>
    <row r="3574" ht="22.15" customHeight="1" x14ac:dyDescent="0.25"/>
    <row r="3575" ht="22.15" customHeight="1" x14ac:dyDescent="0.25"/>
    <row r="3576" ht="22.15" customHeight="1" x14ac:dyDescent="0.25"/>
    <row r="3577" ht="22.15" customHeight="1" x14ac:dyDescent="0.25"/>
    <row r="3578" ht="22.15" customHeight="1" x14ac:dyDescent="0.25"/>
    <row r="3579" ht="22.15" customHeight="1" x14ac:dyDescent="0.25"/>
    <row r="3580" ht="22.15" customHeight="1" x14ac:dyDescent="0.25"/>
    <row r="3581" ht="22.15" customHeight="1" x14ac:dyDescent="0.25"/>
    <row r="3582" ht="22.15" customHeight="1" x14ac:dyDescent="0.25"/>
    <row r="3583" ht="22.15" customHeight="1" x14ac:dyDescent="0.25"/>
    <row r="3584" ht="22.15" customHeight="1" x14ac:dyDescent="0.25"/>
    <row r="3585" ht="22.15" customHeight="1" x14ac:dyDescent="0.25"/>
    <row r="3586" ht="22.15" customHeight="1" x14ac:dyDescent="0.25"/>
    <row r="3587" ht="22.15" customHeight="1" x14ac:dyDescent="0.25"/>
    <row r="3588" ht="22.15" customHeight="1" x14ac:dyDescent="0.25"/>
    <row r="3589" ht="22.15" customHeight="1" x14ac:dyDescent="0.25"/>
    <row r="3590" ht="22.15" customHeight="1" x14ac:dyDescent="0.25"/>
    <row r="3591" ht="22.15" customHeight="1" x14ac:dyDescent="0.25"/>
    <row r="3592" ht="22.15" customHeight="1" x14ac:dyDescent="0.25"/>
    <row r="3593" ht="22.15" customHeight="1" x14ac:dyDescent="0.25"/>
    <row r="3594" ht="22.15" customHeight="1" x14ac:dyDescent="0.25"/>
    <row r="3595" ht="22.15" customHeight="1" x14ac:dyDescent="0.25"/>
    <row r="3596" ht="22.15" customHeight="1" x14ac:dyDescent="0.25"/>
    <row r="3597" ht="22.15" customHeight="1" x14ac:dyDescent="0.25"/>
    <row r="3598" ht="22.15" customHeight="1" x14ac:dyDescent="0.25"/>
    <row r="3599" ht="22.15" customHeight="1" x14ac:dyDescent="0.25"/>
    <row r="3600" ht="22.15" customHeight="1" x14ac:dyDescent="0.25"/>
    <row r="3601" ht="22.15" customHeight="1" x14ac:dyDescent="0.25"/>
    <row r="3602" ht="22.15" customHeight="1" x14ac:dyDescent="0.25"/>
    <row r="3603" ht="22.15" customHeight="1" x14ac:dyDescent="0.25"/>
    <row r="3604" ht="22.15" customHeight="1" x14ac:dyDescent="0.25"/>
    <row r="3605" ht="22.15" customHeight="1" x14ac:dyDescent="0.25"/>
    <row r="3606" ht="22.15" customHeight="1" x14ac:dyDescent="0.25"/>
    <row r="3607" ht="22.15" customHeight="1" x14ac:dyDescent="0.25"/>
    <row r="3608" ht="22.15" customHeight="1" x14ac:dyDescent="0.25"/>
    <row r="3609" ht="22.15" customHeight="1" x14ac:dyDescent="0.25"/>
    <row r="3610" ht="22.15" customHeight="1" x14ac:dyDescent="0.25"/>
    <row r="3611" ht="22.15" customHeight="1" x14ac:dyDescent="0.25"/>
    <row r="3612" ht="22.15" customHeight="1" x14ac:dyDescent="0.25"/>
    <row r="3613" ht="22.15" customHeight="1" x14ac:dyDescent="0.25"/>
    <row r="3614" ht="22.15" customHeight="1" x14ac:dyDescent="0.25"/>
    <row r="3615" ht="22.15" customHeight="1" x14ac:dyDescent="0.25"/>
    <row r="3616" ht="22.15" customHeight="1" x14ac:dyDescent="0.25"/>
    <row r="3617" ht="22.15" customHeight="1" x14ac:dyDescent="0.25"/>
    <row r="3618" ht="22.15" customHeight="1" x14ac:dyDescent="0.25"/>
    <row r="3619" ht="22.15" customHeight="1" x14ac:dyDescent="0.25"/>
    <row r="3620" ht="22.15" customHeight="1" x14ac:dyDescent="0.25"/>
    <row r="3621" ht="22.15" customHeight="1" x14ac:dyDescent="0.25"/>
    <row r="3622" ht="22.15" customHeight="1" x14ac:dyDescent="0.25"/>
    <row r="3623" ht="22.15" customHeight="1" x14ac:dyDescent="0.25"/>
    <row r="3624" ht="22.15" customHeight="1" x14ac:dyDescent="0.25"/>
    <row r="3625" ht="22.15" customHeight="1" x14ac:dyDescent="0.25"/>
    <row r="3626" ht="22.15" customHeight="1" x14ac:dyDescent="0.25"/>
    <row r="3627" ht="22.15" customHeight="1" x14ac:dyDescent="0.25"/>
    <row r="3628" ht="22.15" customHeight="1" x14ac:dyDescent="0.25"/>
    <row r="3629" ht="22.15" customHeight="1" x14ac:dyDescent="0.25"/>
    <row r="3630" ht="22.15" customHeight="1" x14ac:dyDescent="0.25"/>
    <row r="3631" ht="22.15" customHeight="1" x14ac:dyDescent="0.25"/>
    <row r="3632" ht="22.15" customHeight="1" x14ac:dyDescent="0.25"/>
    <row r="3633" ht="22.15" customHeight="1" x14ac:dyDescent="0.25"/>
    <row r="3634" ht="22.15" customHeight="1" x14ac:dyDescent="0.25"/>
    <row r="3635" ht="22.15" customHeight="1" x14ac:dyDescent="0.25"/>
    <row r="3636" ht="22.15" customHeight="1" x14ac:dyDescent="0.25"/>
    <row r="3637" ht="22.15" customHeight="1" x14ac:dyDescent="0.25"/>
    <row r="3638" ht="22.15" customHeight="1" x14ac:dyDescent="0.25"/>
    <row r="3639" ht="22.15" customHeight="1" x14ac:dyDescent="0.25"/>
    <row r="3640" ht="22.15" customHeight="1" x14ac:dyDescent="0.25"/>
    <row r="3641" ht="22.15" customHeight="1" x14ac:dyDescent="0.25"/>
    <row r="3642" ht="22.15" customHeight="1" x14ac:dyDescent="0.25"/>
    <row r="3643" ht="22.15" customHeight="1" x14ac:dyDescent="0.25"/>
    <row r="3644" ht="22.15" customHeight="1" x14ac:dyDescent="0.25"/>
    <row r="3645" ht="22.15" customHeight="1" x14ac:dyDescent="0.25"/>
    <row r="3646" ht="22.15" customHeight="1" x14ac:dyDescent="0.25"/>
    <row r="3647" ht="22.15" customHeight="1" x14ac:dyDescent="0.25"/>
    <row r="3648" ht="22.15" customHeight="1" x14ac:dyDescent="0.25"/>
    <row r="3649" ht="22.15" customHeight="1" x14ac:dyDescent="0.25"/>
    <row r="3650" ht="22.15" customHeight="1" x14ac:dyDescent="0.25"/>
    <row r="3651" ht="22.15" customHeight="1" x14ac:dyDescent="0.25"/>
    <row r="3652" ht="22.15" customHeight="1" x14ac:dyDescent="0.25"/>
    <row r="3653" ht="22.15" customHeight="1" x14ac:dyDescent="0.25"/>
    <row r="3654" ht="22.15" customHeight="1" x14ac:dyDescent="0.25"/>
    <row r="3655" ht="22.15" customHeight="1" x14ac:dyDescent="0.25"/>
    <row r="3656" ht="22.15" customHeight="1" x14ac:dyDescent="0.25"/>
    <row r="3657" ht="22.15" customHeight="1" x14ac:dyDescent="0.25"/>
    <row r="3658" ht="22.15" customHeight="1" x14ac:dyDescent="0.25"/>
    <row r="3659" ht="22.15" customHeight="1" x14ac:dyDescent="0.25"/>
    <row r="3660" ht="22.15" customHeight="1" x14ac:dyDescent="0.25"/>
    <row r="3661" ht="22.15" customHeight="1" x14ac:dyDescent="0.25"/>
    <row r="3662" ht="22.15" customHeight="1" x14ac:dyDescent="0.25"/>
    <row r="3663" ht="22.15" customHeight="1" x14ac:dyDescent="0.25"/>
    <row r="3664" ht="22.15" customHeight="1" x14ac:dyDescent="0.25"/>
    <row r="3665" ht="22.15" customHeight="1" x14ac:dyDescent="0.25"/>
    <row r="3666" ht="22.15" customHeight="1" x14ac:dyDescent="0.25"/>
    <row r="3667" ht="22.15" customHeight="1" x14ac:dyDescent="0.25"/>
    <row r="3668" ht="22.15" customHeight="1" x14ac:dyDescent="0.25"/>
    <row r="3669" ht="22.15" customHeight="1" x14ac:dyDescent="0.25"/>
    <row r="3670" ht="22.15" customHeight="1" x14ac:dyDescent="0.25"/>
    <row r="3671" ht="22.15" customHeight="1" x14ac:dyDescent="0.25"/>
    <row r="3672" ht="22.15" customHeight="1" x14ac:dyDescent="0.25"/>
    <row r="3673" ht="22.15" customHeight="1" x14ac:dyDescent="0.25"/>
    <row r="3674" ht="22.15" customHeight="1" x14ac:dyDescent="0.25"/>
    <row r="3675" ht="22.15" customHeight="1" x14ac:dyDescent="0.25"/>
    <row r="3676" ht="22.15" customHeight="1" x14ac:dyDescent="0.25"/>
    <row r="3677" ht="22.15" customHeight="1" x14ac:dyDescent="0.25"/>
    <row r="3678" ht="22.15" customHeight="1" x14ac:dyDescent="0.25"/>
    <row r="3679" ht="22.15" customHeight="1" x14ac:dyDescent="0.25"/>
    <row r="3680" ht="22.15" customHeight="1" x14ac:dyDescent="0.25"/>
    <row r="3681" ht="22.15" customHeight="1" x14ac:dyDescent="0.25"/>
    <row r="3682" ht="22.15" customHeight="1" x14ac:dyDescent="0.25"/>
    <row r="3683" ht="22.15" customHeight="1" x14ac:dyDescent="0.25"/>
    <row r="3684" ht="22.15" customHeight="1" x14ac:dyDescent="0.25"/>
    <row r="3685" ht="22.15" customHeight="1" x14ac:dyDescent="0.25"/>
    <row r="3686" ht="22.15" customHeight="1" x14ac:dyDescent="0.25"/>
    <row r="3687" ht="22.15" customHeight="1" x14ac:dyDescent="0.25"/>
    <row r="3688" ht="22.15" customHeight="1" x14ac:dyDescent="0.25"/>
    <row r="3689" ht="22.15" customHeight="1" x14ac:dyDescent="0.25"/>
    <row r="3690" ht="22.15" customHeight="1" x14ac:dyDescent="0.25"/>
    <row r="3691" ht="22.15" customHeight="1" x14ac:dyDescent="0.25"/>
    <row r="3692" ht="22.15" customHeight="1" x14ac:dyDescent="0.25"/>
    <row r="3693" ht="22.15" customHeight="1" x14ac:dyDescent="0.25"/>
    <row r="3694" ht="22.15" customHeight="1" x14ac:dyDescent="0.25"/>
    <row r="3695" ht="22.15" customHeight="1" x14ac:dyDescent="0.25"/>
    <row r="3696" ht="22.15" customHeight="1" x14ac:dyDescent="0.25"/>
    <row r="3697" ht="22.15" customHeight="1" x14ac:dyDescent="0.25"/>
    <row r="3698" ht="22.15" customHeight="1" x14ac:dyDescent="0.25"/>
    <row r="3699" ht="22.15" customHeight="1" x14ac:dyDescent="0.25"/>
    <row r="3700" ht="22.15" customHeight="1" x14ac:dyDescent="0.25"/>
    <row r="3701" ht="22.15" customHeight="1" x14ac:dyDescent="0.25"/>
    <row r="3702" ht="22.15" customHeight="1" x14ac:dyDescent="0.25"/>
    <row r="3703" ht="22.15" customHeight="1" x14ac:dyDescent="0.25"/>
    <row r="3704" ht="22.15" customHeight="1" x14ac:dyDescent="0.25"/>
    <row r="3705" ht="22.15" customHeight="1" x14ac:dyDescent="0.25"/>
    <row r="3706" ht="22.15" customHeight="1" x14ac:dyDescent="0.25"/>
    <row r="3707" ht="22.15" customHeight="1" x14ac:dyDescent="0.25"/>
    <row r="3708" ht="22.15" customHeight="1" x14ac:dyDescent="0.25"/>
    <row r="3709" ht="22.15" customHeight="1" x14ac:dyDescent="0.25"/>
    <row r="3710" ht="22.15" customHeight="1" x14ac:dyDescent="0.25"/>
    <row r="3711" ht="22.15" customHeight="1" x14ac:dyDescent="0.25"/>
    <row r="3712" ht="22.15" customHeight="1" x14ac:dyDescent="0.25"/>
    <row r="3713" ht="22.15" customHeight="1" x14ac:dyDescent="0.25"/>
    <row r="3714" ht="22.15" customHeight="1" x14ac:dyDescent="0.25"/>
    <row r="3715" ht="22.15" customHeight="1" x14ac:dyDescent="0.25"/>
    <row r="3716" ht="22.15" customHeight="1" x14ac:dyDescent="0.25"/>
    <row r="3717" ht="22.15" customHeight="1" x14ac:dyDescent="0.25"/>
    <row r="3718" ht="22.15" customHeight="1" x14ac:dyDescent="0.25"/>
    <row r="3719" ht="22.15" customHeight="1" x14ac:dyDescent="0.25"/>
    <row r="3720" ht="22.15" customHeight="1" x14ac:dyDescent="0.25"/>
    <row r="3721" ht="22.15" customHeight="1" x14ac:dyDescent="0.25"/>
    <row r="3722" ht="22.15" customHeight="1" x14ac:dyDescent="0.25"/>
    <row r="3723" ht="22.15" customHeight="1" x14ac:dyDescent="0.25"/>
    <row r="3724" ht="22.15" customHeight="1" x14ac:dyDescent="0.25"/>
    <row r="3725" ht="22.15" customHeight="1" x14ac:dyDescent="0.25"/>
    <row r="3726" ht="22.15" customHeight="1" x14ac:dyDescent="0.25"/>
    <row r="3727" ht="22.15" customHeight="1" x14ac:dyDescent="0.25"/>
    <row r="3728" ht="22.15" customHeight="1" x14ac:dyDescent="0.25"/>
    <row r="3729" ht="22.15" customHeight="1" x14ac:dyDescent="0.25"/>
    <row r="3730" ht="22.15" customHeight="1" x14ac:dyDescent="0.25"/>
    <row r="3731" ht="22.15" customHeight="1" x14ac:dyDescent="0.25"/>
    <row r="3732" ht="22.15" customHeight="1" x14ac:dyDescent="0.25"/>
    <row r="3733" ht="22.15" customHeight="1" x14ac:dyDescent="0.25"/>
    <row r="3734" ht="22.15" customHeight="1" x14ac:dyDescent="0.25"/>
    <row r="3735" ht="22.15" customHeight="1" x14ac:dyDescent="0.25"/>
    <row r="3736" ht="22.15" customHeight="1" x14ac:dyDescent="0.25"/>
    <row r="3737" ht="22.15" customHeight="1" x14ac:dyDescent="0.25"/>
    <row r="3738" ht="22.15" customHeight="1" x14ac:dyDescent="0.25"/>
    <row r="3739" ht="22.15" customHeight="1" x14ac:dyDescent="0.25"/>
    <row r="3740" ht="22.15" customHeight="1" x14ac:dyDescent="0.25"/>
    <row r="3741" ht="22.15" customHeight="1" x14ac:dyDescent="0.25"/>
    <row r="3742" ht="22.15" customHeight="1" x14ac:dyDescent="0.25"/>
    <row r="3743" ht="22.15" customHeight="1" x14ac:dyDescent="0.25"/>
    <row r="3744" ht="22.15" customHeight="1" x14ac:dyDescent="0.25"/>
    <row r="3745" ht="22.15" customHeight="1" x14ac:dyDescent="0.25"/>
    <row r="3746" ht="22.15" customHeight="1" x14ac:dyDescent="0.25"/>
    <row r="3747" ht="22.15" customHeight="1" x14ac:dyDescent="0.25"/>
    <row r="3748" ht="22.15" customHeight="1" x14ac:dyDescent="0.25"/>
    <row r="3749" ht="22.15" customHeight="1" x14ac:dyDescent="0.25"/>
    <row r="3750" ht="22.15" customHeight="1" x14ac:dyDescent="0.25"/>
    <row r="3751" ht="22.15" customHeight="1" x14ac:dyDescent="0.25"/>
    <row r="3752" ht="22.15" customHeight="1" x14ac:dyDescent="0.25"/>
    <row r="3753" ht="22.15" customHeight="1" x14ac:dyDescent="0.25"/>
    <row r="3754" ht="22.15" customHeight="1" x14ac:dyDescent="0.25"/>
    <row r="3755" ht="22.15" customHeight="1" x14ac:dyDescent="0.25"/>
    <row r="3756" ht="22.15" customHeight="1" x14ac:dyDescent="0.25"/>
    <row r="3757" ht="22.15" customHeight="1" x14ac:dyDescent="0.25"/>
    <row r="3758" ht="22.15" customHeight="1" x14ac:dyDescent="0.25"/>
    <row r="3759" ht="22.15" customHeight="1" x14ac:dyDescent="0.25"/>
    <row r="3760" ht="22.15" customHeight="1" x14ac:dyDescent="0.25"/>
    <row r="3761" ht="22.15" customHeight="1" x14ac:dyDescent="0.25"/>
    <row r="3762" ht="22.15" customHeight="1" x14ac:dyDescent="0.25"/>
    <row r="3763" ht="22.15" customHeight="1" x14ac:dyDescent="0.25"/>
    <row r="3764" ht="22.15" customHeight="1" x14ac:dyDescent="0.25"/>
    <row r="3765" ht="22.15" customHeight="1" x14ac:dyDescent="0.25"/>
    <row r="3766" ht="22.15" customHeight="1" x14ac:dyDescent="0.25"/>
    <row r="3767" ht="22.15" customHeight="1" x14ac:dyDescent="0.25"/>
    <row r="3768" ht="22.15" customHeight="1" x14ac:dyDescent="0.25"/>
    <row r="3769" ht="22.15" customHeight="1" x14ac:dyDescent="0.25"/>
    <row r="3770" ht="22.15" customHeight="1" x14ac:dyDescent="0.25"/>
    <row r="3771" ht="22.15" customHeight="1" x14ac:dyDescent="0.25"/>
    <row r="3772" ht="22.15" customHeight="1" x14ac:dyDescent="0.25"/>
    <row r="3773" ht="22.15" customHeight="1" x14ac:dyDescent="0.25"/>
    <row r="3774" ht="22.15" customHeight="1" x14ac:dyDescent="0.25"/>
    <row r="3775" ht="22.15" customHeight="1" x14ac:dyDescent="0.25"/>
    <row r="3776" ht="22.15" customHeight="1" x14ac:dyDescent="0.25"/>
    <row r="3777" ht="22.15" customHeight="1" x14ac:dyDescent="0.25"/>
    <row r="3778" ht="22.15" customHeight="1" x14ac:dyDescent="0.25"/>
    <row r="3779" ht="22.15" customHeight="1" x14ac:dyDescent="0.25"/>
    <row r="3780" ht="22.15" customHeight="1" x14ac:dyDescent="0.25"/>
    <row r="3781" ht="22.15" customHeight="1" x14ac:dyDescent="0.25"/>
    <row r="3782" ht="22.15" customHeight="1" x14ac:dyDescent="0.25"/>
    <row r="3783" ht="22.15" customHeight="1" x14ac:dyDescent="0.25"/>
    <row r="3784" ht="22.15" customHeight="1" x14ac:dyDescent="0.25"/>
    <row r="3785" ht="22.15" customHeight="1" x14ac:dyDescent="0.25"/>
    <row r="3786" ht="22.15" customHeight="1" x14ac:dyDescent="0.25"/>
    <row r="3787" ht="22.15" customHeight="1" x14ac:dyDescent="0.25"/>
    <row r="3788" ht="22.15" customHeight="1" x14ac:dyDescent="0.25"/>
    <row r="3789" ht="22.15" customHeight="1" x14ac:dyDescent="0.25"/>
    <row r="3790" ht="22.15" customHeight="1" x14ac:dyDescent="0.25"/>
    <row r="3791" ht="22.15" customHeight="1" x14ac:dyDescent="0.25"/>
    <row r="3792" ht="22.15" customHeight="1" x14ac:dyDescent="0.25"/>
    <row r="3793" ht="22.15" customHeight="1" x14ac:dyDescent="0.25"/>
    <row r="3794" ht="22.15" customHeight="1" x14ac:dyDescent="0.25"/>
    <row r="3795" ht="22.15" customHeight="1" x14ac:dyDescent="0.25"/>
    <row r="3796" ht="22.15" customHeight="1" x14ac:dyDescent="0.25"/>
    <row r="3797" ht="22.15" customHeight="1" x14ac:dyDescent="0.25"/>
    <row r="3798" ht="22.15" customHeight="1" x14ac:dyDescent="0.25"/>
    <row r="3799" ht="22.15" customHeight="1" x14ac:dyDescent="0.25"/>
    <row r="3800" ht="22.15" customHeight="1" x14ac:dyDescent="0.25"/>
    <row r="3801" ht="22.15" customHeight="1" x14ac:dyDescent="0.25"/>
    <row r="3802" ht="22.15" customHeight="1" x14ac:dyDescent="0.25"/>
    <row r="3803" ht="22.15" customHeight="1" x14ac:dyDescent="0.25"/>
    <row r="3804" ht="22.15" customHeight="1" x14ac:dyDescent="0.25"/>
    <row r="3805" ht="22.15" customHeight="1" x14ac:dyDescent="0.25"/>
    <row r="3806" ht="22.15" customHeight="1" x14ac:dyDescent="0.25"/>
    <row r="3807" ht="22.15" customHeight="1" x14ac:dyDescent="0.25"/>
    <row r="3808" ht="22.15" customHeight="1" x14ac:dyDescent="0.25"/>
    <row r="3809" ht="22.15" customHeight="1" x14ac:dyDescent="0.25"/>
    <row r="3810" ht="22.15" customHeight="1" x14ac:dyDescent="0.25"/>
    <row r="3811" ht="22.15" customHeight="1" x14ac:dyDescent="0.25"/>
    <row r="3812" ht="22.15" customHeight="1" x14ac:dyDescent="0.25"/>
    <row r="3813" ht="22.15" customHeight="1" x14ac:dyDescent="0.25"/>
    <row r="3814" ht="22.15" customHeight="1" x14ac:dyDescent="0.25"/>
    <row r="3815" ht="22.15" customHeight="1" x14ac:dyDescent="0.25"/>
    <row r="3816" ht="22.15" customHeight="1" x14ac:dyDescent="0.25"/>
    <row r="3817" ht="22.15" customHeight="1" x14ac:dyDescent="0.25"/>
    <row r="3818" ht="22.15" customHeight="1" x14ac:dyDescent="0.25"/>
    <row r="3819" ht="22.15" customHeight="1" x14ac:dyDescent="0.25"/>
    <row r="3820" ht="22.15" customHeight="1" x14ac:dyDescent="0.25"/>
    <row r="3821" ht="22.15" customHeight="1" x14ac:dyDescent="0.25"/>
    <row r="3822" ht="22.15" customHeight="1" x14ac:dyDescent="0.25"/>
    <row r="3823" ht="22.15" customHeight="1" x14ac:dyDescent="0.25"/>
    <row r="3824" ht="22.15" customHeight="1" x14ac:dyDescent="0.25"/>
    <row r="3825" ht="22.15" customHeight="1" x14ac:dyDescent="0.25"/>
    <row r="3826" ht="22.15" customHeight="1" x14ac:dyDescent="0.25"/>
    <row r="3827" ht="22.15" customHeight="1" x14ac:dyDescent="0.25"/>
    <row r="3828" ht="22.15" customHeight="1" x14ac:dyDescent="0.25"/>
    <row r="3829" ht="22.15" customHeight="1" x14ac:dyDescent="0.25"/>
    <row r="3830" ht="22.15" customHeight="1" x14ac:dyDescent="0.25"/>
    <row r="3831" ht="22.15" customHeight="1" x14ac:dyDescent="0.25"/>
    <row r="3832" ht="22.15" customHeight="1" x14ac:dyDescent="0.25"/>
    <row r="3833" ht="22.15" customHeight="1" x14ac:dyDescent="0.25"/>
    <row r="3834" ht="22.15" customHeight="1" x14ac:dyDescent="0.25"/>
    <row r="3835" ht="22.15" customHeight="1" x14ac:dyDescent="0.25"/>
    <row r="3836" ht="22.15" customHeight="1" x14ac:dyDescent="0.25"/>
  </sheetData>
  <mergeCells count="2">
    <mergeCell ref="T3:U3"/>
    <mergeCell ref="T4:U4"/>
  </mergeCells>
  <conditionalFormatting sqref="AA1:AA65536">
    <cfRule type="cellIs" dxfId="4" priority="1" stopIfTrue="1" operator="lessThan">
      <formula>0</formula>
    </cfRule>
  </conditionalFormatting>
  <conditionalFormatting sqref="L1:L65536">
    <cfRule type="cellIs" dxfId="3" priority="2" stopIfTrue="1" operator="equal">
      <formula>"TOP"</formula>
    </cfRule>
    <cfRule type="cellIs" dxfId="2" priority="3" stopIfTrue="1" operator="equal">
      <formula>"NEW"</formula>
    </cfRule>
    <cfRule type="cellIs" dxfId="1" priority="4" stopIfTrue="1" operator="equal">
      <formula>"SEZÓNA"</formula>
    </cfRule>
  </conditionalFormatting>
  <conditionalFormatting sqref="N5">
    <cfRule type="cellIs" dxfId="0" priority="5" stopIfTrue="1" operator="greaterThan">
      <formula>40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AC5B52AE-D70B-4C58-A8C1-18D4EC581F38}">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35FA3CDB-40F1-497E-A9B2-20D588E121A0}">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04.02 - 10.02</vt:lpstr>
      <vt:lpstr>COL_STAV_SKLADU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2026-01-22T22:31:14Z</dcterms:created>
  <dcterms:modified xsi:type="dcterms:W3CDTF">2026-01-22T22:31:16Z</dcterms:modified>
</cp:coreProperties>
</file>
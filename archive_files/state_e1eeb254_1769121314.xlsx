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AMDA\LetakMaster\archive_files\"/>
    </mc:Choice>
  </mc:AlternateContent>
  <xr:revisionPtr revIDLastSave="0" documentId="8_{0C1274A3-D480-4AD8-A4E6-3624A06D1296}" xr6:coauthVersionLast="47" xr6:coauthVersionMax="47" xr10:uidLastSave="{00000000-0000-0000-0000-000000000000}"/>
  <bookViews>
    <workbookView xWindow="2340" yWindow="2790" windowWidth="43200" windowHeight="23655" xr2:uid="{D1544D34-7C83-4F82-9D5A-DEEEE64B8C8E}"/>
  </bookViews>
  <sheets>
    <sheet name="04.02 - 10.02" sheetId="2" r:id="rId1"/>
  </sheets>
  <externalReferences>
    <externalReference r:id="rId2"/>
  </externalReferences>
  <definedNames>
    <definedName name="_Excel_BuiltIn__FilterDatabase_1_1_1 1">#REF!</definedName>
    <definedName name="_Excel_BuiltIn__FilterDatabase_1_1_1_1_1 1">#REF!</definedName>
    <definedName name="_Excel_BuiltIn__FilterDatabase_2_1 1">#REF!</definedName>
    <definedName name="_Excel_BuiltIn__FilterDatabase_3_1_1 1">#REF!</definedName>
    <definedName name="_Excel_BuiltIn__FilterDatabase_3_1_1_1 1">#REF!</definedName>
    <definedName name="_Excel_BuiltIn__FilterDatabase_4 1">#REF!</definedName>
    <definedName name="_Excel_BuiltIn__FilterDatabase_5 1">#REF!</definedName>
    <definedName name="_Excel_BuiltIn__FilterDatabase_5_1 1">#REF!</definedName>
    <definedName name="_Excel_BuiltIn__FilterDatabase_6 1">#REF!</definedName>
    <definedName name="_xlnm._FilterDatabase" localSheetId="0" hidden="1">'04.02 - 10.02'!$6:$6</definedName>
    <definedName name="COL_STAV_SKLADU">'04.02 - 10.02'!$O$6</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2">#REF!</definedName>
    <definedName name="Excel_BuiltIn__FilterDatabase_2_1">#REF!</definedName>
    <definedName name="Excel_BuiltIn__FilterDatabase_2_1_1">#REF!</definedName>
    <definedName name="Excel_BuiltIn__FilterDatabase_3_1">#REF!</definedName>
    <definedName name="Excel_BuiltIn__FilterDatabase_3_1_1">#REF!</definedName>
    <definedName name="Excel_BuiltIn__FilterDatabase_3_1_1_1">#REF!</definedName>
    <definedName name="Excel_BuiltIn__FilterDatabase_3_1_1_1_1">#REF!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1_1_1_1">#REF!</definedName>
    <definedName name="Excel_BuiltIn__FilterDatabase_5">#REF!</definedName>
    <definedName name="Excel_BuiltIn__FilterDatabase_5_1">#REF!</definedName>
    <definedName name="Excel_BuiltIn__FilterDatabase_5_1_1">#REF!</definedName>
    <definedName name="Excel_BuiltIn__FilterDatabase_5_1_1_1">#REF!</definedName>
    <definedName name="Excel_BuiltIn__FilterDatabase_6">#REF!</definedName>
    <definedName name="Excel_BuiltIn__FilterDatabase_6_1">#REF!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FilterDatabase">#REF!</definedName>
    <definedName name="Excel_BuiltIn_FilterDatabase1">#REF!</definedName>
    <definedName name="Excel_BuiltIn_FilterDatase_3">#REF!</definedName>
    <definedName name="excl01">[1]data!$A$1:$A$94</definedName>
    <definedName name="exclusive01">[1]data!$A$1:$A$93</definedName>
    <definedName name="KUR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23" i="2" l="1"/>
  <c r="AA1723" i="2"/>
  <c r="Y1723" i="2"/>
  <c r="AB1722" i="2"/>
  <c r="AA1722" i="2"/>
  <c r="Y1722" i="2"/>
  <c r="AB1721" i="2"/>
  <c r="AA1721" i="2"/>
  <c r="Y1721" i="2"/>
  <c r="AB1720" i="2"/>
  <c r="AA1720" i="2"/>
  <c r="Y1720" i="2"/>
  <c r="AB1719" i="2"/>
  <c r="AA1719" i="2"/>
  <c r="Y1719" i="2"/>
  <c r="AB1718" i="2"/>
  <c r="AA1718" i="2"/>
  <c r="Y1718" i="2"/>
  <c r="AB1717" i="2"/>
  <c r="AA1717" i="2"/>
  <c r="Y1717" i="2"/>
  <c r="AB1716" i="2"/>
  <c r="AA1716" i="2"/>
  <c r="Y1716" i="2"/>
  <c r="AB1715" i="2"/>
  <c r="AA1715" i="2"/>
  <c r="Y1715" i="2"/>
  <c r="AB1714" i="2"/>
  <c r="AA1714" i="2"/>
  <c r="Y1714" i="2"/>
  <c r="AB1713" i="2"/>
  <c r="AA1713" i="2"/>
  <c r="Y1713" i="2"/>
  <c r="AB1712" i="2"/>
  <c r="AA1712" i="2"/>
  <c r="Y1712" i="2"/>
  <c r="AB1711" i="2"/>
  <c r="AA1711" i="2"/>
  <c r="Y1711" i="2"/>
  <c r="AB1710" i="2"/>
  <c r="AA1710" i="2"/>
  <c r="Y1710" i="2"/>
  <c r="AB1709" i="2"/>
  <c r="AA1709" i="2"/>
  <c r="Y1709" i="2"/>
  <c r="AB1708" i="2"/>
  <c r="AA1708" i="2"/>
  <c r="Y1708" i="2"/>
  <c r="AB1707" i="2"/>
  <c r="AA1707" i="2"/>
  <c r="Y1707" i="2"/>
  <c r="AB1706" i="2"/>
  <c r="AA1706" i="2"/>
  <c r="Y1706" i="2"/>
  <c r="AB1705" i="2"/>
  <c r="AA1705" i="2"/>
  <c r="Y1705" i="2"/>
  <c r="AB1704" i="2"/>
  <c r="AA1704" i="2"/>
  <c r="Y1704" i="2"/>
  <c r="AB1703" i="2"/>
  <c r="AA1703" i="2"/>
  <c r="Y1703" i="2"/>
  <c r="AB1702" i="2"/>
  <c r="AA1702" i="2"/>
  <c r="Y1702" i="2"/>
  <c r="AB1701" i="2"/>
  <c r="AA1701" i="2"/>
  <c r="Y1701" i="2"/>
  <c r="AB1700" i="2"/>
  <c r="AA1700" i="2"/>
  <c r="Y1700" i="2"/>
  <c r="AB1699" i="2"/>
  <c r="AA1699" i="2"/>
  <c r="Y1699" i="2"/>
  <c r="AB1698" i="2"/>
  <c r="AA1698" i="2"/>
  <c r="Y1698" i="2"/>
  <c r="AB1697" i="2"/>
  <c r="AA1697" i="2"/>
  <c r="Y1697" i="2"/>
  <c r="AB1696" i="2"/>
  <c r="AA1696" i="2"/>
  <c r="Y1696" i="2"/>
  <c r="AB1695" i="2"/>
  <c r="AA1695" i="2"/>
  <c r="Y1695" i="2"/>
  <c r="AB1694" i="2"/>
  <c r="AA1694" i="2"/>
  <c r="Y1694" i="2"/>
  <c r="AB1693" i="2"/>
  <c r="AA1693" i="2"/>
  <c r="Y1693" i="2"/>
  <c r="AB1692" i="2"/>
  <c r="AA1692" i="2"/>
  <c r="Y1692" i="2"/>
  <c r="AB1691" i="2"/>
  <c r="AA1691" i="2"/>
  <c r="Y1691" i="2"/>
  <c r="AB1690" i="2"/>
  <c r="AA1690" i="2"/>
  <c r="Y1690" i="2"/>
  <c r="AB1689" i="2"/>
  <c r="AA1689" i="2"/>
  <c r="Y1689" i="2"/>
  <c r="AB1688" i="2"/>
  <c r="AA1688" i="2"/>
  <c r="Y1688" i="2"/>
  <c r="AB1687" i="2"/>
  <c r="AA1687" i="2"/>
  <c r="Y1687" i="2"/>
  <c r="AB1686" i="2"/>
  <c r="AA1686" i="2"/>
  <c r="Y1686" i="2"/>
  <c r="AB1685" i="2"/>
  <c r="AA1685" i="2"/>
  <c r="Y1685" i="2"/>
  <c r="AB1684" i="2"/>
  <c r="AA1684" i="2"/>
  <c r="Y1684" i="2"/>
  <c r="AB1683" i="2"/>
  <c r="AA1683" i="2"/>
  <c r="Y1683" i="2"/>
  <c r="AB1682" i="2"/>
  <c r="AA1682" i="2"/>
  <c r="Y1682" i="2"/>
  <c r="AB1681" i="2"/>
  <c r="AA1681" i="2"/>
  <c r="Y1681" i="2"/>
  <c r="AB1680" i="2"/>
  <c r="AA1680" i="2"/>
  <c r="Y1680" i="2"/>
  <c r="AB1679" i="2"/>
  <c r="AA1679" i="2"/>
  <c r="Y1679" i="2"/>
  <c r="AB1678" i="2"/>
  <c r="AA1678" i="2"/>
  <c r="Y1678" i="2"/>
  <c r="AB1677" i="2"/>
  <c r="AA1677" i="2"/>
  <c r="Y1677" i="2"/>
  <c r="AB1676" i="2"/>
  <c r="AA1676" i="2"/>
  <c r="Y1676" i="2"/>
  <c r="AB1675" i="2"/>
  <c r="AA1675" i="2"/>
  <c r="Y1675" i="2"/>
  <c r="AB1674" i="2"/>
  <c r="AA1674" i="2"/>
  <c r="Y1674" i="2"/>
  <c r="AB1673" i="2"/>
  <c r="AA1673" i="2"/>
  <c r="Y1673" i="2"/>
  <c r="AB1672" i="2"/>
  <c r="AA1672" i="2"/>
  <c r="Y1672" i="2"/>
  <c r="AB1671" i="2"/>
  <c r="AA1671" i="2"/>
  <c r="Y1671" i="2"/>
  <c r="AB1670" i="2"/>
  <c r="AA1670" i="2"/>
  <c r="Y1670" i="2"/>
  <c r="AB1669" i="2"/>
  <c r="AA1669" i="2"/>
  <c r="Y1669" i="2"/>
  <c r="AB1668" i="2"/>
  <c r="AA1668" i="2"/>
  <c r="Y1668" i="2"/>
  <c r="AB1667" i="2"/>
  <c r="AA1667" i="2"/>
  <c r="Y1667" i="2"/>
  <c r="AB1666" i="2"/>
  <c r="AA1666" i="2"/>
  <c r="Y1666" i="2"/>
  <c r="AB1665" i="2"/>
  <c r="AA1665" i="2"/>
  <c r="Y1665" i="2"/>
  <c r="AB1664" i="2"/>
  <c r="AA1664" i="2"/>
  <c r="Y1664" i="2"/>
  <c r="AB1663" i="2"/>
  <c r="AA1663" i="2"/>
  <c r="Y1663" i="2"/>
  <c r="AB1662" i="2"/>
  <c r="AA1662" i="2"/>
  <c r="Y1662" i="2"/>
  <c r="AB1661" i="2"/>
  <c r="AA1661" i="2"/>
  <c r="Y1661" i="2"/>
  <c r="AB1660" i="2"/>
  <c r="AA1660" i="2"/>
  <c r="Y1660" i="2"/>
  <c r="AB1659" i="2"/>
  <c r="AA1659" i="2"/>
  <c r="Y1659" i="2"/>
  <c r="AB1658" i="2"/>
  <c r="AA1658" i="2"/>
  <c r="Y1658" i="2"/>
  <c r="AB1657" i="2"/>
  <c r="AA1657" i="2"/>
  <c r="Y1657" i="2"/>
  <c r="AB1656" i="2"/>
  <c r="AA1656" i="2"/>
  <c r="Y1656" i="2"/>
  <c r="AB1655" i="2"/>
  <c r="AA1655" i="2"/>
  <c r="Y1655" i="2"/>
  <c r="AB1654" i="2"/>
  <c r="AA1654" i="2"/>
  <c r="Y1654" i="2"/>
  <c r="AB1653" i="2"/>
  <c r="AA1653" i="2"/>
  <c r="Y1653" i="2"/>
  <c r="AB1652" i="2"/>
  <c r="AA1652" i="2"/>
  <c r="Y1652" i="2"/>
  <c r="AB1651" i="2"/>
  <c r="AA1651" i="2"/>
  <c r="Y1651" i="2"/>
  <c r="AB1650" i="2"/>
  <c r="AA1650" i="2"/>
  <c r="Y1650" i="2"/>
  <c r="AB1649" i="2"/>
  <c r="AA1649" i="2"/>
  <c r="Y1649" i="2"/>
  <c r="AB1648" i="2"/>
  <c r="AA1648" i="2"/>
  <c r="Y1648" i="2"/>
  <c r="AB1647" i="2"/>
  <c r="AA1647" i="2"/>
  <c r="Y1647" i="2"/>
  <c r="AB1646" i="2"/>
  <c r="AA1646" i="2"/>
  <c r="Y1646" i="2"/>
  <c r="AB1645" i="2"/>
  <c r="AA1645" i="2"/>
  <c r="Y1645" i="2"/>
  <c r="AB1644" i="2"/>
  <c r="AA1644" i="2"/>
  <c r="Y1644" i="2"/>
  <c r="AB1643" i="2"/>
  <c r="AA1643" i="2"/>
  <c r="Y1643" i="2"/>
  <c r="AB1642" i="2"/>
  <c r="AA1642" i="2"/>
  <c r="Y1642" i="2"/>
  <c r="AB1641" i="2"/>
  <c r="AA1641" i="2"/>
  <c r="Y1641" i="2"/>
  <c r="AB1640" i="2"/>
  <c r="AA1640" i="2"/>
  <c r="Y1640" i="2"/>
  <c r="AB1639" i="2"/>
  <c r="AA1639" i="2"/>
  <c r="Y1639" i="2"/>
  <c r="AB1638" i="2"/>
  <c r="AA1638" i="2"/>
  <c r="Y1638" i="2"/>
  <c r="AB1637" i="2"/>
  <c r="AA1637" i="2"/>
  <c r="Y1637" i="2"/>
  <c r="AB1636" i="2"/>
  <c r="AA1636" i="2"/>
  <c r="Y1636" i="2"/>
  <c r="AB1635" i="2"/>
  <c r="AA1635" i="2"/>
  <c r="Y1635" i="2"/>
  <c r="AB1634" i="2"/>
  <c r="AA1634" i="2"/>
  <c r="Y1634" i="2"/>
  <c r="AB1633" i="2"/>
  <c r="AA1633" i="2"/>
  <c r="Y1633" i="2"/>
  <c r="AB1632" i="2"/>
  <c r="AA1632" i="2"/>
  <c r="Y1632" i="2"/>
  <c r="AB1631" i="2"/>
  <c r="AA1631" i="2"/>
  <c r="Y1631" i="2"/>
  <c r="AB1630" i="2"/>
  <c r="AA1630" i="2"/>
  <c r="Y1630" i="2"/>
  <c r="AB1629" i="2"/>
  <c r="AA1629" i="2"/>
  <c r="Y1629" i="2"/>
  <c r="AB1628" i="2"/>
  <c r="AA1628" i="2"/>
  <c r="Y1628" i="2"/>
  <c r="AB1627" i="2"/>
  <c r="AA1627" i="2"/>
  <c r="Y1627" i="2"/>
  <c r="AB1626" i="2"/>
  <c r="AA1626" i="2"/>
  <c r="Y1626" i="2"/>
  <c r="AB1625" i="2"/>
  <c r="AA1625" i="2"/>
  <c r="Y1625" i="2"/>
  <c r="AB1624" i="2"/>
  <c r="AA1624" i="2"/>
  <c r="Y1624" i="2"/>
  <c r="AB1623" i="2"/>
  <c r="AA1623" i="2"/>
  <c r="Y1623" i="2"/>
  <c r="AB1622" i="2"/>
  <c r="AA1622" i="2"/>
  <c r="Y1622" i="2"/>
  <c r="AB1621" i="2"/>
  <c r="AA1621" i="2"/>
  <c r="Y1621" i="2"/>
  <c r="AB1620" i="2"/>
  <c r="AA1620" i="2"/>
  <c r="Y1620" i="2"/>
  <c r="AB1619" i="2"/>
  <c r="AA1619" i="2"/>
  <c r="Y1619" i="2"/>
  <c r="AB1618" i="2"/>
  <c r="AA1618" i="2"/>
  <c r="Y1618" i="2"/>
  <c r="AB1617" i="2"/>
  <c r="AA1617" i="2"/>
  <c r="Y1617" i="2"/>
  <c r="AB1616" i="2"/>
  <c r="AA1616" i="2"/>
  <c r="Y1616" i="2"/>
  <c r="AB1615" i="2"/>
  <c r="AA1615" i="2"/>
  <c r="Y1615" i="2"/>
  <c r="AB1614" i="2"/>
  <c r="AA1614" i="2"/>
  <c r="Y1614" i="2"/>
  <c r="AB1613" i="2"/>
  <c r="AA1613" i="2"/>
  <c r="Y1613" i="2"/>
  <c r="AB1612" i="2"/>
  <c r="AA1612" i="2"/>
  <c r="Y1612" i="2"/>
  <c r="AB1611" i="2"/>
  <c r="AA1611" i="2"/>
  <c r="Y1611" i="2"/>
  <c r="AB1610" i="2"/>
  <c r="AA1610" i="2"/>
  <c r="Y1610" i="2"/>
  <c r="AB1609" i="2"/>
  <c r="AA1609" i="2"/>
  <c r="Y1609" i="2"/>
  <c r="AB1608" i="2"/>
  <c r="AA1608" i="2"/>
  <c r="Y1608" i="2"/>
  <c r="AB1607" i="2"/>
  <c r="AA1607" i="2"/>
  <c r="Y1607" i="2"/>
  <c r="AB1606" i="2"/>
  <c r="AA1606" i="2"/>
  <c r="Y1606" i="2"/>
  <c r="AB1605" i="2"/>
  <c r="AA1605" i="2"/>
  <c r="Y1605" i="2"/>
  <c r="AB1604" i="2"/>
  <c r="AA1604" i="2"/>
  <c r="Y1604" i="2"/>
  <c r="AB1603" i="2"/>
  <c r="AA1603" i="2"/>
  <c r="Y1603" i="2"/>
  <c r="AB1602" i="2"/>
  <c r="AA1602" i="2"/>
  <c r="Y1602" i="2"/>
  <c r="AB1601" i="2"/>
  <c r="AA1601" i="2"/>
  <c r="Y1601" i="2"/>
  <c r="AB1600" i="2"/>
  <c r="AA1600" i="2"/>
  <c r="Y1600" i="2"/>
  <c r="AB1599" i="2"/>
  <c r="AA1599" i="2"/>
  <c r="Y1599" i="2"/>
  <c r="AB1598" i="2"/>
  <c r="AA1598" i="2"/>
  <c r="Y1598" i="2"/>
  <c r="AB1597" i="2"/>
  <c r="AA1597" i="2"/>
  <c r="Y1597" i="2"/>
  <c r="AB1596" i="2"/>
  <c r="AA1596" i="2"/>
  <c r="Y1596" i="2"/>
  <c r="AB1595" i="2"/>
  <c r="AA1595" i="2"/>
  <c r="Y1595" i="2"/>
  <c r="AB1594" i="2"/>
  <c r="AA1594" i="2"/>
  <c r="Y1594" i="2"/>
  <c r="AB1593" i="2"/>
  <c r="AA1593" i="2"/>
  <c r="Y1593" i="2"/>
  <c r="AB1592" i="2"/>
  <c r="AA1592" i="2"/>
  <c r="Y1592" i="2"/>
  <c r="AB1591" i="2"/>
  <c r="AA1591" i="2"/>
  <c r="Y1591" i="2"/>
  <c r="AB1590" i="2"/>
  <c r="AA1590" i="2"/>
  <c r="Y1590" i="2"/>
  <c r="AB1589" i="2"/>
  <c r="AA1589" i="2"/>
  <c r="Y1589" i="2"/>
  <c r="AB1588" i="2"/>
  <c r="AA1588" i="2"/>
  <c r="Y1588" i="2"/>
  <c r="AB1587" i="2"/>
  <c r="AA1587" i="2"/>
  <c r="Y1587" i="2"/>
  <c r="AB1586" i="2"/>
  <c r="AA1586" i="2"/>
  <c r="Y1586" i="2"/>
  <c r="AB1585" i="2"/>
  <c r="AA1585" i="2"/>
  <c r="Y1585" i="2"/>
  <c r="AB1584" i="2"/>
  <c r="AA1584" i="2"/>
  <c r="Y1584" i="2"/>
  <c r="AB1583" i="2"/>
  <c r="AA1583" i="2"/>
  <c r="Y1583" i="2"/>
  <c r="AB1582" i="2"/>
  <c r="AA1582" i="2"/>
  <c r="Y1582" i="2"/>
  <c r="AB1581" i="2"/>
  <c r="AA1581" i="2"/>
  <c r="Y1581" i="2"/>
  <c r="AB1580" i="2"/>
  <c r="AA1580" i="2"/>
  <c r="Y1580" i="2"/>
  <c r="AB1579" i="2"/>
  <c r="AA1579" i="2"/>
  <c r="Y1579" i="2"/>
  <c r="AB1578" i="2"/>
  <c r="AA1578" i="2"/>
  <c r="Y1578" i="2"/>
  <c r="AB1577" i="2"/>
  <c r="AA1577" i="2"/>
  <c r="Y1577" i="2"/>
  <c r="AB1576" i="2"/>
  <c r="AA1576" i="2"/>
  <c r="Y1576" i="2"/>
  <c r="AB1575" i="2"/>
  <c r="AA1575" i="2"/>
  <c r="Y1575" i="2"/>
  <c r="AB1574" i="2"/>
  <c r="AA1574" i="2"/>
  <c r="Y1574" i="2"/>
  <c r="AB1573" i="2"/>
  <c r="AA1573" i="2"/>
  <c r="Y1573" i="2"/>
  <c r="AB1572" i="2"/>
  <c r="AA1572" i="2"/>
  <c r="Y1572" i="2"/>
  <c r="AB1571" i="2"/>
  <c r="AA1571" i="2"/>
  <c r="Y1571" i="2"/>
  <c r="AB1570" i="2"/>
  <c r="AA1570" i="2"/>
  <c r="Y1570" i="2"/>
  <c r="AB1569" i="2"/>
  <c r="AA1569" i="2"/>
  <c r="Y1569" i="2"/>
  <c r="AB1568" i="2"/>
  <c r="AA1568" i="2"/>
  <c r="Y1568" i="2"/>
  <c r="AB1567" i="2"/>
  <c r="AA1567" i="2"/>
  <c r="Y1567" i="2"/>
  <c r="AB1566" i="2"/>
  <c r="AA1566" i="2"/>
  <c r="Y1566" i="2"/>
  <c r="AB1565" i="2"/>
  <c r="AA1565" i="2"/>
  <c r="Y1565" i="2"/>
  <c r="AB1564" i="2"/>
  <c r="AA1564" i="2"/>
  <c r="Y1564" i="2"/>
  <c r="AB1563" i="2"/>
  <c r="AA1563" i="2"/>
  <c r="Y1563" i="2"/>
  <c r="AB1562" i="2"/>
  <c r="AA1562" i="2"/>
  <c r="Y1562" i="2"/>
  <c r="AB1561" i="2"/>
  <c r="AA1561" i="2"/>
  <c r="Y1561" i="2"/>
  <c r="AB1560" i="2"/>
  <c r="AA1560" i="2"/>
  <c r="Y1560" i="2"/>
  <c r="AB1559" i="2"/>
  <c r="AA1559" i="2"/>
  <c r="Y1559" i="2"/>
  <c r="AB1558" i="2"/>
  <c r="AA1558" i="2"/>
  <c r="Y1558" i="2"/>
  <c r="AB1557" i="2"/>
  <c r="AA1557" i="2"/>
  <c r="Y1557" i="2"/>
  <c r="AB1556" i="2"/>
  <c r="AA1556" i="2"/>
  <c r="Y1556" i="2"/>
  <c r="AB1555" i="2"/>
  <c r="AA1555" i="2"/>
  <c r="Y1555" i="2"/>
  <c r="AB1554" i="2"/>
  <c r="AA1554" i="2"/>
  <c r="Y1554" i="2"/>
  <c r="AB1553" i="2"/>
  <c r="AA1553" i="2"/>
  <c r="Y1553" i="2"/>
  <c r="AB1552" i="2"/>
  <c r="AA1552" i="2"/>
  <c r="Y1552" i="2"/>
  <c r="AB1551" i="2"/>
  <c r="AA1551" i="2"/>
  <c r="Y1551" i="2"/>
  <c r="AB1550" i="2"/>
  <c r="AA1550" i="2"/>
  <c r="Y1550" i="2"/>
  <c r="AB1549" i="2"/>
  <c r="AA1549" i="2"/>
  <c r="Y1549" i="2"/>
  <c r="AB1548" i="2"/>
  <c r="AA1548" i="2"/>
  <c r="Y1548" i="2"/>
  <c r="AB1547" i="2"/>
  <c r="AA1547" i="2"/>
  <c r="Y1547" i="2"/>
  <c r="AB1546" i="2"/>
  <c r="AA1546" i="2"/>
  <c r="Y1546" i="2"/>
  <c r="AB1545" i="2"/>
  <c r="AA1545" i="2"/>
  <c r="Y1545" i="2"/>
  <c r="AB1544" i="2"/>
  <c r="AA1544" i="2"/>
  <c r="Y1544" i="2"/>
  <c r="AB1543" i="2"/>
  <c r="AA1543" i="2"/>
  <c r="Y1543" i="2"/>
  <c r="AB1542" i="2"/>
  <c r="AA1542" i="2"/>
  <c r="Y1542" i="2"/>
  <c r="AB1541" i="2"/>
  <c r="AA1541" i="2"/>
  <c r="Y1541" i="2"/>
  <c r="AB1540" i="2"/>
  <c r="AA1540" i="2"/>
  <c r="Y1540" i="2"/>
  <c r="AB1539" i="2"/>
  <c r="AA1539" i="2"/>
  <c r="Y1539" i="2"/>
  <c r="AB1538" i="2"/>
  <c r="AA1538" i="2"/>
  <c r="Y1538" i="2"/>
  <c r="AB1537" i="2"/>
  <c r="AA1537" i="2"/>
  <c r="Y1537" i="2"/>
  <c r="AB1536" i="2"/>
  <c r="AA1536" i="2"/>
  <c r="Y1536" i="2"/>
  <c r="AB1535" i="2"/>
  <c r="AA1535" i="2"/>
  <c r="Y1535" i="2"/>
  <c r="AB1534" i="2"/>
  <c r="AA1534" i="2"/>
  <c r="Y1534" i="2"/>
  <c r="AB1533" i="2"/>
  <c r="AA1533" i="2"/>
  <c r="Y1533" i="2"/>
  <c r="AB1532" i="2"/>
  <c r="AA1532" i="2"/>
  <c r="Y1532" i="2"/>
  <c r="AB1531" i="2"/>
  <c r="AA1531" i="2"/>
  <c r="Y1531" i="2"/>
  <c r="AB1530" i="2"/>
  <c r="AA1530" i="2"/>
  <c r="Y1530" i="2"/>
  <c r="AB1529" i="2"/>
  <c r="AA1529" i="2"/>
  <c r="Y1529" i="2"/>
  <c r="AB1528" i="2"/>
  <c r="AA1528" i="2"/>
  <c r="Y1528" i="2"/>
  <c r="AB1527" i="2"/>
  <c r="AA1527" i="2"/>
  <c r="Y1527" i="2"/>
  <c r="AB1526" i="2"/>
  <c r="AA1526" i="2"/>
  <c r="Y1526" i="2"/>
  <c r="AB1525" i="2"/>
  <c r="AA1525" i="2"/>
  <c r="Y1525" i="2"/>
  <c r="AB1524" i="2"/>
  <c r="AA1524" i="2"/>
  <c r="Y1524" i="2"/>
  <c r="AB1523" i="2"/>
  <c r="AA1523" i="2"/>
  <c r="Y1523" i="2"/>
  <c r="AB1522" i="2"/>
  <c r="AA1522" i="2"/>
  <c r="Y1522" i="2"/>
  <c r="AB1521" i="2"/>
  <c r="AA1521" i="2"/>
  <c r="Y1521" i="2"/>
  <c r="AB1520" i="2"/>
  <c r="AA1520" i="2"/>
  <c r="Y1520" i="2"/>
  <c r="AB1519" i="2"/>
  <c r="AA1519" i="2"/>
  <c r="Y1519" i="2"/>
  <c r="AB1518" i="2"/>
  <c r="AA1518" i="2"/>
  <c r="Y1518" i="2"/>
  <c r="AB1517" i="2"/>
  <c r="AA1517" i="2"/>
  <c r="Y1517" i="2"/>
  <c r="AB1516" i="2"/>
  <c r="AA1516" i="2"/>
  <c r="Y1516" i="2"/>
  <c r="AB1515" i="2"/>
  <c r="AA1515" i="2"/>
  <c r="Y1515" i="2"/>
  <c r="AB1514" i="2"/>
  <c r="AA1514" i="2"/>
  <c r="Y1514" i="2"/>
  <c r="AB1513" i="2"/>
  <c r="AA1513" i="2"/>
  <c r="Y1513" i="2"/>
  <c r="AB1512" i="2"/>
  <c r="AA1512" i="2"/>
  <c r="Y1512" i="2"/>
  <c r="AB1511" i="2"/>
  <c r="AA1511" i="2"/>
  <c r="Y1511" i="2"/>
  <c r="AB1510" i="2"/>
  <c r="AA1510" i="2"/>
  <c r="Y1510" i="2"/>
  <c r="AB1509" i="2"/>
  <c r="AA1509" i="2"/>
  <c r="Y1509" i="2"/>
  <c r="AB1508" i="2"/>
  <c r="AA1508" i="2"/>
  <c r="Y1508" i="2"/>
  <c r="AB1507" i="2"/>
  <c r="AA1507" i="2"/>
  <c r="Y1507" i="2"/>
  <c r="AB1506" i="2"/>
  <c r="AA1506" i="2"/>
  <c r="Y1506" i="2"/>
  <c r="AB1505" i="2"/>
  <c r="AA1505" i="2"/>
  <c r="Y1505" i="2"/>
  <c r="AB1504" i="2"/>
  <c r="AA1504" i="2"/>
  <c r="Y1504" i="2"/>
  <c r="AB1503" i="2"/>
  <c r="AA1503" i="2"/>
  <c r="Y1503" i="2"/>
  <c r="AB1502" i="2"/>
  <c r="AA1502" i="2"/>
  <c r="Y1502" i="2"/>
  <c r="AB1501" i="2"/>
  <c r="AA1501" i="2"/>
  <c r="Y1501" i="2"/>
  <c r="AB1500" i="2"/>
  <c r="AA1500" i="2"/>
  <c r="Y1500" i="2"/>
  <c r="AB1499" i="2"/>
  <c r="AA1499" i="2"/>
  <c r="Y1499" i="2"/>
  <c r="AB1498" i="2"/>
  <c r="AA1498" i="2"/>
  <c r="Y1498" i="2"/>
  <c r="AB1497" i="2"/>
  <c r="AA1497" i="2"/>
  <c r="Y1497" i="2"/>
  <c r="AB1496" i="2"/>
  <c r="AA1496" i="2"/>
  <c r="Y1496" i="2"/>
  <c r="AB1495" i="2"/>
  <c r="AA1495" i="2"/>
  <c r="Y1495" i="2"/>
  <c r="AB1494" i="2"/>
  <c r="AA1494" i="2"/>
  <c r="Y1494" i="2"/>
  <c r="AB1493" i="2"/>
  <c r="AA1493" i="2"/>
  <c r="Y1493" i="2"/>
  <c r="AB1492" i="2"/>
  <c r="AA1492" i="2"/>
  <c r="Y1492" i="2"/>
  <c r="AB1491" i="2"/>
  <c r="AA1491" i="2"/>
  <c r="Y1491" i="2"/>
  <c r="AB1490" i="2"/>
  <c r="AA1490" i="2"/>
  <c r="Y1490" i="2"/>
  <c r="AB1489" i="2"/>
  <c r="AA1489" i="2"/>
  <c r="Y1489" i="2"/>
  <c r="AB1488" i="2"/>
  <c r="AA1488" i="2"/>
  <c r="Y1488" i="2"/>
  <c r="AB1487" i="2"/>
  <c r="AA1487" i="2"/>
  <c r="Y1487" i="2"/>
  <c r="AB1486" i="2"/>
  <c r="AA1486" i="2"/>
  <c r="Y1486" i="2"/>
  <c r="AB1485" i="2"/>
  <c r="AA1485" i="2"/>
  <c r="Y1485" i="2"/>
  <c r="AB1484" i="2"/>
  <c r="AA1484" i="2"/>
  <c r="Y1484" i="2"/>
  <c r="AB1483" i="2"/>
  <c r="AA1483" i="2"/>
  <c r="Y1483" i="2"/>
  <c r="AB1482" i="2"/>
  <c r="AA1482" i="2"/>
  <c r="Y1482" i="2"/>
  <c r="AB1481" i="2"/>
  <c r="AA1481" i="2"/>
  <c r="Y1481" i="2"/>
  <c r="AB1480" i="2"/>
  <c r="AA1480" i="2"/>
  <c r="Y1480" i="2"/>
  <c r="AB1479" i="2"/>
  <c r="AA1479" i="2"/>
  <c r="Y1479" i="2"/>
  <c r="AB1478" i="2"/>
  <c r="AA1478" i="2"/>
  <c r="Y1478" i="2"/>
  <c r="AB1477" i="2"/>
  <c r="AA1477" i="2"/>
  <c r="Y1477" i="2"/>
  <c r="AB1476" i="2"/>
  <c r="AA1476" i="2"/>
  <c r="Y1476" i="2"/>
  <c r="AB1475" i="2"/>
  <c r="AA1475" i="2"/>
  <c r="Y1475" i="2"/>
  <c r="AB1474" i="2"/>
  <c r="AA1474" i="2"/>
  <c r="Y1474" i="2"/>
  <c r="AB1473" i="2"/>
  <c r="AA1473" i="2"/>
  <c r="Y1473" i="2"/>
  <c r="AB1472" i="2"/>
  <c r="AA1472" i="2"/>
  <c r="Y1472" i="2"/>
  <c r="AB1471" i="2"/>
  <c r="AA1471" i="2"/>
  <c r="Y1471" i="2"/>
  <c r="AB1470" i="2"/>
  <c r="AA1470" i="2"/>
  <c r="Y1470" i="2"/>
  <c r="AB1469" i="2"/>
  <c r="AA1469" i="2"/>
  <c r="Y1469" i="2"/>
  <c r="AB1468" i="2"/>
  <c r="AA1468" i="2"/>
  <c r="Y1468" i="2"/>
  <c r="AB1467" i="2"/>
  <c r="AA1467" i="2"/>
  <c r="Y1467" i="2"/>
  <c r="AB1466" i="2"/>
  <c r="AA1466" i="2"/>
  <c r="Y1466" i="2"/>
  <c r="AB1465" i="2"/>
  <c r="AA1465" i="2"/>
  <c r="Y1465" i="2"/>
  <c r="AB1464" i="2"/>
  <c r="AA1464" i="2"/>
  <c r="Y1464" i="2"/>
  <c r="AB1463" i="2"/>
  <c r="AA1463" i="2"/>
  <c r="Y1463" i="2"/>
  <c r="AB1462" i="2"/>
  <c r="AA1462" i="2"/>
  <c r="Y1462" i="2"/>
  <c r="AB1461" i="2"/>
  <c r="AA1461" i="2"/>
  <c r="Y1461" i="2"/>
  <c r="AB1460" i="2"/>
  <c r="AA1460" i="2"/>
  <c r="Y1460" i="2"/>
  <c r="AB1459" i="2"/>
  <c r="AA1459" i="2"/>
  <c r="Y1459" i="2"/>
  <c r="AB1458" i="2"/>
  <c r="AA1458" i="2"/>
  <c r="Y1458" i="2"/>
  <c r="AB1457" i="2"/>
  <c r="AA1457" i="2"/>
  <c r="Y1457" i="2"/>
  <c r="AB1456" i="2"/>
  <c r="AA1456" i="2"/>
  <c r="Y1456" i="2"/>
  <c r="AB1455" i="2"/>
  <c r="AA1455" i="2"/>
  <c r="Y1455" i="2"/>
  <c r="AB1454" i="2"/>
  <c r="AA1454" i="2"/>
  <c r="Y1454" i="2"/>
  <c r="AB1453" i="2"/>
  <c r="AA1453" i="2"/>
  <c r="Y1453" i="2"/>
  <c r="AB1452" i="2"/>
  <c r="AA1452" i="2"/>
  <c r="Y1452" i="2"/>
  <c r="AB1451" i="2"/>
  <c r="AA1451" i="2"/>
  <c r="Y1451" i="2"/>
  <c r="AB1450" i="2"/>
  <c r="AA1450" i="2"/>
  <c r="Y1450" i="2"/>
  <c r="AB1449" i="2"/>
  <c r="AA1449" i="2"/>
  <c r="Y1449" i="2"/>
  <c r="AB1448" i="2"/>
  <c r="AA1448" i="2"/>
  <c r="Y1448" i="2"/>
  <c r="AB1447" i="2"/>
  <c r="AA1447" i="2"/>
  <c r="Y1447" i="2"/>
  <c r="AB1446" i="2"/>
  <c r="AA1446" i="2"/>
  <c r="Y1446" i="2"/>
  <c r="AB1445" i="2"/>
  <c r="AA1445" i="2"/>
  <c r="Y1445" i="2"/>
  <c r="AB1444" i="2"/>
  <c r="AA1444" i="2"/>
  <c r="Y1444" i="2"/>
  <c r="AB1443" i="2"/>
  <c r="AA1443" i="2"/>
  <c r="Y1443" i="2"/>
  <c r="AB1442" i="2"/>
  <c r="AA1442" i="2"/>
  <c r="Y1442" i="2"/>
  <c r="AB1441" i="2"/>
  <c r="AA1441" i="2"/>
  <c r="Y1441" i="2"/>
  <c r="AB1440" i="2"/>
  <c r="AA1440" i="2"/>
  <c r="Y1440" i="2"/>
  <c r="AB1439" i="2"/>
  <c r="AA1439" i="2"/>
  <c r="Y1439" i="2"/>
  <c r="AB1438" i="2"/>
  <c r="AA1438" i="2"/>
  <c r="Y1438" i="2"/>
  <c r="AB1437" i="2"/>
  <c r="AA1437" i="2"/>
  <c r="Y1437" i="2"/>
  <c r="AB1436" i="2"/>
  <c r="AA1436" i="2"/>
  <c r="Y1436" i="2"/>
  <c r="AB1435" i="2"/>
  <c r="AA1435" i="2"/>
  <c r="Y1435" i="2"/>
  <c r="AB1434" i="2"/>
  <c r="AA1434" i="2"/>
  <c r="Y1434" i="2"/>
  <c r="AB1433" i="2"/>
  <c r="AA1433" i="2"/>
  <c r="Y1433" i="2"/>
  <c r="AB1432" i="2"/>
  <c r="AA1432" i="2"/>
  <c r="Y1432" i="2"/>
  <c r="AB1431" i="2"/>
  <c r="AA1431" i="2"/>
  <c r="Y1431" i="2"/>
  <c r="AB1430" i="2"/>
  <c r="AA1430" i="2"/>
  <c r="Y1430" i="2"/>
  <c r="AB1429" i="2"/>
  <c r="AA1429" i="2"/>
  <c r="Y1429" i="2"/>
  <c r="AB1428" i="2"/>
  <c r="AA1428" i="2"/>
  <c r="Y1428" i="2"/>
  <c r="AB1427" i="2"/>
  <c r="AA1427" i="2"/>
  <c r="Y1427" i="2"/>
  <c r="AB1426" i="2"/>
  <c r="AA1426" i="2"/>
  <c r="Y1426" i="2"/>
  <c r="AB1425" i="2"/>
  <c r="AA1425" i="2"/>
  <c r="Y1425" i="2"/>
  <c r="AB1424" i="2"/>
  <c r="AA1424" i="2"/>
  <c r="Y1424" i="2"/>
  <c r="AB1423" i="2"/>
  <c r="AA1423" i="2"/>
  <c r="Y1423" i="2"/>
  <c r="AB1422" i="2"/>
  <c r="AA1422" i="2"/>
  <c r="Y1422" i="2"/>
  <c r="AB1421" i="2"/>
  <c r="AA1421" i="2"/>
  <c r="Y1421" i="2"/>
  <c r="AB1420" i="2"/>
  <c r="AA1420" i="2"/>
  <c r="Y1420" i="2"/>
  <c r="AB1419" i="2"/>
  <c r="AA1419" i="2"/>
  <c r="Y1419" i="2"/>
  <c r="AB1418" i="2"/>
  <c r="AA1418" i="2"/>
  <c r="Y1418" i="2"/>
  <c r="AB1417" i="2"/>
  <c r="AA1417" i="2"/>
  <c r="Y1417" i="2"/>
  <c r="AB1416" i="2"/>
  <c r="AA1416" i="2"/>
  <c r="Y1416" i="2"/>
  <c r="AB1415" i="2"/>
  <c r="AA1415" i="2"/>
  <c r="Y1415" i="2"/>
  <c r="AB1414" i="2"/>
  <c r="AA1414" i="2"/>
  <c r="Y1414" i="2"/>
  <c r="AB1413" i="2"/>
  <c r="AA1413" i="2"/>
  <c r="Y1413" i="2"/>
  <c r="AB1412" i="2"/>
  <c r="AA1412" i="2"/>
  <c r="Y1412" i="2"/>
  <c r="AB1411" i="2"/>
  <c r="AA1411" i="2"/>
  <c r="Y1411" i="2"/>
  <c r="AB1410" i="2"/>
  <c r="AA1410" i="2"/>
  <c r="Y1410" i="2"/>
  <c r="AB1409" i="2"/>
  <c r="AA1409" i="2"/>
  <c r="Y1409" i="2"/>
  <c r="AB1408" i="2"/>
  <c r="AA1408" i="2"/>
  <c r="Y1408" i="2"/>
  <c r="AB1407" i="2"/>
  <c r="AA1407" i="2"/>
  <c r="Y1407" i="2"/>
  <c r="AB1406" i="2"/>
  <c r="AA1406" i="2"/>
  <c r="Y1406" i="2"/>
  <c r="AB1405" i="2"/>
  <c r="AA1405" i="2"/>
  <c r="Y1405" i="2"/>
  <c r="AB1404" i="2"/>
  <c r="AA1404" i="2"/>
  <c r="Y1404" i="2"/>
  <c r="AB1403" i="2"/>
  <c r="AA1403" i="2"/>
  <c r="Y1403" i="2"/>
  <c r="AB1402" i="2"/>
  <c r="AA1402" i="2"/>
  <c r="Y1402" i="2"/>
  <c r="AB1401" i="2"/>
  <c r="AA1401" i="2"/>
  <c r="Y1401" i="2"/>
  <c r="AB1400" i="2"/>
  <c r="AA1400" i="2"/>
  <c r="Y1400" i="2"/>
  <c r="AB1399" i="2"/>
  <c r="AA1399" i="2"/>
  <c r="Y1399" i="2"/>
  <c r="AB1398" i="2"/>
  <c r="AA1398" i="2"/>
  <c r="Y1398" i="2"/>
  <c r="AB1397" i="2"/>
  <c r="AA1397" i="2"/>
  <c r="Y1397" i="2"/>
  <c r="AB1396" i="2"/>
  <c r="AA1396" i="2"/>
  <c r="Y1396" i="2"/>
  <c r="AB1395" i="2"/>
  <c r="AA1395" i="2"/>
  <c r="Y1395" i="2"/>
  <c r="AB1394" i="2"/>
  <c r="AA1394" i="2"/>
  <c r="Y1394" i="2"/>
  <c r="AB1393" i="2"/>
  <c r="AA1393" i="2"/>
  <c r="Y1393" i="2"/>
  <c r="AB1392" i="2"/>
  <c r="AA1392" i="2"/>
  <c r="Y1392" i="2"/>
  <c r="AB1391" i="2"/>
  <c r="AA1391" i="2"/>
  <c r="Y1391" i="2"/>
  <c r="AB1390" i="2"/>
  <c r="AA1390" i="2"/>
  <c r="Y1390" i="2"/>
  <c r="AB1389" i="2"/>
  <c r="AA1389" i="2"/>
  <c r="Y1389" i="2"/>
  <c r="AB1388" i="2"/>
  <c r="AA1388" i="2"/>
  <c r="Y1388" i="2"/>
  <c r="AB1387" i="2"/>
  <c r="AA1387" i="2"/>
  <c r="Y1387" i="2"/>
  <c r="AB1386" i="2"/>
  <c r="AA1386" i="2"/>
  <c r="Y1386" i="2"/>
  <c r="AB1385" i="2"/>
  <c r="AA1385" i="2"/>
  <c r="Y1385" i="2"/>
  <c r="AB1384" i="2"/>
  <c r="AA1384" i="2"/>
  <c r="Y1384" i="2"/>
  <c r="AB1383" i="2"/>
  <c r="AA1383" i="2"/>
  <c r="Y1383" i="2"/>
  <c r="AB1382" i="2"/>
  <c r="AA1382" i="2"/>
  <c r="Y1382" i="2"/>
  <c r="AB1381" i="2"/>
  <c r="AA1381" i="2"/>
  <c r="Y1381" i="2"/>
  <c r="AB1380" i="2"/>
  <c r="AA1380" i="2"/>
  <c r="Y1380" i="2"/>
  <c r="AB1379" i="2"/>
  <c r="AA1379" i="2"/>
  <c r="Y1379" i="2"/>
  <c r="AB1378" i="2"/>
  <c r="AA1378" i="2"/>
  <c r="Y1378" i="2"/>
  <c r="AB1377" i="2"/>
  <c r="AA1377" i="2"/>
  <c r="Y1377" i="2"/>
  <c r="AB1376" i="2"/>
  <c r="AA1376" i="2"/>
  <c r="Y1376" i="2"/>
  <c r="AB1375" i="2"/>
  <c r="AA1375" i="2"/>
  <c r="Y1375" i="2"/>
  <c r="AB1374" i="2"/>
  <c r="AA1374" i="2"/>
  <c r="Y1374" i="2"/>
  <c r="AB1373" i="2"/>
  <c r="AA1373" i="2"/>
  <c r="Y1373" i="2"/>
  <c r="AB1372" i="2"/>
  <c r="AA1372" i="2"/>
  <c r="Y1372" i="2"/>
  <c r="AB1371" i="2"/>
  <c r="AA1371" i="2"/>
  <c r="Y1371" i="2"/>
  <c r="AB1370" i="2"/>
  <c r="AA1370" i="2"/>
  <c r="Y1370" i="2"/>
  <c r="AB1369" i="2"/>
  <c r="AA1369" i="2"/>
  <c r="Y1369" i="2"/>
  <c r="AB1368" i="2"/>
  <c r="AA1368" i="2"/>
  <c r="Y1368" i="2"/>
  <c r="AB1367" i="2"/>
  <c r="AA1367" i="2"/>
  <c r="Y1367" i="2"/>
  <c r="AB1366" i="2"/>
  <c r="AA1366" i="2"/>
  <c r="Y1366" i="2"/>
  <c r="AB1365" i="2"/>
  <c r="AA1365" i="2"/>
  <c r="Y1365" i="2"/>
  <c r="AB1364" i="2"/>
  <c r="AA1364" i="2"/>
  <c r="Y1364" i="2"/>
  <c r="AB1363" i="2"/>
  <c r="AA1363" i="2"/>
  <c r="Y1363" i="2"/>
  <c r="AB1362" i="2"/>
  <c r="AA1362" i="2"/>
  <c r="Y1362" i="2"/>
  <c r="AB1361" i="2"/>
  <c r="AA1361" i="2"/>
  <c r="Y1361" i="2"/>
  <c r="AB1360" i="2"/>
  <c r="AA1360" i="2"/>
  <c r="Y1360" i="2"/>
  <c r="AB1359" i="2"/>
  <c r="AA1359" i="2"/>
  <c r="Y1359" i="2"/>
  <c r="AB1358" i="2"/>
  <c r="AA1358" i="2"/>
  <c r="Y1358" i="2"/>
  <c r="AB1357" i="2"/>
  <c r="AA1357" i="2"/>
  <c r="Y1357" i="2"/>
  <c r="AB1356" i="2"/>
  <c r="AA1356" i="2"/>
  <c r="Y1356" i="2"/>
  <c r="AB1355" i="2"/>
  <c r="AA1355" i="2"/>
  <c r="Y1355" i="2"/>
  <c r="AB1354" i="2"/>
  <c r="AA1354" i="2"/>
  <c r="Y1354" i="2"/>
  <c r="AB1353" i="2"/>
  <c r="AA1353" i="2"/>
  <c r="Y1353" i="2"/>
  <c r="AB1352" i="2"/>
  <c r="AA1352" i="2"/>
  <c r="Y1352" i="2"/>
  <c r="AB1351" i="2"/>
  <c r="AA1351" i="2"/>
  <c r="Y1351" i="2"/>
  <c r="AB1350" i="2"/>
  <c r="AA1350" i="2"/>
  <c r="Y1350" i="2"/>
  <c r="AB1349" i="2"/>
  <c r="AA1349" i="2"/>
  <c r="Y1349" i="2"/>
  <c r="AB1348" i="2"/>
  <c r="AA1348" i="2"/>
  <c r="Y1348" i="2"/>
  <c r="AB1347" i="2"/>
  <c r="AA1347" i="2"/>
  <c r="Y1347" i="2"/>
  <c r="AB1346" i="2"/>
  <c r="AA1346" i="2"/>
  <c r="Y1346" i="2"/>
  <c r="AB1345" i="2"/>
  <c r="AA1345" i="2"/>
  <c r="Y1345" i="2"/>
  <c r="AB1344" i="2"/>
  <c r="AA1344" i="2"/>
  <c r="Y1344" i="2"/>
  <c r="AB1343" i="2"/>
  <c r="AA1343" i="2"/>
  <c r="Y1343" i="2"/>
  <c r="AB1342" i="2"/>
  <c r="AA1342" i="2"/>
  <c r="Y1342" i="2"/>
  <c r="AB1341" i="2"/>
  <c r="AA1341" i="2"/>
  <c r="Y1341" i="2"/>
  <c r="AB1340" i="2"/>
  <c r="AA1340" i="2"/>
  <c r="Y1340" i="2"/>
  <c r="AB1339" i="2"/>
  <c r="AA1339" i="2"/>
  <c r="Y1339" i="2"/>
  <c r="AB1338" i="2"/>
  <c r="AA1338" i="2"/>
  <c r="Y1338" i="2"/>
  <c r="AB1337" i="2"/>
  <c r="AA1337" i="2"/>
  <c r="Y1337" i="2"/>
  <c r="AB1336" i="2"/>
  <c r="AA1336" i="2"/>
  <c r="Y1336" i="2"/>
  <c r="AB1335" i="2"/>
  <c r="AA1335" i="2"/>
  <c r="Y1335" i="2"/>
  <c r="AB1334" i="2"/>
  <c r="AA1334" i="2"/>
  <c r="Y1334" i="2"/>
  <c r="AB1333" i="2"/>
  <c r="AA1333" i="2"/>
  <c r="Y1333" i="2"/>
  <c r="AB1332" i="2"/>
  <c r="AA1332" i="2"/>
  <c r="Y1332" i="2"/>
  <c r="AB1331" i="2"/>
  <c r="AA1331" i="2"/>
  <c r="Y1331" i="2"/>
  <c r="AB1330" i="2"/>
  <c r="AA1330" i="2"/>
  <c r="Y1330" i="2"/>
  <c r="AB1329" i="2"/>
  <c r="AA1329" i="2"/>
  <c r="Y1329" i="2"/>
  <c r="AB1328" i="2"/>
  <c r="AA1328" i="2"/>
  <c r="Y1328" i="2"/>
  <c r="AB1327" i="2"/>
  <c r="AA1327" i="2"/>
  <c r="Y1327" i="2"/>
  <c r="AB1326" i="2"/>
  <c r="AA1326" i="2"/>
  <c r="Y1326" i="2"/>
  <c r="AB1325" i="2"/>
  <c r="AA1325" i="2"/>
  <c r="Y1325" i="2"/>
  <c r="AB1324" i="2"/>
  <c r="AA1324" i="2"/>
  <c r="Y1324" i="2"/>
  <c r="AB1323" i="2"/>
  <c r="AA1323" i="2"/>
  <c r="Y1323" i="2"/>
  <c r="AB1322" i="2"/>
  <c r="AA1322" i="2"/>
  <c r="Y1322" i="2"/>
  <c r="AB1321" i="2"/>
  <c r="AA1321" i="2"/>
  <c r="Y1321" i="2"/>
  <c r="AB1320" i="2"/>
  <c r="AA1320" i="2"/>
  <c r="Y1320" i="2"/>
  <c r="AB1319" i="2"/>
  <c r="AA1319" i="2"/>
  <c r="Y1319" i="2"/>
  <c r="AB1318" i="2"/>
  <c r="AA1318" i="2"/>
  <c r="Y1318" i="2"/>
  <c r="AB1317" i="2"/>
  <c r="AA1317" i="2"/>
  <c r="Y1317" i="2"/>
  <c r="AB1316" i="2"/>
  <c r="AA1316" i="2"/>
  <c r="Y1316" i="2"/>
  <c r="AB1315" i="2"/>
  <c r="AA1315" i="2"/>
  <c r="Y1315" i="2"/>
  <c r="AB1314" i="2"/>
  <c r="AA1314" i="2"/>
  <c r="Y1314" i="2"/>
  <c r="AB1313" i="2"/>
  <c r="AA1313" i="2"/>
  <c r="Y1313" i="2"/>
  <c r="AB1312" i="2"/>
  <c r="AA1312" i="2"/>
  <c r="Y1312" i="2"/>
  <c r="AB1311" i="2"/>
  <c r="AA1311" i="2"/>
  <c r="Y1311" i="2"/>
  <c r="AB1310" i="2"/>
  <c r="AA1310" i="2"/>
  <c r="Y1310" i="2"/>
  <c r="AB1309" i="2"/>
  <c r="AA1309" i="2"/>
  <c r="Y1309" i="2"/>
  <c r="AB1308" i="2"/>
  <c r="AA1308" i="2"/>
  <c r="Y1308" i="2"/>
  <c r="AB1307" i="2"/>
  <c r="AA1307" i="2"/>
  <c r="Y1307" i="2"/>
  <c r="AB1306" i="2"/>
  <c r="AA1306" i="2"/>
  <c r="Y1306" i="2"/>
  <c r="AB1305" i="2"/>
  <c r="AA1305" i="2"/>
  <c r="Y1305" i="2"/>
  <c r="AB1304" i="2"/>
  <c r="AA1304" i="2"/>
  <c r="Y1304" i="2"/>
  <c r="AB1303" i="2"/>
  <c r="AA1303" i="2"/>
  <c r="Y1303" i="2"/>
  <c r="AB1302" i="2"/>
  <c r="AA1302" i="2"/>
  <c r="Y1302" i="2"/>
  <c r="AB1301" i="2"/>
  <c r="AA1301" i="2"/>
  <c r="Y1301" i="2"/>
  <c r="AB1300" i="2"/>
  <c r="AA1300" i="2"/>
  <c r="Y1300" i="2"/>
  <c r="AB1299" i="2"/>
  <c r="AA1299" i="2"/>
  <c r="Y1299" i="2"/>
  <c r="AB1298" i="2"/>
  <c r="AA1298" i="2"/>
  <c r="Y1298" i="2"/>
  <c r="AB1297" i="2"/>
  <c r="AA1297" i="2"/>
  <c r="Y1297" i="2"/>
  <c r="AB1296" i="2"/>
  <c r="AA1296" i="2"/>
  <c r="Y1296" i="2"/>
  <c r="AB1295" i="2"/>
  <c r="AA1295" i="2"/>
  <c r="Y1295" i="2"/>
  <c r="AB1294" i="2"/>
  <c r="AA1294" i="2"/>
  <c r="Y1294" i="2"/>
  <c r="AB1293" i="2"/>
  <c r="AA1293" i="2"/>
  <c r="Y1293" i="2"/>
  <c r="AB1292" i="2"/>
  <c r="AA1292" i="2"/>
  <c r="Y1292" i="2"/>
  <c r="AB1291" i="2"/>
  <c r="AA1291" i="2"/>
  <c r="Y1291" i="2"/>
  <c r="AB1290" i="2"/>
  <c r="AA1290" i="2"/>
  <c r="Y1290" i="2"/>
  <c r="AB1289" i="2"/>
  <c r="AA1289" i="2"/>
  <c r="Y1289" i="2"/>
  <c r="AB1288" i="2"/>
  <c r="AA1288" i="2"/>
  <c r="Y1288" i="2"/>
  <c r="AB1287" i="2"/>
  <c r="AA1287" i="2"/>
  <c r="Y1287" i="2"/>
  <c r="AB1286" i="2"/>
  <c r="AA1286" i="2"/>
  <c r="Y1286" i="2"/>
  <c r="AB1285" i="2"/>
  <c r="AA1285" i="2"/>
  <c r="Y1285" i="2"/>
  <c r="AB1284" i="2"/>
  <c r="AA1284" i="2"/>
  <c r="Y1284" i="2"/>
  <c r="AB1283" i="2"/>
  <c r="AA1283" i="2"/>
  <c r="Y1283" i="2"/>
  <c r="AB1282" i="2"/>
  <c r="AA1282" i="2"/>
  <c r="Y1282" i="2"/>
  <c r="AB1281" i="2"/>
  <c r="AA1281" i="2"/>
  <c r="Y1281" i="2"/>
  <c r="AB1280" i="2"/>
  <c r="AA1280" i="2"/>
  <c r="Y1280" i="2"/>
  <c r="AB1279" i="2"/>
  <c r="AA1279" i="2"/>
  <c r="Y1279" i="2"/>
  <c r="AB1278" i="2"/>
  <c r="AA1278" i="2"/>
  <c r="Y1278" i="2"/>
  <c r="AB1277" i="2"/>
  <c r="AA1277" i="2"/>
  <c r="Y1277" i="2"/>
  <c r="AB1276" i="2"/>
  <c r="AA1276" i="2"/>
  <c r="Y1276" i="2"/>
  <c r="AB1275" i="2"/>
  <c r="AA1275" i="2"/>
  <c r="Y1275" i="2"/>
  <c r="AB1274" i="2"/>
  <c r="AA1274" i="2"/>
  <c r="Y1274" i="2"/>
  <c r="AB1273" i="2"/>
  <c r="AA1273" i="2"/>
  <c r="Y1273" i="2"/>
  <c r="AB1272" i="2"/>
  <c r="AA1272" i="2"/>
  <c r="Y1272" i="2"/>
  <c r="AB1271" i="2"/>
  <c r="AA1271" i="2"/>
  <c r="Y1271" i="2"/>
  <c r="AB1270" i="2"/>
  <c r="AA1270" i="2"/>
  <c r="Y1270" i="2"/>
  <c r="AB1269" i="2"/>
  <c r="AA1269" i="2"/>
  <c r="Y1269" i="2"/>
  <c r="AB1268" i="2"/>
  <c r="AA1268" i="2"/>
  <c r="Y1268" i="2"/>
  <c r="AB1267" i="2"/>
  <c r="AA1267" i="2"/>
  <c r="Y1267" i="2"/>
  <c r="AB1266" i="2"/>
  <c r="AA1266" i="2"/>
  <c r="Y1266" i="2"/>
  <c r="AB1265" i="2"/>
  <c r="AA1265" i="2"/>
  <c r="Y1265" i="2"/>
  <c r="AB1264" i="2"/>
  <c r="AA1264" i="2"/>
  <c r="Y1264" i="2"/>
  <c r="AB1263" i="2"/>
  <c r="AA1263" i="2"/>
  <c r="Y1263" i="2"/>
  <c r="AB1262" i="2"/>
  <c r="AA1262" i="2"/>
  <c r="Y1262" i="2"/>
  <c r="AB1261" i="2"/>
  <c r="AA1261" i="2"/>
  <c r="Y1261" i="2"/>
  <c r="AB1260" i="2"/>
  <c r="AA1260" i="2"/>
  <c r="Y1260" i="2"/>
  <c r="AB1259" i="2"/>
  <c r="AA1259" i="2"/>
  <c r="Y1259" i="2"/>
  <c r="AB1258" i="2"/>
  <c r="AA1258" i="2"/>
  <c r="Y1258" i="2"/>
  <c r="AB1257" i="2"/>
  <c r="AA1257" i="2"/>
  <c r="Y1257" i="2"/>
  <c r="AB1256" i="2"/>
  <c r="AA1256" i="2"/>
  <c r="Y1256" i="2"/>
  <c r="AB1255" i="2"/>
  <c r="AA1255" i="2"/>
  <c r="Y1255" i="2"/>
  <c r="AB1254" i="2"/>
  <c r="AA1254" i="2"/>
  <c r="Y1254" i="2"/>
  <c r="AB1253" i="2"/>
  <c r="AA1253" i="2"/>
  <c r="Y1253" i="2"/>
  <c r="AB1252" i="2"/>
  <c r="AA1252" i="2"/>
  <c r="Y1252" i="2"/>
  <c r="AB1251" i="2"/>
  <c r="AA1251" i="2"/>
  <c r="Y1251" i="2"/>
  <c r="AB1250" i="2"/>
  <c r="AA1250" i="2"/>
  <c r="Y1250" i="2"/>
  <c r="AB1249" i="2"/>
  <c r="AA1249" i="2"/>
  <c r="Y1249" i="2"/>
  <c r="AB1248" i="2"/>
  <c r="AA1248" i="2"/>
  <c r="Y1248" i="2"/>
  <c r="AB1247" i="2"/>
  <c r="AA1247" i="2"/>
  <c r="Y1247" i="2"/>
  <c r="AB1246" i="2"/>
  <c r="AA1246" i="2"/>
  <c r="Y1246" i="2"/>
  <c r="AB1245" i="2"/>
  <c r="AA1245" i="2"/>
  <c r="Y1245" i="2"/>
  <c r="AB1244" i="2"/>
  <c r="AA1244" i="2"/>
  <c r="Y1244" i="2"/>
  <c r="AB1243" i="2"/>
  <c r="AA1243" i="2"/>
  <c r="Y1243" i="2"/>
  <c r="AB1242" i="2"/>
  <c r="AA1242" i="2"/>
  <c r="Y1242" i="2"/>
  <c r="AB1241" i="2"/>
  <c r="AA1241" i="2"/>
  <c r="Y1241" i="2"/>
  <c r="AB1240" i="2"/>
  <c r="AA1240" i="2"/>
  <c r="Y1240" i="2"/>
  <c r="AB1239" i="2"/>
  <c r="AA1239" i="2"/>
  <c r="Y1239" i="2"/>
  <c r="AB1238" i="2"/>
  <c r="AA1238" i="2"/>
  <c r="Y1238" i="2"/>
  <c r="AB1237" i="2"/>
  <c r="AA1237" i="2"/>
  <c r="Y1237" i="2"/>
  <c r="AB1236" i="2"/>
  <c r="AA1236" i="2"/>
  <c r="Y1236" i="2"/>
  <c r="AB1235" i="2"/>
  <c r="AA1235" i="2"/>
  <c r="Y1235" i="2"/>
  <c r="AB1234" i="2"/>
  <c r="AA1234" i="2"/>
  <c r="Y1234" i="2"/>
  <c r="AB1233" i="2"/>
  <c r="AA1233" i="2"/>
  <c r="Y1233" i="2"/>
  <c r="AB1232" i="2"/>
  <c r="AA1232" i="2"/>
  <c r="Y1232" i="2"/>
  <c r="AB1231" i="2"/>
  <c r="AA1231" i="2"/>
  <c r="Y1231" i="2"/>
  <c r="AB1230" i="2"/>
  <c r="AA1230" i="2"/>
  <c r="Y1230" i="2"/>
  <c r="AB1229" i="2"/>
  <c r="AA1229" i="2"/>
  <c r="Y1229" i="2"/>
  <c r="AB1228" i="2"/>
  <c r="AA1228" i="2"/>
  <c r="Y1228" i="2"/>
  <c r="AB1227" i="2"/>
  <c r="AA1227" i="2"/>
  <c r="Y1227" i="2"/>
  <c r="AB1226" i="2"/>
  <c r="AA1226" i="2"/>
  <c r="Y1226" i="2"/>
  <c r="AB1225" i="2"/>
  <c r="AA1225" i="2"/>
  <c r="Y1225" i="2"/>
  <c r="AB1224" i="2"/>
  <c r="AA1224" i="2"/>
  <c r="Y1224" i="2"/>
  <c r="AB1223" i="2"/>
  <c r="AA1223" i="2"/>
  <c r="Y1223" i="2"/>
  <c r="AB1222" i="2"/>
  <c r="AA1222" i="2"/>
  <c r="Y1222" i="2"/>
  <c r="AB1221" i="2"/>
  <c r="AA1221" i="2"/>
  <c r="Y1221" i="2"/>
  <c r="AB1220" i="2"/>
  <c r="AA1220" i="2"/>
  <c r="Y1220" i="2"/>
  <c r="AB1219" i="2"/>
  <c r="AA1219" i="2"/>
  <c r="Y1219" i="2"/>
  <c r="AB1218" i="2"/>
  <c r="AA1218" i="2"/>
  <c r="Y1218" i="2"/>
  <c r="AB1217" i="2"/>
  <c r="AA1217" i="2"/>
  <c r="Y1217" i="2"/>
  <c r="AB1216" i="2"/>
  <c r="AA1216" i="2"/>
  <c r="Y1216" i="2"/>
  <c r="AB1215" i="2"/>
  <c r="AA1215" i="2"/>
  <c r="Y1215" i="2"/>
  <c r="AB1214" i="2"/>
  <c r="AA1214" i="2"/>
  <c r="Y1214" i="2"/>
  <c r="AB1213" i="2"/>
  <c r="AA1213" i="2"/>
  <c r="Y1213" i="2"/>
  <c r="AB1212" i="2"/>
  <c r="AA1212" i="2"/>
  <c r="Y1212" i="2"/>
  <c r="AB1211" i="2"/>
  <c r="AA1211" i="2"/>
  <c r="Y1211" i="2"/>
  <c r="AB1210" i="2"/>
  <c r="AA1210" i="2"/>
  <c r="Y1210" i="2"/>
  <c r="AB1209" i="2"/>
  <c r="AA1209" i="2"/>
  <c r="Y1209" i="2"/>
  <c r="AB1208" i="2"/>
  <c r="AA1208" i="2"/>
  <c r="Y1208" i="2"/>
  <c r="AB1207" i="2"/>
  <c r="AA1207" i="2"/>
  <c r="Y1207" i="2"/>
  <c r="AB1206" i="2"/>
  <c r="AA1206" i="2"/>
  <c r="Y1206" i="2"/>
  <c r="AB1205" i="2"/>
  <c r="AA1205" i="2"/>
  <c r="Y1205" i="2"/>
  <c r="AB1204" i="2"/>
  <c r="AA1204" i="2"/>
  <c r="Y1204" i="2"/>
  <c r="AB1203" i="2"/>
  <c r="AA1203" i="2"/>
  <c r="Y1203" i="2"/>
  <c r="AB1202" i="2"/>
  <c r="AA1202" i="2"/>
  <c r="Y1202" i="2"/>
  <c r="AB1201" i="2"/>
  <c r="AA1201" i="2"/>
  <c r="Y1201" i="2"/>
  <c r="AB1200" i="2"/>
  <c r="AA1200" i="2"/>
  <c r="Y1200" i="2"/>
  <c r="AB1199" i="2"/>
  <c r="AA1199" i="2"/>
  <c r="Y1199" i="2"/>
  <c r="AB1198" i="2"/>
  <c r="AA1198" i="2"/>
  <c r="Y1198" i="2"/>
  <c r="AB1197" i="2"/>
  <c r="AA1197" i="2"/>
  <c r="Y1197" i="2"/>
  <c r="AB1196" i="2"/>
  <c r="AA1196" i="2"/>
  <c r="Y1196" i="2"/>
  <c r="AB1195" i="2"/>
  <c r="AA1195" i="2"/>
  <c r="Y1195" i="2"/>
  <c r="AB1194" i="2"/>
  <c r="AA1194" i="2"/>
  <c r="Y1194" i="2"/>
  <c r="AB1193" i="2"/>
  <c r="AA1193" i="2"/>
  <c r="Y1193" i="2"/>
  <c r="AB1192" i="2"/>
  <c r="AA1192" i="2"/>
  <c r="Y1192" i="2"/>
  <c r="AB1191" i="2"/>
  <c r="AA1191" i="2"/>
  <c r="Y1191" i="2"/>
  <c r="AB1190" i="2"/>
  <c r="AA1190" i="2"/>
  <c r="Y1190" i="2"/>
  <c r="AB1189" i="2"/>
  <c r="AA1189" i="2"/>
  <c r="Y1189" i="2"/>
  <c r="AB1188" i="2"/>
  <c r="AA1188" i="2"/>
  <c r="Y1188" i="2"/>
  <c r="AB1187" i="2"/>
  <c r="AA1187" i="2"/>
  <c r="Y1187" i="2"/>
  <c r="AB1186" i="2"/>
  <c r="AA1186" i="2"/>
  <c r="Y1186" i="2"/>
  <c r="AB1185" i="2"/>
  <c r="AA1185" i="2"/>
  <c r="Y1185" i="2"/>
  <c r="AB1184" i="2"/>
  <c r="AA1184" i="2"/>
  <c r="Y1184" i="2"/>
  <c r="AB1183" i="2"/>
  <c r="AA1183" i="2"/>
  <c r="Y1183" i="2"/>
  <c r="AB1182" i="2"/>
  <c r="AA1182" i="2"/>
  <c r="Y1182" i="2"/>
  <c r="AB1181" i="2"/>
  <c r="AA1181" i="2"/>
  <c r="Y1181" i="2"/>
  <c r="AB1180" i="2"/>
  <c r="AA1180" i="2"/>
  <c r="Y1180" i="2"/>
  <c r="AB1179" i="2"/>
  <c r="AA1179" i="2"/>
  <c r="Y1179" i="2"/>
  <c r="AB1178" i="2"/>
  <c r="AA1178" i="2"/>
  <c r="Y1178" i="2"/>
  <c r="AB1177" i="2"/>
  <c r="AA1177" i="2"/>
  <c r="Y1177" i="2"/>
  <c r="AB1176" i="2"/>
  <c r="AA1176" i="2"/>
  <c r="Y1176" i="2"/>
  <c r="AB1175" i="2"/>
  <c r="AA1175" i="2"/>
  <c r="Y1175" i="2"/>
  <c r="AB1174" i="2"/>
  <c r="AA1174" i="2"/>
  <c r="Y1174" i="2"/>
  <c r="AB1173" i="2"/>
  <c r="AA1173" i="2"/>
  <c r="Y1173" i="2"/>
  <c r="AB1172" i="2"/>
  <c r="AA1172" i="2"/>
  <c r="Y1172" i="2"/>
  <c r="AB1171" i="2"/>
  <c r="AA1171" i="2"/>
  <c r="Y1171" i="2"/>
  <c r="AB1170" i="2"/>
  <c r="AA1170" i="2"/>
  <c r="Y1170" i="2"/>
  <c r="AB1169" i="2"/>
  <c r="AA1169" i="2"/>
  <c r="Y1169" i="2"/>
  <c r="AB1168" i="2"/>
  <c r="AA1168" i="2"/>
  <c r="Y1168" i="2"/>
  <c r="AB1167" i="2"/>
  <c r="AA1167" i="2"/>
  <c r="Y1167" i="2"/>
  <c r="AB1166" i="2"/>
  <c r="AA1166" i="2"/>
  <c r="Y1166" i="2"/>
  <c r="AB1165" i="2"/>
  <c r="AA1165" i="2"/>
  <c r="Y1165" i="2"/>
  <c r="AB1164" i="2"/>
  <c r="AA1164" i="2"/>
  <c r="Y1164" i="2"/>
  <c r="AB1163" i="2"/>
  <c r="AA1163" i="2"/>
  <c r="Y1163" i="2"/>
  <c r="AB1162" i="2"/>
  <c r="AA1162" i="2"/>
  <c r="Y1162" i="2"/>
  <c r="AB1161" i="2"/>
  <c r="AA1161" i="2"/>
  <c r="Y1161" i="2"/>
  <c r="AB1160" i="2"/>
  <c r="AA1160" i="2"/>
  <c r="Y1160" i="2"/>
  <c r="AB1159" i="2"/>
  <c r="AA1159" i="2"/>
  <c r="Y1159" i="2"/>
  <c r="AB1158" i="2"/>
  <c r="AA1158" i="2"/>
  <c r="Y1158" i="2"/>
  <c r="AB1157" i="2"/>
  <c r="AA1157" i="2"/>
  <c r="Y1157" i="2"/>
  <c r="AB1156" i="2"/>
  <c r="AA1156" i="2"/>
  <c r="Y1156" i="2"/>
  <c r="AB1155" i="2"/>
  <c r="AA1155" i="2"/>
  <c r="Y1155" i="2"/>
  <c r="AB1154" i="2"/>
  <c r="AA1154" i="2"/>
  <c r="Y1154" i="2"/>
  <c r="AB1153" i="2"/>
  <c r="AA1153" i="2"/>
  <c r="Y1153" i="2"/>
  <c r="AB1152" i="2"/>
  <c r="AA1152" i="2"/>
  <c r="Y1152" i="2"/>
  <c r="AB1151" i="2"/>
  <c r="AA1151" i="2"/>
  <c r="Y1151" i="2"/>
  <c r="AB1150" i="2"/>
  <c r="AA1150" i="2"/>
  <c r="Y1150" i="2"/>
  <c r="AB1149" i="2"/>
  <c r="AA1149" i="2"/>
  <c r="Y1149" i="2"/>
  <c r="AB1148" i="2"/>
  <c r="AA1148" i="2"/>
  <c r="Y1148" i="2"/>
  <c r="AB1147" i="2"/>
  <c r="AA1147" i="2"/>
  <c r="Y1147" i="2"/>
  <c r="AB1146" i="2"/>
  <c r="AA1146" i="2"/>
  <c r="Y1146" i="2"/>
  <c r="AB1145" i="2"/>
  <c r="AA1145" i="2"/>
  <c r="Y1145" i="2"/>
  <c r="AB1144" i="2"/>
  <c r="AA1144" i="2"/>
  <c r="Y1144" i="2"/>
  <c r="AB1143" i="2"/>
  <c r="AA1143" i="2"/>
  <c r="Y1143" i="2"/>
  <c r="AB1142" i="2"/>
  <c r="AA1142" i="2"/>
  <c r="Y1142" i="2"/>
  <c r="AB1141" i="2"/>
  <c r="AA1141" i="2"/>
  <c r="Y1141" i="2"/>
  <c r="AB1140" i="2"/>
  <c r="AA1140" i="2"/>
  <c r="Y1140" i="2"/>
  <c r="AB1139" i="2"/>
  <c r="AA1139" i="2"/>
  <c r="Y1139" i="2"/>
  <c r="AB1138" i="2"/>
  <c r="AA1138" i="2"/>
  <c r="Y1138" i="2"/>
  <c r="AB1137" i="2"/>
  <c r="AA1137" i="2"/>
  <c r="Y1137" i="2"/>
  <c r="AB1136" i="2"/>
  <c r="AA1136" i="2"/>
  <c r="Y1136" i="2"/>
  <c r="AB1135" i="2"/>
  <c r="AA1135" i="2"/>
  <c r="Y1135" i="2"/>
  <c r="AB1134" i="2"/>
  <c r="AA1134" i="2"/>
  <c r="Y1134" i="2"/>
  <c r="AB1133" i="2"/>
  <c r="AA1133" i="2"/>
  <c r="Y1133" i="2"/>
  <c r="AB1132" i="2"/>
  <c r="AA1132" i="2"/>
  <c r="Y1132" i="2"/>
  <c r="AB1131" i="2"/>
  <c r="AA1131" i="2"/>
  <c r="Y1131" i="2"/>
  <c r="AB1130" i="2"/>
  <c r="AA1130" i="2"/>
  <c r="Y1130" i="2"/>
  <c r="AB1129" i="2"/>
  <c r="AA1129" i="2"/>
  <c r="Y1129" i="2"/>
  <c r="AB1128" i="2"/>
  <c r="AA1128" i="2"/>
  <c r="Y1128" i="2"/>
  <c r="AB1127" i="2"/>
  <c r="AA1127" i="2"/>
  <c r="Y1127" i="2"/>
  <c r="AB1126" i="2"/>
  <c r="AA1126" i="2"/>
  <c r="Y1126" i="2"/>
  <c r="AB1125" i="2"/>
  <c r="AA1125" i="2"/>
  <c r="Y1125" i="2"/>
  <c r="AB1124" i="2"/>
  <c r="AA1124" i="2"/>
  <c r="Y1124" i="2"/>
  <c r="AB1123" i="2"/>
  <c r="AA1123" i="2"/>
  <c r="Y1123" i="2"/>
  <c r="AB1122" i="2"/>
  <c r="AA1122" i="2"/>
  <c r="Y1122" i="2"/>
  <c r="AB1121" i="2"/>
  <c r="AA1121" i="2"/>
  <c r="Y1121" i="2"/>
  <c r="AB1120" i="2"/>
  <c r="AA1120" i="2"/>
  <c r="Y1120" i="2"/>
  <c r="AB1119" i="2"/>
  <c r="AA1119" i="2"/>
  <c r="Y1119" i="2"/>
  <c r="AB1118" i="2"/>
  <c r="AA1118" i="2"/>
  <c r="Y1118" i="2"/>
  <c r="AB1117" i="2"/>
  <c r="AA1117" i="2"/>
  <c r="Y1117" i="2"/>
  <c r="AB1116" i="2"/>
  <c r="AA1116" i="2"/>
  <c r="Y1116" i="2"/>
  <c r="AB1115" i="2"/>
  <c r="AA1115" i="2"/>
  <c r="Y1115" i="2"/>
  <c r="AB1114" i="2"/>
  <c r="AA1114" i="2"/>
  <c r="Y1114" i="2"/>
  <c r="AB1113" i="2"/>
  <c r="AA1113" i="2"/>
  <c r="Y1113" i="2"/>
  <c r="AB1112" i="2"/>
  <c r="AA1112" i="2"/>
  <c r="Y1112" i="2"/>
  <c r="AB1111" i="2"/>
  <c r="AA1111" i="2"/>
  <c r="Y1111" i="2"/>
  <c r="AB1110" i="2"/>
  <c r="AA1110" i="2"/>
  <c r="Y1110" i="2"/>
  <c r="AB1109" i="2"/>
  <c r="AA1109" i="2"/>
  <c r="Y1109" i="2"/>
  <c r="AB1108" i="2"/>
  <c r="AA1108" i="2"/>
  <c r="Y1108" i="2"/>
  <c r="AB1107" i="2"/>
  <c r="AA1107" i="2"/>
  <c r="Y1107" i="2"/>
  <c r="AB1106" i="2"/>
  <c r="AA1106" i="2"/>
  <c r="Y1106" i="2"/>
  <c r="AB1105" i="2"/>
  <c r="AA1105" i="2"/>
  <c r="Y1105" i="2"/>
  <c r="AB1104" i="2"/>
  <c r="AA1104" i="2"/>
  <c r="Y1104" i="2"/>
  <c r="AB1103" i="2"/>
  <c r="AA1103" i="2"/>
  <c r="Y1103" i="2"/>
  <c r="AB1102" i="2"/>
  <c r="AA1102" i="2"/>
  <c r="Y1102" i="2"/>
  <c r="AB1101" i="2"/>
  <c r="AA1101" i="2"/>
  <c r="Y1101" i="2"/>
  <c r="AB1100" i="2"/>
  <c r="AA1100" i="2"/>
  <c r="Y1100" i="2"/>
  <c r="AB1099" i="2"/>
  <c r="AA1099" i="2"/>
  <c r="Y1099" i="2"/>
  <c r="AB1098" i="2"/>
  <c r="AA1098" i="2"/>
  <c r="Y1098" i="2"/>
  <c r="AB1097" i="2"/>
  <c r="AA1097" i="2"/>
  <c r="Y1097" i="2"/>
  <c r="AB1096" i="2"/>
  <c r="AA1096" i="2"/>
  <c r="Y1096" i="2"/>
  <c r="AB1095" i="2"/>
  <c r="AA1095" i="2"/>
  <c r="Y1095" i="2"/>
  <c r="AB1094" i="2"/>
  <c r="AA1094" i="2"/>
  <c r="Y1094" i="2"/>
  <c r="AB1093" i="2"/>
  <c r="AA1093" i="2"/>
  <c r="Y1093" i="2"/>
  <c r="AB1092" i="2"/>
  <c r="AA1092" i="2"/>
  <c r="Y1092" i="2"/>
  <c r="AB1091" i="2"/>
  <c r="AA1091" i="2"/>
  <c r="Y1091" i="2"/>
  <c r="AB1090" i="2"/>
  <c r="AA1090" i="2"/>
  <c r="Y1090" i="2"/>
  <c r="AB1089" i="2"/>
  <c r="AA1089" i="2"/>
  <c r="Y1089" i="2"/>
  <c r="AB1088" i="2"/>
  <c r="AA1088" i="2"/>
  <c r="Y1088" i="2"/>
  <c r="AB1087" i="2"/>
  <c r="AA1087" i="2"/>
  <c r="Y1087" i="2"/>
  <c r="AB1086" i="2"/>
  <c r="AA1086" i="2"/>
  <c r="Y1086" i="2"/>
  <c r="AB1085" i="2"/>
  <c r="AA1085" i="2"/>
  <c r="Y1085" i="2"/>
  <c r="AB1084" i="2"/>
  <c r="AA1084" i="2"/>
  <c r="Y1084" i="2"/>
  <c r="AB1083" i="2"/>
  <c r="AA1083" i="2"/>
  <c r="Y1083" i="2"/>
  <c r="AB1082" i="2"/>
  <c r="AA1082" i="2"/>
  <c r="Y1082" i="2"/>
  <c r="AB1081" i="2"/>
  <c r="AA1081" i="2"/>
  <c r="Y1081" i="2"/>
  <c r="AB1080" i="2"/>
  <c r="AA1080" i="2"/>
  <c r="Y1080" i="2"/>
  <c r="AB1079" i="2"/>
  <c r="AA1079" i="2"/>
  <c r="Y1079" i="2"/>
  <c r="AB1078" i="2"/>
  <c r="AA1078" i="2"/>
  <c r="Y1078" i="2"/>
  <c r="AB1077" i="2"/>
  <c r="AA1077" i="2"/>
  <c r="Y1077" i="2"/>
  <c r="AB1076" i="2"/>
  <c r="AA1076" i="2"/>
  <c r="Y1076" i="2"/>
  <c r="AB1075" i="2"/>
  <c r="AA1075" i="2"/>
  <c r="Y1075" i="2"/>
  <c r="AB1074" i="2"/>
  <c r="AA1074" i="2"/>
  <c r="Y1074" i="2"/>
  <c r="AB1073" i="2"/>
  <c r="AA1073" i="2"/>
  <c r="Y1073" i="2"/>
  <c r="AB1072" i="2"/>
  <c r="AA1072" i="2"/>
  <c r="Y1072" i="2"/>
  <c r="AB1071" i="2"/>
  <c r="AA1071" i="2"/>
  <c r="Y1071" i="2"/>
  <c r="AB1070" i="2"/>
  <c r="AA1070" i="2"/>
  <c r="Y1070" i="2"/>
  <c r="AB1069" i="2"/>
  <c r="AA1069" i="2"/>
  <c r="Y1069" i="2"/>
  <c r="AB1068" i="2"/>
  <c r="AA1068" i="2"/>
  <c r="Y1068" i="2"/>
  <c r="AB1067" i="2"/>
  <c r="AA1067" i="2"/>
  <c r="Y1067" i="2"/>
  <c r="AB1066" i="2"/>
  <c r="AA1066" i="2"/>
  <c r="Y1066" i="2"/>
  <c r="AB1065" i="2"/>
  <c r="AA1065" i="2"/>
  <c r="Y1065" i="2"/>
  <c r="AB1064" i="2"/>
  <c r="AA1064" i="2"/>
  <c r="Y1064" i="2"/>
  <c r="AB1063" i="2"/>
  <c r="AA1063" i="2"/>
  <c r="Y1063" i="2"/>
  <c r="AB1062" i="2"/>
  <c r="AA1062" i="2"/>
  <c r="Y1062" i="2"/>
  <c r="AB1061" i="2"/>
  <c r="AA1061" i="2"/>
  <c r="Y1061" i="2"/>
  <c r="AB1060" i="2"/>
  <c r="AA1060" i="2"/>
  <c r="Y1060" i="2"/>
  <c r="AB1059" i="2"/>
  <c r="AA1059" i="2"/>
  <c r="Y1059" i="2"/>
  <c r="AB1058" i="2"/>
  <c r="AA1058" i="2"/>
  <c r="Y1058" i="2"/>
  <c r="AB1057" i="2"/>
  <c r="AA1057" i="2"/>
  <c r="Y1057" i="2"/>
  <c r="AB1056" i="2"/>
  <c r="AA1056" i="2"/>
  <c r="Y1056" i="2"/>
  <c r="AB1055" i="2"/>
  <c r="AA1055" i="2"/>
  <c r="Y1055" i="2"/>
  <c r="AB1054" i="2"/>
  <c r="AA1054" i="2"/>
  <c r="Y1054" i="2"/>
  <c r="AB1053" i="2"/>
  <c r="AA1053" i="2"/>
  <c r="Y1053" i="2"/>
  <c r="AB1052" i="2"/>
  <c r="AA1052" i="2"/>
  <c r="Y1052" i="2"/>
  <c r="AB1051" i="2"/>
  <c r="AA1051" i="2"/>
  <c r="Y1051" i="2"/>
  <c r="AB1050" i="2"/>
  <c r="AA1050" i="2"/>
  <c r="Y1050" i="2"/>
  <c r="AB1049" i="2"/>
  <c r="AA1049" i="2"/>
  <c r="Y1049" i="2"/>
  <c r="AB1048" i="2"/>
  <c r="AA1048" i="2"/>
  <c r="Y1048" i="2"/>
  <c r="AB1047" i="2"/>
  <c r="AA1047" i="2"/>
  <c r="Y1047" i="2"/>
  <c r="AB1046" i="2"/>
  <c r="AA1046" i="2"/>
  <c r="Y1046" i="2"/>
  <c r="AB1045" i="2"/>
  <c r="AA1045" i="2"/>
  <c r="Y1045" i="2"/>
  <c r="AB1044" i="2"/>
  <c r="AA1044" i="2"/>
  <c r="Y1044" i="2"/>
  <c r="AB1043" i="2"/>
  <c r="AA1043" i="2"/>
  <c r="Y1043" i="2"/>
  <c r="AB1042" i="2"/>
  <c r="AA1042" i="2"/>
  <c r="Y1042" i="2"/>
  <c r="AB1041" i="2"/>
  <c r="AA1041" i="2"/>
  <c r="Y1041" i="2"/>
  <c r="AB1040" i="2"/>
  <c r="AA1040" i="2"/>
  <c r="Y1040" i="2"/>
  <c r="AB1039" i="2"/>
  <c r="AA1039" i="2"/>
  <c r="Y1039" i="2"/>
  <c r="AB1038" i="2"/>
  <c r="AA1038" i="2"/>
  <c r="Y1038" i="2"/>
  <c r="AB1037" i="2"/>
  <c r="AA1037" i="2"/>
  <c r="Y1037" i="2"/>
  <c r="AB1036" i="2"/>
  <c r="AA1036" i="2"/>
  <c r="Y1036" i="2"/>
  <c r="AB1035" i="2"/>
  <c r="AA1035" i="2"/>
  <c r="Y1035" i="2"/>
  <c r="AB1034" i="2"/>
  <c r="AA1034" i="2"/>
  <c r="Y1034" i="2"/>
  <c r="AB1033" i="2"/>
  <c r="AA1033" i="2"/>
  <c r="Y1033" i="2"/>
  <c r="AB1032" i="2"/>
  <c r="AA1032" i="2"/>
  <c r="Y1032" i="2"/>
  <c r="AB1031" i="2"/>
  <c r="AA1031" i="2"/>
  <c r="Y1031" i="2"/>
  <c r="AB1030" i="2"/>
  <c r="AA1030" i="2"/>
  <c r="Y1030" i="2"/>
  <c r="AB1029" i="2"/>
  <c r="AA1029" i="2"/>
  <c r="Y1029" i="2"/>
  <c r="AB1028" i="2"/>
  <c r="AA1028" i="2"/>
  <c r="Y1028" i="2"/>
  <c r="AB1027" i="2"/>
  <c r="AA1027" i="2"/>
  <c r="Y1027" i="2"/>
  <c r="AB1026" i="2"/>
  <c r="AA1026" i="2"/>
  <c r="Y1026" i="2"/>
  <c r="AB1025" i="2"/>
  <c r="AA1025" i="2"/>
  <c r="Y1025" i="2"/>
  <c r="AB1024" i="2"/>
  <c r="AA1024" i="2"/>
  <c r="Y1024" i="2"/>
  <c r="AB1023" i="2"/>
  <c r="AA1023" i="2"/>
  <c r="Y1023" i="2"/>
  <c r="AB1022" i="2"/>
  <c r="AA1022" i="2"/>
  <c r="Y1022" i="2"/>
  <c r="AB1021" i="2"/>
  <c r="AA1021" i="2"/>
  <c r="Y1021" i="2"/>
  <c r="AB1020" i="2"/>
  <c r="AA1020" i="2"/>
  <c r="Y1020" i="2"/>
  <c r="AB1019" i="2"/>
  <c r="AA1019" i="2"/>
  <c r="Y1019" i="2"/>
  <c r="AB1018" i="2"/>
  <c r="AA1018" i="2"/>
  <c r="Y1018" i="2"/>
  <c r="AB1017" i="2"/>
  <c r="AA1017" i="2"/>
  <c r="Y1017" i="2"/>
  <c r="AB1016" i="2"/>
  <c r="AA1016" i="2"/>
  <c r="Y1016" i="2"/>
  <c r="AB1015" i="2"/>
  <c r="AA1015" i="2"/>
  <c r="Y1015" i="2"/>
  <c r="AB1014" i="2"/>
  <c r="AA1014" i="2"/>
  <c r="Y1014" i="2"/>
  <c r="AB1013" i="2"/>
  <c r="AA1013" i="2"/>
  <c r="Y1013" i="2"/>
  <c r="AB1012" i="2"/>
  <c r="AA1012" i="2"/>
  <c r="Y1012" i="2"/>
  <c r="AB1011" i="2"/>
  <c r="AA1011" i="2"/>
  <c r="Y1011" i="2"/>
  <c r="AB1010" i="2"/>
  <c r="AA1010" i="2"/>
  <c r="Y1010" i="2"/>
  <c r="AB1009" i="2"/>
  <c r="AA1009" i="2"/>
  <c r="Y1009" i="2"/>
  <c r="AB1008" i="2"/>
  <c r="AA1008" i="2"/>
  <c r="Y1008" i="2"/>
  <c r="AB1007" i="2"/>
  <c r="AA1007" i="2"/>
  <c r="Y1007" i="2"/>
  <c r="AB1006" i="2"/>
  <c r="AA1006" i="2"/>
  <c r="Y1006" i="2"/>
  <c r="AB1005" i="2"/>
  <c r="AA1005" i="2"/>
  <c r="Y1005" i="2"/>
  <c r="AB1004" i="2"/>
  <c r="AA1004" i="2"/>
  <c r="Y1004" i="2"/>
  <c r="AB1003" i="2"/>
  <c r="AA1003" i="2"/>
  <c r="Y1003" i="2"/>
  <c r="AB1002" i="2"/>
  <c r="AA1002" i="2"/>
  <c r="Y1002" i="2"/>
  <c r="AB1001" i="2"/>
  <c r="AA1001" i="2"/>
  <c r="Y1001" i="2"/>
  <c r="AB1000" i="2"/>
  <c r="AA1000" i="2"/>
  <c r="Y1000" i="2"/>
  <c r="AB999" i="2"/>
  <c r="AA999" i="2"/>
  <c r="Y999" i="2"/>
  <c r="AB998" i="2"/>
  <c r="AA998" i="2"/>
  <c r="Y998" i="2"/>
  <c r="AB997" i="2"/>
  <c r="AA997" i="2"/>
  <c r="Y997" i="2"/>
  <c r="AB996" i="2"/>
  <c r="AA996" i="2"/>
  <c r="Y996" i="2"/>
  <c r="AB995" i="2"/>
  <c r="AA995" i="2"/>
  <c r="Y995" i="2"/>
  <c r="AB994" i="2"/>
  <c r="AA994" i="2"/>
  <c r="Y994" i="2"/>
  <c r="AB993" i="2"/>
  <c r="AA993" i="2"/>
  <c r="Y993" i="2"/>
  <c r="AB992" i="2"/>
  <c r="AA992" i="2"/>
  <c r="Y992" i="2"/>
  <c r="AB991" i="2"/>
  <c r="AA991" i="2"/>
  <c r="Y991" i="2"/>
  <c r="AB990" i="2"/>
  <c r="AA990" i="2"/>
  <c r="Y990" i="2"/>
  <c r="AB989" i="2"/>
  <c r="AA989" i="2"/>
  <c r="Y989" i="2"/>
  <c r="AB988" i="2"/>
  <c r="AA988" i="2"/>
  <c r="Y988" i="2"/>
  <c r="AB987" i="2"/>
  <c r="AA987" i="2"/>
  <c r="Y987" i="2"/>
  <c r="AB986" i="2"/>
  <c r="AA986" i="2"/>
  <c r="Y986" i="2"/>
  <c r="AB985" i="2"/>
  <c r="AA985" i="2"/>
  <c r="Y985" i="2"/>
  <c r="AB984" i="2"/>
  <c r="AA984" i="2"/>
  <c r="Y984" i="2"/>
  <c r="AB983" i="2"/>
  <c r="AA983" i="2"/>
  <c r="Y983" i="2"/>
  <c r="AB982" i="2"/>
  <c r="AA982" i="2"/>
  <c r="Y982" i="2"/>
  <c r="AB981" i="2"/>
  <c r="AA981" i="2"/>
  <c r="Y981" i="2"/>
  <c r="AB980" i="2"/>
  <c r="AA980" i="2"/>
  <c r="Y980" i="2"/>
  <c r="AB979" i="2"/>
  <c r="AA979" i="2"/>
  <c r="Y979" i="2"/>
  <c r="AB978" i="2"/>
  <c r="AA978" i="2"/>
  <c r="Y978" i="2"/>
  <c r="AB977" i="2"/>
  <c r="AA977" i="2"/>
  <c r="Y977" i="2"/>
  <c r="AB976" i="2"/>
  <c r="AA976" i="2"/>
  <c r="Y976" i="2"/>
  <c r="AB975" i="2"/>
  <c r="AA975" i="2"/>
  <c r="Y975" i="2"/>
  <c r="AB974" i="2"/>
  <c r="AA974" i="2"/>
  <c r="Y974" i="2"/>
  <c r="AB973" i="2"/>
  <c r="AA973" i="2"/>
  <c r="Y973" i="2"/>
  <c r="AB972" i="2"/>
  <c r="AA972" i="2"/>
  <c r="Y972" i="2"/>
  <c r="AB971" i="2"/>
  <c r="AA971" i="2"/>
  <c r="Y971" i="2"/>
  <c r="AB970" i="2"/>
  <c r="AA970" i="2"/>
  <c r="Y970" i="2"/>
  <c r="AB969" i="2"/>
  <c r="AA969" i="2"/>
  <c r="Y969" i="2"/>
  <c r="AB968" i="2"/>
  <c r="AA968" i="2"/>
  <c r="Y968" i="2"/>
  <c r="AB967" i="2"/>
  <c r="AA967" i="2"/>
  <c r="Y967" i="2"/>
  <c r="AB966" i="2"/>
  <c r="AA966" i="2"/>
  <c r="Y966" i="2"/>
  <c r="AB965" i="2"/>
  <c r="AA965" i="2"/>
  <c r="Y965" i="2"/>
  <c r="AB964" i="2"/>
  <c r="AA964" i="2"/>
  <c r="Y964" i="2"/>
  <c r="AB963" i="2"/>
  <c r="AA963" i="2"/>
  <c r="Y963" i="2"/>
  <c r="AB962" i="2"/>
  <c r="AA962" i="2"/>
  <c r="Y962" i="2"/>
  <c r="AB961" i="2"/>
  <c r="AA961" i="2"/>
  <c r="Y961" i="2"/>
  <c r="AB960" i="2"/>
  <c r="AA960" i="2"/>
  <c r="Y960" i="2"/>
  <c r="AB959" i="2"/>
  <c r="AA959" i="2"/>
  <c r="Y959" i="2"/>
  <c r="AB958" i="2"/>
  <c r="AA958" i="2"/>
  <c r="Y958" i="2"/>
  <c r="AB957" i="2"/>
  <c r="AA957" i="2"/>
  <c r="Y957" i="2"/>
  <c r="AB956" i="2"/>
  <c r="AA956" i="2"/>
  <c r="Y956" i="2"/>
  <c r="AB955" i="2"/>
  <c r="AA955" i="2"/>
  <c r="Y955" i="2"/>
  <c r="AB954" i="2"/>
  <c r="AA954" i="2"/>
  <c r="Y954" i="2"/>
  <c r="AB953" i="2"/>
  <c r="AA953" i="2"/>
  <c r="Y953" i="2"/>
  <c r="AB952" i="2"/>
  <c r="AA952" i="2"/>
  <c r="Y952" i="2"/>
  <c r="AB951" i="2"/>
  <c r="AA951" i="2"/>
  <c r="Y951" i="2"/>
  <c r="AB950" i="2"/>
  <c r="AA950" i="2"/>
  <c r="Y950" i="2"/>
  <c r="AB949" i="2"/>
  <c r="AA949" i="2"/>
  <c r="Y949" i="2"/>
  <c r="AB948" i="2"/>
  <c r="AA948" i="2"/>
  <c r="Y948" i="2"/>
  <c r="AB947" i="2"/>
  <c r="AA947" i="2"/>
  <c r="Y947" i="2"/>
  <c r="AB946" i="2"/>
  <c r="AA946" i="2"/>
  <c r="Y946" i="2"/>
  <c r="AB945" i="2"/>
  <c r="AA945" i="2"/>
  <c r="Y945" i="2"/>
  <c r="AB944" i="2"/>
  <c r="AA944" i="2"/>
  <c r="Y944" i="2"/>
  <c r="AB943" i="2"/>
  <c r="AA943" i="2"/>
  <c r="Y943" i="2"/>
  <c r="AB942" i="2"/>
  <c r="AA942" i="2"/>
  <c r="Y942" i="2"/>
  <c r="AB941" i="2"/>
  <c r="AA941" i="2"/>
  <c r="Y941" i="2"/>
  <c r="AB940" i="2"/>
  <c r="AA940" i="2"/>
  <c r="Y940" i="2"/>
  <c r="AB939" i="2"/>
  <c r="AA939" i="2"/>
  <c r="Y939" i="2"/>
  <c r="AB938" i="2"/>
  <c r="AA938" i="2"/>
  <c r="Y938" i="2"/>
  <c r="AB937" i="2"/>
  <c r="AA937" i="2"/>
  <c r="Y937" i="2"/>
  <c r="AB936" i="2"/>
  <c r="AA936" i="2"/>
  <c r="Y936" i="2"/>
  <c r="AB935" i="2"/>
  <c r="AA935" i="2"/>
  <c r="Y935" i="2"/>
  <c r="AB934" i="2"/>
  <c r="AA934" i="2"/>
  <c r="Y934" i="2"/>
  <c r="AB933" i="2"/>
  <c r="AA933" i="2"/>
  <c r="Y933" i="2"/>
  <c r="AB932" i="2"/>
  <c r="AA932" i="2"/>
  <c r="Y932" i="2"/>
  <c r="AB931" i="2"/>
  <c r="AA931" i="2"/>
  <c r="Y931" i="2"/>
  <c r="AB930" i="2"/>
  <c r="AA930" i="2"/>
  <c r="Y930" i="2"/>
  <c r="AB929" i="2"/>
  <c r="AA929" i="2"/>
  <c r="Y929" i="2"/>
  <c r="AB928" i="2"/>
  <c r="AA928" i="2"/>
  <c r="Y928" i="2"/>
  <c r="AB927" i="2"/>
  <c r="AA927" i="2"/>
  <c r="Y927" i="2"/>
  <c r="AB926" i="2"/>
  <c r="AA926" i="2"/>
  <c r="Y926" i="2"/>
  <c r="AB925" i="2"/>
  <c r="AA925" i="2"/>
  <c r="Y925" i="2"/>
  <c r="AB924" i="2"/>
  <c r="AA924" i="2"/>
  <c r="Y924" i="2"/>
  <c r="AB923" i="2"/>
  <c r="AA923" i="2"/>
  <c r="Y923" i="2"/>
  <c r="AB922" i="2"/>
  <c r="AA922" i="2"/>
  <c r="Y922" i="2"/>
  <c r="AB921" i="2"/>
  <c r="AA921" i="2"/>
  <c r="Y921" i="2"/>
  <c r="AB920" i="2"/>
  <c r="AA920" i="2"/>
  <c r="Y920" i="2"/>
  <c r="AB919" i="2"/>
  <c r="AA919" i="2"/>
  <c r="Y919" i="2"/>
  <c r="AB918" i="2"/>
  <c r="AA918" i="2"/>
  <c r="Y918" i="2"/>
  <c r="AB917" i="2"/>
  <c r="AA917" i="2"/>
  <c r="Y917" i="2"/>
  <c r="AB916" i="2"/>
  <c r="AA916" i="2"/>
  <c r="Y916" i="2"/>
  <c r="AB915" i="2"/>
  <c r="AA915" i="2"/>
  <c r="Y915" i="2"/>
  <c r="AB914" i="2"/>
  <c r="AA914" i="2"/>
  <c r="Y914" i="2"/>
  <c r="AB913" i="2"/>
  <c r="AA913" i="2"/>
  <c r="Y913" i="2"/>
  <c r="AB912" i="2"/>
  <c r="AA912" i="2"/>
  <c r="Y912" i="2"/>
  <c r="AB911" i="2"/>
  <c r="AA911" i="2"/>
  <c r="Y911" i="2"/>
  <c r="AB910" i="2"/>
  <c r="AA910" i="2"/>
  <c r="Y910" i="2"/>
  <c r="AB909" i="2"/>
  <c r="AA909" i="2"/>
  <c r="Y909" i="2"/>
  <c r="AB908" i="2"/>
  <c r="AA908" i="2"/>
  <c r="Y908" i="2"/>
  <c r="AB907" i="2"/>
  <c r="AA907" i="2"/>
  <c r="Y907" i="2"/>
  <c r="AB906" i="2"/>
  <c r="AA906" i="2"/>
  <c r="Y906" i="2"/>
  <c r="AB905" i="2"/>
  <c r="AA905" i="2"/>
  <c r="Y905" i="2"/>
  <c r="AB904" i="2"/>
  <c r="AA904" i="2"/>
  <c r="Y904" i="2"/>
  <c r="AB903" i="2"/>
  <c r="AA903" i="2"/>
  <c r="Y903" i="2"/>
  <c r="AB902" i="2"/>
  <c r="AA902" i="2"/>
  <c r="Y902" i="2"/>
  <c r="AB901" i="2"/>
  <c r="AA901" i="2"/>
  <c r="Y901" i="2"/>
  <c r="AB900" i="2"/>
  <c r="AA900" i="2"/>
  <c r="Y900" i="2"/>
  <c r="AB899" i="2"/>
  <c r="AA899" i="2"/>
  <c r="Y899" i="2"/>
  <c r="AB898" i="2"/>
  <c r="AA898" i="2"/>
  <c r="Y898" i="2"/>
  <c r="AB897" i="2"/>
  <c r="AA897" i="2"/>
  <c r="Y897" i="2"/>
  <c r="AB896" i="2"/>
  <c r="AA896" i="2"/>
  <c r="Y896" i="2"/>
  <c r="AB895" i="2"/>
  <c r="AA895" i="2"/>
  <c r="Y895" i="2"/>
  <c r="AB894" i="2"/>
  <c r="AA894" i="2"/>
  <c r="Y894" i="2"/>
  <c r="AB893" i="2"/>
  <c r="AA893" i="2"/>
  <c r="Y893" i="2"/>
  <c r="AB892" i="2"/>
  <c r="AA892" i="2"/>
  <c r="Y892" i="2"/>
  <c r="AB891" i="2"/>
  <c r="AA891" i="2"/>
  <c r="Y891" i="2"/>
  <c r="AB890" i="2"/>
  <c r="AA890" i="2"/>
  <c r="Y890" i="2"/>
  <c r="AB889" i="2"/>
  <c r="AA889" i="2"/>
  <c r="Y889" i="2"/>
  <c r="AB888" i="2"/>
  <c r="AA888" i="2"/>
  <c r="Y888" i="2"/>
  <c r="AB887" i="2"/>
  <c r="AA887" i="2"/>
  <c r="Y887" i="2"/>
  <c r="AB886" i="2"/>
  <c r="AA886" i="2"/>
  <c r="Y886" i="2"/>
  <c r="AB885" i="2"/>
  <c r="AA885" i="2"/>
  <c r="Y885" i="2"/>
  <c r="AB884" i="2"/>
  <c r="AA884" i="2"/>
  <c r="Y884" i="2"/>
  <c r="AB883" i="2"/>
  <c r="AA883" i="2"/>
  <c r="Y883" i="2"/>
  <c r="AB882" i="2"/>
  <c r="AA882" i="2"/>
  <c r="Y882" i="2"/>
  <c r="AB881" i="2"/>
  <c r="AA881" i="2"/>
  <c r="Y881" i="2"/>
  <c r="AB880" i="2"/>
  <c r="AA880" i="2"/>
  <c r="Y880" i="2"/>
  <c r="AB879" i="2"/>
  <c r="AA879" i="2"/>
  <c r="Y879" i="2"/>
  <c r="AB878" i="2"/>
  <c r="AA878" i="2"/>
  <c r="Y878" i="2"/>
  <c r="AB877" i="2"/>
  <c r="AA877" i="2"/>
  <c r="Y877" i="2"/>
  <c r="AB876" i="2"/>
  <c r="AA876" i="2"/>
  <c r="Y876" i="2"/>
  <c r="AB875" i="2"/>
  <c r="AA875" i="2"/>
  <c r="Y875" i="2"/>
  <c r="AB874" i="2"/>
  <c r="AA874" i="2"/>
  <c r="Y874" i="2"/>
  <c r="AB873" i="2"/>
  <c r="AA873" i="2"/>
  <c r="Y873" i="2"/>
  <c r="AB872" i="2"/>
  <c r="AA872" i="2"/>
  <c r="Y872" i="2"/>
  <c r="AB871" i="2"/>
  <c r="AA871" i="2"/>
  <c r="Y871" i="2"/>
  <c r="AB870" i="2"/>
  <c r="AA870" i="2"/>
  <c r="Y870" i="2"/>
  <c r="AB869" i="2"/>
  <c r="AA869" i="2"/>
  <c r="Y869" i="2"/>
  <c r="AB868" i="2"/>
  <c r="AA868" i="2"/>
  <c r="Y868" i="2"/>
  <c r="AB867" i="2"/>
  <c r="AA867" i="2"/>
  <c r="Y867" i="2"/>
  <c r="AB866" i="2"/>
  <c r="AA866" i="2"/>
  <c r="Y866" i="2"/>
  <c r="AB865" i="2"/>
  <c r="AA865" i="2"/>
  <c r="Y865" i="2"/>
  <c r="AB864" i="2"/>
  <c r="AA864" i="2"/>
  <c r="Y864" i="2"/>
  <c r="AB863" i="2"/>
  <c r="AA863" i="2"/>
  <c r="Y863" i="2"/>
  <c r="AB862" i="2"/>
  <c r="AA862" i="2"/>
  <c r="Y862" i="2"/>
  <c r="AB861" i="2"/>
  <c r="AA861" i="2"/>
  <c r="Y861" i="2"/>
  <c r="AB860" i="2"/>
  <c r="AA860" i="2"/>
  <c r="Y860" i="2"/>
  <c r="AB859" i="2"/>
  <c r="AA859" i="2"/>
  <c r="Y859" i="2"/>
  <c r="AB858" i="2"/>
  <c r="AA858" i="2"/>
  <c r="Y858" i="2"/>
  <c r="AB857" i="2"/>
  <c r="AA857" i="2"/>
  <c r="Y857" i="2"/>
  <c r="AB856" i="2"/>
  <c r="AA856" i="2"/>
  <c r="Y856" i="2"/>
  <c r="AB855" i="2"/>
  <c r="AA855" i="2"/>
  <c r="Y855" i="2"/>
  <c r="AB854" i="2"/>
  <c r="AA854" i="2"/>
  <c r="Y854" i="2"/>
  <c r="AB853" i="2"/>
  <c r="AA853" i="2"/>
  <c r="Y853" i="2"/>
  <c r="AB852" i="2"/>
  <c r="AA852" i="2"/>
  <c r="Y852" i="2"/>
  <c r="AB851" i="2"/>
  <c r="AA851" i="2"/>
  <c r="Y851" i="2"/>
  <c r="AB850" i="2"/>
  <c r="AA850" i="2"/>
  <c r="Y850" i="2"/>
  <c r="AB849" i="2"/>
  <c r="AA849" i="2"/>
  <c r="Y849" i="2"/>
  <c r="AB848" i="2"/>
  <c r="AA848" i="2"/>
  <c r="Y848" i="2"/>
  <c r="AB847" i="2"/>
  <c r="AA847" i="2"/>
  <c r="Y847" i="2"/>
  <c r="AB846" i="2"/>
  <c r="AA846" i="2"/>
  <c r="Y846" i="2"/>
  <c r="AB845" i="2"/>
  <c r="AA845" i="2"/>
  <c r="Y845" i="2"/>
  <c r="AB844" i="2"/>
  <c r="AA844" i="2"/>
  <c r="Y844" i="2"/>
  <c r="AB843" i="2"/>
  <c r="AA843" i="2"/>
  <c r="Y843" i="2"/>
  <c r="AB842" i="2"/>
  <c r="AA842" i="2"/>
  <c r="Y842" i="2"/>
  <c r="AB841" i="2"/>
  <c r="AA841" i="2"/>
  <c r="Y841" i="2"/>
  <c r="AB840" i="2"/>
  <c r="AA840" i="2"/>
  <c r="Y840" i="2"/>
  <c r="AB839" i="2"/>
  <c r="AA839" i="2"/>
  <c r="Y839" i="2"/>
  <c r="AB838" i="2"/>
  <c r="AA838" i="2"/>
  <c r="Y838" i="2"/>
  <c r="AB837" i="2"/>
  <c r="AA837" i="2"/>
  <c r="Y837" i="2"/>
  <c r="AB836" i="2"/>
  <c r="AA836" i="2"/>
  <c r="Y836" i="2"/>
  <c r="AB835" i="2"/>
  <c r="AA835" i="2"/>
  <c r="Y835" i="2"/>
  <c r="AB834" i="2"/>
  <c r="AA834" i="2"/>
  <c r="Y834" i="2"/>
  <c r="AB833" i="2"/>
  <c r="AA833" i="2"/>
  <c r="Y833" i="2"/>
  <c r="AB832" i="2"/>
  <c r="AA832" i="2"/>
  <c r="Y832" i="2"/>
  <c r="AB831" i="2"/>
  <c r="AA831" i="2"/>
  <c r="Y831" i="2"/>
  <c r="AB830" i="2"/>
  <c r="AA830" i="2"/>
  <c r="Y830" i="2"/>
  <c r="AB829" i="2"/>
  <c r="AA829" i="2"/>
  <c r="Y829" i="2"/>
  <c r="AB828" i="2"/>
  <c r="AA828" i="2"/>
  <c r="Y828" i="2"/>
  <c r="AB827" i="2"/>
  <c r="AA827" i="2"/>
  <c r="Y827" i="2"/>
  <c r="AB826" i="2"/>
  <c r="AA826" i="2"/>
  <c r="Y826" i="2"/>
  <c r="AB825" i="2"/>
  <c r="AA825" i="2"/>
  <c r="Y825" i="2"/>
  <c r="AB824" i="2"/>
  <c r="AA824" i="2"/>
  <c r="Y824" i="2"/>
  <c r="AB823" i="2"/>
  <c r="AA823" i="2"/>
  <c r="Y823" i="2"/>
  <c r="AB822" i="2"/>
  <c r="AA822" i="2"/>
  <c r="Y822" i="2"/>
  <c r="AB821" i="2"/>
  <c r="AA821" i="2"/>
  <c r="Y821" i="2"/>
  <c r="AB820" i="2"/>
  <c r="AA820" i="2"/>
  <c r="Y820" i="2"/>
  <c r="AB819" i="2"/>
  <c r="AA819" i="2"/>
  <c r="Y819" i="2"/>
  <c r="AB818" i="2"/>
  <c r="AA818" i="2"/>
  <c r="Y818" i="2"/>
  <c r="AB817" i="2"/>
  <c r="AA817" i="2"/>
  <c r="Y817" i="2"/>
  <c r="AB816" i="2"/>
  <c r="AA816" i="2"/>
  <c r="Y816" i="2"/>
  <c r="AB815" i="2"/>
  <c r="AA815" i="2"/>
  <c r="Y815" i="2"/>
  <c r="AB814" i="2"/>
  <c r="AA814" i="2"/>
  <c r="Y814" i="2"/>
  <c r="AB813" i="2"/>
  <c r="AA813" i="2"/>
  <c r="Y813" i="2"/>
  <c r="AB812" i="2"/>
  <c r="AA812" i="2"/>
  <c r="Y812" i="2"/>
  <c r="AB811" i="2"/>
  <c r="AA811" i="2"/>
  <c r="Y811" i="2"/>
  <c r="AB810" i="2"/>
  <c r="AA810" i="2"/>
  <c r="Y810" i="2"/>
  <c r="AB809" i="2"/>
  <c r="AA809" i="2"/>
  <c r="Y809" i="2"/>
  <c r="AB808" i="2"/>
  <c r="AA808" i="2"/>
  <c r="Y808" i="2"/>
  <c r="AB807" i="2"/>
  <c r="AA807" i="2"/>
  <c r="Y807" i="2"/>
  <c r="AB806" i="2"/>
  <c r="AA806" i="2"/>
  <c r="Y806" i="2"/>
  <c r="AB805" i="2"/>
  <c r="AA805" i="2"/>
  <c r="Y805" i="2"/>
  <c r="AB804" i="2"/>
  <c r="AA804" i="2"/>
  <c r="Y804" i="2"/>
  <c r="AB803" i="2"/>
  <c r="AA803" i="2"/>
  <c r="Y803" i="2"/>
  <c r="AB802" i="2"/>
  <c r="AA802" i="2"/>
  <c r="Y802" i="2"/>
  <c r="AB801" i="2"/>
  <c r="AA801" i="2"/>
  <c r="Y801" i="2"/>
  <c r="AB800" i="2"/>
  <c r="AA800" i="2"/>
  <c r="Y800" i="2"/>
  <c r="AB799" i="2"/>
  <c r="AA799" i="2"/>
  <c r="Y799" i="2"/>
  <c r="AB798" i="2"/>
  <c r="AA798" i="2"/>
  <c r="Y798" i="2"/>
  <c r="AB797" i="2"/>
  <c r="AA797" i="2"/>
  <c r="Y797" i="2"/>
  <c r="AB796" i="2"/>
  <c r="AA796" i="2"/>
  <c r="Y796" i="2"/>
  <c r="AB795" i="2"/>
  <c r="AA795" i="2"/>
  <c r="Y795" i="2"/>
  <c r="AB794" i="2"/>
  <c r="AA794" i="2"/>
  <c r="Y794" i="2"/>
  <c r="AB793" i="2"/>
  <c r="AA793" i="2"/>
  <c r="Y793" i="2"/>
  <c r="AB792" i="2"/>
  <c r="AA792" i="2"/>
  <c r="Y792" i="2"/>
  <c r="AB791" i="2"/>
  <c r="AA791" i="2"/>
  <c r="Y791" i="2"/>
  <c r="AB790" i="2"/>
  <c r="AA790" i="2"/>
  <c r="Y790" i="2"/>
  <c r="AB789" i="2"/>
  <c r="AA789" i="2"/>
  <c r="Y789" i="2"/>
  <c r="AB788" i="2"/>
  <c r="AA788" i="2"/>
  <c r="Y788" i="2"/>
  <c r="AB787" i="2"/>
  <c r="AA787" i="2"/>
  <c r="Y787" i="2"/>
  <c r="AB786" i="2"/>
  <c r="AA786" i="2"/>
  <c r="Y786" i="2"/>
  <c r="AB785" i="2"/>
  <c r="AA785" i="2"/>
  <c r="Y785" i="2"/>
  <c r="AB784" i="2"/>
  <c r="AA784" i="2"/>
  <c r="Y784" i="2"/>
  <c r="AB783" i="2"/>
  <c r="AA783" i="2"/>
  <c r="Y783" i="2"/>
  <c r="AB782" i="2"/>
  <c r="AA782" i="2"/>
  <c r="Y782" i="2"/>
  <c r="AB781" i="2"/>
  <c r="AA781" i="2"/>
  <c r="Y781" i="2"/>
  <c r="AB780" i="2"/>
  <c r="AA780" i="2"/>
  <c r="Y780" i="2"/>
  <c r="AB779" i="2"/>
  <c r="AA779" i="2"/>
  <c r="Y779" i="2"/>
  <c r="AB778" i="2"/>
  <c r="AA778" i="2"/>
  <c r="Y778" i="2"/>
  <c r="AB777" i="2"/>
  <c r="AA777" i="2"/>
  <c r="Y777" i="2"/>
  <c r="AB776" i="2"/>
  <c r="AA776" i="2"/>
  <c r="Y776" i="2"/>
  <c r="AB775" i="2"/>
  <c r="AA775" i="2"/>
  <c r="Y775" i="2"/>
  <c r="AB774" i="2"/>
  <c r="AA774" i="2"/>
  <c r="Y774" i="2"/>
  <c r="AB773" i="2"/>
  <c r="AA773" i="2"/>
  <c r="Y773" i="2"/>
  <c r="AB772" i="2"/>
  <c r="AA772" i="2"/>
  <c r="Y772" i="2"/>
  <c r="AB771" i="2"/>
  <c r="AA771" i="2"/>
  <c r="Y771" i="2"/>
  <c r="AB770" i="2"/>
  <c r="AA770" i="2"/>
  <c r="Y770" i="2"/>
  <c r="AB769" i="2"/>
  <c r="AA769" i="2"/>
  <c r="Y769" i="2"/>
  <c r="AB768" i="2"/>
  <c r="AA768" i="2"/>
  <c r="Y768" i="2"/>
  <c r="AB767" i="2"/>
  <c r="AA767" i="2"/>
  <c r="Y767" i="2"/>
  <c r="AB766" i="2"/>
  <c r="AA766" i="2"/>
  <c r="Y766" i="2"/>
  <c r="AB765" i="2"/>
  <c r="AA765" i="2"/>
  <c r="Y765" i="2"/>
  <c r="AB764" i="2"/>
  <c r="AA764" i="2"/>
  <c r="Y764" i="2"/>
  <c r="AB763" i="2"/>
  <c r="AA763" i="2"/>
  <c r="Y763" i="2"/>
  <c r="AB762" i="2"/>
  <c r="AA762" i="2"/>
  <c r="Y762" i="2"/>
  <c r="AB761" i="2"/>
  <c r="AA761" i="2"/>
  <c r="Y761" i="2"/>
  <c r="AB760" i="2"/>
  <c r="AA760" i="2"/>
  <c r="Y760" i="2"/>
  <c r="AB759" i="2"/>
  <c r="AA759" i="2"/>
  <c r="Y759" i="2"/>
  <c r="AB758" i="2"/>
  <c r="AA758" i="2"/>
  <c r="Y758" i="2"/>
  <c r="AB757" i="2"/>
  <c r="AA757" i="2"/>
  <c r="Y757" i="2"/>
  <c r="AB756" i="2"/>
  <c r="AA756" i="2"/>
  <c r="Y756" i="2"/>
  <c r="AB755" i="2"/>
  <c r="AA755" i="2"/>
  <c r="Y755" i="2"/>
  <c r="AB754" i="2"/>
  <c r="AA754" i="2"/>
  <c r="Y754" i="2"/>
  <c r="AB753" i="2"/>
  <c r="AA753" i="2"/>
  <c r="Y753" i="2"/>
  <c r="AB752" i="2"/>
  <c r="AA752" i="2"/>
  <c r="Y752" i="2"/>
  <c r="AB751" i="2"/>
  <c r="AA751" i="2"/>
  <c r="Y751" i="2"/>
  <c r="AB750" i="2"/>
  <c r="AA750" i="2"/>
  <c r="Y750" i="2"/>
  <c r="AB749" i="2"/>
  <c r="AA749" i="2"/>
  <c r="Y749" i="2"/>
  <c r="AB748" i="2"/>
  <c r="AA748" i="2"/>
  <c r="Y748" i="2"/>
  <c r="AB747" i="2"/>
  <c r="AA747" i="2"/>
  <c r="Y747" i="2"/>
  <c r="AB746" i="2"/>
  <c r="AA746" i="2"/>
  <c r="Y746" i="2"/>
  <c r="AB745" i="2"/>
  <c r="AA745" i="2"/>
  <c r="Y745" i="2"/>
  <c r="AB744" i="2"/>
  <c r="AA744" i="2"/>
  <c r="Y744" i="2"/>
  <c r="AB743" i="2"/>
  <c r="AA743" i="2"/>
  <c r="Y743" i="2"/>
  <c r="AB742" i="2"/>
  <c r="AA742" i="2"/>
  <c r="Y742" i="2"/>
  <c r="AB741" i="2"/>
  <c r="AA741" i="2"/>
  <c r="Y741" i="2"/>
  <c r="AB740" i="2"/>
  <c r="AA740" i="2"/>
  <c r="Y740" i="2"/>
  <c r="AB739" i="2"/>
  <c r="AA739" i="2"/>
  <c r="Y739" i="2"/>
  <c r="AB738" i="2"/>
  <c r="AA738" i="2"/>
  <c r="Y738" i="2"/>
  <c r="AB737" i="2"/>
  <c r="AA737" i="2"/>
  <c r="Y737" i="2"/>
  <c r="AB736" i="2"/>
  <c r="AA736" i="2"/>
  <c r="Y736" i="2"/>
  <c r="AB735" i="2"/>
  <c r="AA735" i="2"/>
  <c r="Y735" i="2"/>
  <c r="AB734" i="2"/>
  <c r="AA734" i="2"/>
  <c r="Y734" i="2"/>
  <c r="AB733" i="2"/>
  <c r="AA733" i="2"/>
  <c r="Y733" i="2"/>
  <c r="AB732" i="2"/>
  <c r="AA732" i="2"/>
  <c r="Y732" i="2"/>
  <c r="AB731" i="2"/>
  <c r="AA731" i="2"/>
  <c r="Y731" i="2"/>
  <c r="AB730" i="2"/>
  <c r="AA730" i="2"/>
  <c r="Y730" i="2"/>
  <c r="AB729" i="2"/>
  <c r="AA729" i="2"/>
  <c r="Y729" i="2"/>
  <c r="AB728" i="2"/>
  <c r="AA728" i="2"/>
  <c r="Y728" i="2"/>
  <c r="AB727" i="2"/>
  <c r="AA727" i="2"/>
  <c r="Y727" i="2"/>
  <c r="AB726" i="2"/>
  <c r="AA726" i="2"/>
  <c r="Y726" i="2"/>
  <c r="AB725" i="2"/>
  <c r="AA725" i="2"/>
  <c r="Y725" i="2"/>
  <c r="AB724" i="2"/>
  <c r="AA724" i="2"/>
  <c r="Y724" i="2"/>
  <c r="AB723" i="2"/>
  <c r="AA723" i="2"/>
  <c r="Y723" i="2"/>
  <c r="AB722" i="2"/>
  <c r="AA722" i="2"/>
  <c r="Y722" i="2"/>
  <c r="AB721" i="2"/>
  <c r="AA721" i="2"/>
  <c r="Y721" i="2"/>
  <c r="AB720" i="2"/>
  <c r="AA720" i="2"/>
  <c r="Y720" i="2"/>
  <c r="AB719" i="2"/>
  <c r="AA719" i="2"/>
  <c r="Y719" i="2"/>
  <c r="AB718" i="2"/>
  <c r="AA718" i="2"/>
  <c r="Y718" i="2"/>
  <c r="AB717" i="2"/>
  <c r="AA717" i="2"/>
  <c r="Y717" i="2"/>
  <c r="AB716" i="2"/>
  <c r="AA716" i="2"/>
  <c r="Y716" i="2"/>
  <c r="AB715" i="2"/>
  <c r="AA715" i="2"/>
  <c r="Y715" i="2"/>
  <c r="AB714" i="2"/>
  <c r="AA714" i="2"/>
  <c r="Y714" i="2"/>
  <c r="AB713" i="2"/>
  <c r="AA713" i="2"/>
  <c r="Y713" i="2"/>
  <c r="AB712" i="2"/>
  <c r="AA712" i="2"/>
  <c r="Y712" i="2"/>
  <c r="AB711" i="2"/>
  <c r="AA711" i="2"/>
  <c r="Y711" i="2"/>
  <c r="AB710" i="2"/>
  <c r="AA710" i="2"/>
  <c r="Y710" i="2"/>
  <c r="AB709" i="2"/>
  <c r="AA709" i="2"/>
  <c r="Y709" i="2"/>
  <c r="AB708" i="2"/>
  <c r="AA708" i="2"/>
  <c r="Y708" i="2"/>
  <c r="AB707" i="2"/>
  <c r="AA707" i="2"/>
  <c r="Y707" i="2"/>
  <c r="AB706" i="2"/>
  <c r="AA706" i="2"/>
  <c r="Y706" i="2"/>
  <c r="AB705" i="2"/>
  <c r="AA705" i="2"/>
  <c r="Y705" i="2"/>
  <c r="AB704" i="2"/>
  <c r="AA704" i="2"/>
  <c r="Y704" i="2"/>
  <c r="AB703" i="2"/>
  <c r="AA703" i="2"/>
  <c r="Y703" i="2"/>
  <c r="AB702" i="2"/>
  <c r="AA702" i="2"/>
  <c r="Y702" i="2"/>
  <c r="AB701" i="2"/>
  <c r="AA701" i="2"/>
  <c r="Y701" i="2"/>
  <c r="AB700" i="2"/>
  <c r="AA700" i="2"/>
  <c r="Y700" i="2"/>
  <c r="AB699" i="2"/>
  <c r="AA699" i="2"/>
  <c r="Y699" i="2"/>
  <c r="AB698" i="2"/>
  <c r="AA698" i="2"/>
  <c r="Y698" i="2"/>
  <c r="AB697" i="2"/>
  <c r="AA697" i="2"/>
  <c r="Y697" i="2"/>
  <c r="AB696" i="2"/>
  <c r="AA696" i="2"/>
  <c r="Y696" i="2"/>
  <c r="AB695" i="2"/>
  <c r="AA695" i="2"/>
  <c r="Y695" i="2"/>
  <c r="AB694" i="2"/>
  <c r="AA694" i="2"/>
  <c r="Y694" i="2"/>
  <c r="AB693" i="2"/>
  <c r="AA693" i="2"/>
  <c r="Y693" i="2"/>
  <c r="AB692" i="2"/>
  <c r="AA692" i="2"/>
  <c r="Y692" i="2"/>
  <c r="AB691" i="2"/>
  <c r="AA691" i="2"/>
  <c r="Y691" i="2"/>
  <c r="AB690" i="2"/>
  <c r="AA690" i="2"/>
  <c r="Y690" i="2"/>
  <c r="AB689" i="2"/>
  <c r="AA689" i="2"/>
  <c r="Y689" i="2"/>
  <c r="AB688" i="2"/>
  <c r="AA688" i="2"/>
  <c r="Y688" i="2"/>
  <c r="AB687" i="2"/>
  <c r="AA687" i="2"/>
  <c r="Y687" i="2"/>
  <c r="AB686" i="2"/>
  <c r="AA686" i="2"/>
  <c r="Y686" i="2"/>
  <c r="AB685" i="2"/>
  <c r="AA685" i="2"/>
  <c r="Y685" i="2"/>
  <c r="AB684" i="2"/>
  <c r="AA684" i="2"/>
  <c r="Y684" i="2"/>
  <c r="AB683" i="2"/>
  <c r="AA683" i="2"/>
  <c r="Y683" i="2"/>
  <c r="AB682" i="2"/>
  <c r="AA682" i="2"/>
  <c r="Y682" i="2"/>
  <c r="AB681" i="2"/>
  <c r="AA681" i="2"/>
  <c r="Y681" i="2"/>
  <c r="AB680" i="2"/>
  <c r="AA680" i="2"/>
  <c r="Y680" i="2"/>
  <c r="AB679" i="2"/>
  <c r="AA679" i="2"/>
  <c r="Y679" i="2"/>
  <c r="AB678" i="2"/>
  <c r="AA678" i="2"/>
  <c r="Y678" i="2"/>
  <c r="AB677" i="2"/>
  <c r="AA677" i="2"/>
  <c r="Y677" i="2"/>
  <c r="AB676" i="2"/>
  <c r="AA676" i="2"/>
  <c r="Y676" i="2"/>
  <c r="AB675" i="2"/>
  <c r="AA675" i="2"/>
  <c r="Y675" i="2"/>
  <c r="AB674" i="2"/>
  <c r="AA674" i="2"/>
  <c r="Y674" i="2"/>
  <c r="AB673" i="2"/>
  <c r="AA673" i="2"/>
  <c r="Y673" i="2"/>
  <c r="AB672" i="2"/>
  <c r="AA672" i="2"/>
  <c r="Y672" i="2"/>
  <c r="AB671" i="2"/>
  <c r="AA671" i="2"/>
  <c r="Y671" i="2"/>
  <c r="AB670" i="2"/>
  <c r="AA670" i="2"/>
  <c r="Y670" i="2"/>
  <c r="AB669" i="2"/>
  <c r="AA669" i="2"/>
  <c r="Y669" i="2"/>
  <c r="AB668" i="2"/>
  <c r="AA668" i="2"/>
  <c r="Y668" i="2"/>
  <c r="AB667" i="2"/>
  <c r="AA667" i="2"/>
  <c r="Y667" i="2"/>
  <c r="AB666" i="2"/>
  <c r="AA666" i="2"/>
  <c r="Y666" i="2"/>
  <c r="AB665" i="2"/>
  <c r="AA665" i="2"/>
  <c r="Y665" i="2"/>
  <c r="AB664" i="2"/>
  <c r="AA664" i="2"/>
  <c r="Y664" i="2"/>
  <c r="AB663" i="2"/>
  <c r="AA663" i="2"/>
  <c r="Y663" i="2"/>
  <c r="AB662" i="2"/>
  <c r="AA662" i="2"/>
  <c r="Y662" i="2"/>
  <c r="AB661" i="2"/>
  <c r="AA661" i="2"/>
  <c r="Y661" i="2"/>
  <c r="AB660" i="2"/>
  <c r="AA660" i="2"/>
  <c r="Y660" i="2"/>
  <c r="AB659" i="2"/>
  <c r="AA659" i="2"/>
  <c r="Y659" i="2"/>
  <c r="AB658" i="2"/>
  <c r="AA658" i="2"/>
  <c r="Y658" i="2"/>
  <c r="AB657" i="2"/>
  <c r="AA657" i="2"/>
  <c r="Y657" i="2"/>
  <c r="AB656" i="2"/>
  <c r="AA656" i="2"/>
  <c r="Y656" i="2"/>
  <c r="AB655" i="2"/>
  <c r="AA655" i="2"/>
  <c r="Y655" i="2"/>
  <c r="AB654" i="2"/>
  <c r="AA654" i="2"/>
  <c r="Y654" i="2"/>
  <c r="AB653" i="2"/>
  <c r="AA653" i="2"/>
  <c r="Y653" i="2"/>
  <c r="AB652" i="2"/>
  <c r="AA652" i="2"/>
  <c r="Y652" i="2"/>
  <c r="AB651" i="2"/>
  <c r="AA651" i="2"/>
  <c r="Y651" i="2"/>
  <c r="AB650" i="2"/>
  <c r="AA650" i="2"/>
  <c r="Y650" i="2"/>
  <c r="AB649" i="2"/>
  <c r="AA649" i="2"/>
  <c r="Y649" i="2"/>
  <c r="AB648" i="2"/>
  <c r="AA648" i="2"/>
  <c r="Y648" i="2"/>
  <c r="AB647" i="2"/>
  <c r="AA647" i="2"/>
  <c r="Y647" i="2"/>
  <c r="AB646" i="2"/>
  <c r="AA646" i="2"/>
  <c r="Y646" i="2"/>
  <c r="AB645" i="2"/>
  <c r="AA645" i="2"/>
  <c r="Y645" i="2"/>
  <c r="AB644" i="2"/>
  <c r="AA644" i="2"/>
  <c r="Y644" i="2"/>
  <c r="AB643" i="2"/>
  <c r="AA643" i="2"/>
  <c r="Y643" i="2"/>
  <c r="AB642" i="2"/>
  <c r="AA642" i="2"/>
  <c r="Y642" i="2"/>
  <c r="AB641" i="2"/>
  <c r="AA641" i="2"/>
  <c r="Y641" i="2"/>
  <c r="AB640" i="2"/>
  <c r="AA640" i="2"/>
  <c r="Y640" i="2"/>
  <c r="AB639" i="2"/>
  <c r="AA639" i="2"/>
  <c r="Y639" i="2"/>
  <c r="AB638" i="2"/>
  <c r="AA638" i="2"/>
  <c r="Y638" i="2"/>
  <c r="AB637" i="2"/>
  <c r="AA637" i="2"/>
  <c r="Y637" i="2"/>
  <c r="AB636" i="2"/>
  <c r="AA636" i="2"/>
  <c r="Y636" i="2"/>
  <c r="AB635" i="2"/>
  <c r="AA635" i="2"/>
  <c r="Y635" i="2"/>
  <c r="AB634" i="2"/>
  <c r="AA634" i="2"/>
  <c r="Y634" i="2"/>
  <c r="AB633" i="2"/>
  <c r="AA633" i="2"/>
  <c r="Y633" i="2"/>
  <c r="AB632" i="2"/>
  <c r="AA632" i="2"/>
  <c r="Y632" i="2"/>
  <c r="AB631" i="2"/>
  <c r="AA631" i="2"/>
  <c r="Y631" i="2"/>
  <c r="AB630" i="2"/>
  <c r="AA630" i="2"/>
  <c r="Y630" i="2"/>
  <c r="AB629" i="2"/>
  <c r="AA629" i="2"/>
  <c r="Y629" i="2"/>
  <c r="AB628" i="2"/>
  <c r="AA628" i="2"/>
  <c r="Y628" i="2"/>
  <c r="AB627" i="2"/>
  <c r="AA627" i="2"/>
  <c r="Y627" i="2"/>
  <c r="AB626" i="2"/>
  <c r="AA626" i="2"/>
  <c r="Y626" i="2"/>
  <c r="AB625" i="2"/>
  <c r="AA625" i="2"/>
  <c r="Y625" i="2"/>
  <c r="AB624" i="2"/>
  <c r="AA624" i="2"/>
  <c r="Y624" i="2"/>
  <c r="AB623" i="2"/>
  <c r="AA623" i="2"/>
  <c r="Y623" i="2"/>
  <c r="AB622" i="2"/>
  <c r="AA622" i="2"/>
  <c r="Y622" i="2"/>
  <c r="AB621" i="2"/>
  <c r="AA621" i="2"/>
  <c r="Y621" i="2"/>
  <c r="AB620" i="2"/>
  <c r="AA620" i="2"/>
  <c r="Y620" i="2"/>
  <c r="AB619" i="2"/>
  <c r="AA619" i="2"/>
  <c r="Y619" i="2"/>
  <c r="AB618" i="2"/>
  <c r="AA618" i="2"/>
  <c r="Y618" i="2"/>
  <c r="AB617" i="2"/>
  <c r="AA617" i="2"/>
  <c r="Y617" i="2"/>
  <c r="AB616" i="2"/>
  <c r="AA616" i="2"/>
  <c r="Y616" i="2"/>
  <c r="AB615" i="2"/>
  <c r="AA615" i="2"/>
  <c r="Y615" i="2"/>
  <c r="AB614" i="2"/>
  <c r="AA614" i="2"/>
  <c r="Y614" i="2"/>
  <c r="AB613" i="2"/>
  <c r="AA613" i="2"/>
  <c r="Y613" i="2"/>
  <c r="AB612" i="2"/>
  <c r="AA612" i="2"/>
  <c r="Y612" i="2"/>
  <c r="AB611" i="2"/>
  <c r="AA611" i="2"/>
  <c r="Y611" i="2"/>
  <c r="AB610" i="2"/>
  <c r="AA610" i="2"/>
  <c r="Y610" i="2"/>
  <c r="AB609" i="2"/>
  <c r="AA609" i="2"/>
  <c r="Y609" i="2"/>
  <c r="AB608" i="2"/>
  <c r="AA608" i="2"/>
  <c r="Y608" i="2"/>
  <c r="AB607" i="2"/>
  <c r="AA607" i="2"/>
  <c r="Y607" i="2"/>
  <c r="AB606" i="2"/>
  <c r="AA606" i="2"/>
  <c r="Y606" i="2"/>
  <c r="AB605" i="2"/>
  <c r="AA605" i="2"/>
  <c r="Y605" i="2"/>
  <c r="AB604" i="2"/>
  <c r="AA604" i="2"/>
  <c r="Y604" i="2"/>
  <c r="AB603" i="2"/>
  <c r="AA603" i="2"/>
  <c r="Y603" i="2"/>
  <c r="AB602" i="2"/>
  <c r="AA602" i="2"/>
  <c r="Y602" i="2"/>
  <c r="AB601" i="2"/>
  <c r="AA601" i="2"/>
  <c r="Y601" i="2"/>
  <c r="AB600" i="2"/>
  <c r="AA600" i="2"/>
  <c r="Y600" i="2"/>
  <c r="AB599" i="2"/>
  <c r="AA599" i="2"/>
  <c r="Y599" i="2"/>
  <c r="AB598" i="2"/>
  <c r="AA598" i="2"/>
  <c r="Y598" i="2"/>
  <c r="AB597" i="2"/>
  <c r="AA597" i="2"/>
  <c r="Y597" i="2"/>
  <c r="AB596" i="2"/>
  <c r="AA596" i="2"/>
  <c r="Y596" i="2"/>
  <c r="AB595" i="2"/>
  <c r="AA595" i="2"/>
  <c r="Y595" i="2"/>
  <c r="AB594" i="2"/>
  <c r="AA594" i="2"/>
  <c r="Y594" i="2"/>
  <c r="AB593" i="2"/>
  <c r="AA593" i="2"/>
  <c r="Y593" i="2"/>
  <c r="AB592" i="2"/>
  <c r="AA592" i="2"/>
  <c r="Y592" i="2"/>
  <c r="AB591" i="2"/>
  <c r="AA591" i="2"/>
  <c r="Y591" i="2"/>
  <c r="AB590" i="2"/>
  <c r="AA590" i="2"/>
  <c r="Y590" i="2"/>
  <c r="AB589" i="2"/>
  <c r="AA589" i="2"/>
  <c r="Y589" i="2"/>
  <c r="AB588" i="2"/>
  <c r="AA588" i="2"/>
  <c r="Y588" i="2"/>
  <c r="T588" i="2"/>
  <c r="AB587" i="2"/>
  <c r="AA587" i="2"/>
  <c r="Y587" i="2"/>
  <c r="AB586" i="2"/>
  <c r="AA586" i="2"/>
  <c r="Y586" i="2"/>
  <c r="AB585" i="2"/>
  <c r="AA585" i="2"/>
  <c r="Y585" i="2"/>
  <c r="AB584" i="2"/>
  <c r="AA584" i="2"/>
  <c r="Y584" i="2"/>
  <c r="AB583" i="2"/>
  <c r="AA583" i="2"/>
  <c r="Y583" i="2"/>
  <c r="AB582" i="2"/>
  <c r="AA582" i="2"/>
  <c r="Y582" i="2"/>
  <c r="AB581" i="2"/>
  <c r="AA581" i="2"/>
  <c r="Y581" i="2"/>
  <c r="AB580" i="2"/>
  <c r="AA580" i="2"/>
  <c r="Y580" i="2"/>
  <c r="AB579" i="2"/>
  <c r="AA579" i="2"/>
  <c r="Y579" i="2"/>
  <c r="AB578" i="2"/>
  <c r="AA578" i="2"/>
  <c r="Y578" i="2"/>
  <c r="AB577" i="2"/>
  <c r="AA577" i="2"/>
  <c r="Y577" i="2"/>
  <c r="AB576" i="2"/>
  <c r="AA576" i="2"/>
  <c r="Y576" i="2"/>
  <c r="AB575" i="2"/>
  <c r="AA575" i="2"/>
  <c r="Y575" i="2"/>
  <c r="AB574" i="2"/>
  <c r="AA574" i="2"/>
  <c r="Y574" i="2"/>
  <c r="AB573" i="2"/>
  <c r="AA573" i="2"/>
  <c r="Y573" i="2"/>
  <c r="AB572" i="2"/>
  <c r="AA572" i="2"/>
  <c r="Y572" i="2"/>
  <c r="AB571" i="2"/>
  <c r="AA571" i="2"/>
  <c r="Y571" i="2"/>
  <c r="AB570" i="2"/>
  <c r="AA570" i="2"/>
  <c r="Y570" i="2"/>
  <c r="AB569" i="2"/>
  <c r="AA569" i="2"/>
  <c r="Y569" i="2"/>
  <c r="AB568" i="2"/>
  <c r="AA568" i="2"/>
  <c r="Y568" i="2"/>
  <c r="AB567" i="2"/>
  <c r="AA567" i="2"/>
  <c r="Y567" i="2"/>
  <c r="AB566" i="2"/>
  <c r="AA566" i="2"/>
  <c r="Y566" i="2"/>
  <c r="AB565" i="2"/>
  <c r="AA565" i="2"/>
  <c r="Y565" i="2"/>
  <c r="AB564" i="2"/>
  <c r="AA564" i="2"/>
  <c r="Y564" i="2"/>
  <c r="AB563" i="2"/>
  <c r="AA563" i="2"/>
  <c r="Y563" i="2"/>
  <c r="AB562" i="2"/>
  <c r="AA562" i="2"/>
  <c r="Y562" i="2"/>
  <c r="AB561" i="2"/>
  <c r="AA561" i="2"/>
  <c r="Y561" i="2"/>
  <c r="AB560" i="2"/>
  <c r="AA560" i="2"/>
  <c r="Y560" i="2"/>
  <c r="AB559" i="2"/>
  <c r="AA559" i="2"/>
  <c r="Y559" i="2"/>
  <c r="AB558" i="2"/>
  <c r="AA558" i="2"/>
  <c r="Y558" i="2"/>
  <c r="AB557" i="2"/>
  <c r="AA557" i="2"/>
  <c r="Y557" i="2"/>
  <c r="AB556" i="2"/>
  <c r="AA556" i="2"/>
  <c r="Y556" i="2"/>
  <c r="AB555" i="2"/>
  <c r="AA555" i="2"/>
  <c r="Y555" i="2"/>
  <c r="AB554" i="2"/>
  <c r="AA554" i="2"/>
  <c r="Y554" i="2"/>
  <c r="AB553" i="2"/>
  <c r="AA553" i="2"/>
  <c r="Y553" i="2"/>
  <c r="AB552" i="2"/>
  <c r="AA552" i="2"/>
  <c r="Y552" i="2"/>
  <c r="AB551" i="2"/>
  <c r="AA551" i="2"/>
  <c r="Y551" i="2"/>
  <c r="AB550" i="2"/>
  <c r="AA550" i="2"/>
  <c r="Y550" i="2"/>
  <c r="AB549" i="2"/>
  <c r="AA549" i="2"/>
  <c r="Y549" i="2"/>
  <c r="AB548" i="2"/>
  <c r="AA548" i="2"/>
  <c r="Y548" i="2"/>
  <c r="AB547" i="2"/>
  <c r="AA547" i="2"/>
  <c r="Y547" i="2"/>
  <c r="AB546" i="2"/>
  <c r="AA546" i="2"/>
  <c r="Y546" i="2"/>
  <c r="AB545" i="2"/>
  <c r="AA545" i="2"/>
  <c r="Y545" i="2"/>
  <c r="T545" i="2"/>
  <c r="AB544" i="2"/>
  <c r="AA544" i="2"/>
  <c r="Y544" i="2"/>
  <c r="AB543" i="2"/>
  <c r="AA543" i="2"/>
  <c r="Y543" i="2"/>
  <c r="AB542" i="2"/>
  <c r="AA542" i="2"/>
  <c r="Y542" i="2"/>
  <c r="AB541" i="2"/>
  <c r="AA541" i="2"/>
  <c r="Y541" i="2"/>
  <c r="AB540" i="2"/>
  <c r="AA540" i="2"/>
  <c r="Y540" i="2"/>
  <c r="AB539" i="2"/>
  <c r="AA539" i="2"/>
  <c r="Y539" i="2"/>
  <c r="AB538" i="2"/>
  <c r="AA538" i="2"/>
  <c r="Y538" i="2"/>
  <c r="AB537" i="2"/>
  <c r="AA537" i="2"/>
  <c r="Y537" i="2"/>
  <c r="AB536" i="2"/>
  <c r="AA536" i="2"/>
  <c r="Y536" i="2"/>
  <c r="AB535" i="2"/>
  <c r="AA535" i="2"/>
  <c r="Y535" i="2"/>
  <c r="AB534" i="2"/>
  <c r="AA534" i="2"/>
  <c r="Y534" i="2"/>
  <c r="AB533" i="2"/>
  <c r="AA533" i="2"/>
  <c r="Y533" i="2"/>
  <c r="AB532" i="2"/>
  <c r="AA532" i="2"/>
  <c r="Y532" i="2"/>
  <c r="AB531" i="2"/>
  <c r="AA531" i="2"/>
  <c r="Y531" i="2"/>
  <c r="AB530" i="2"/>
  <c r="AA530" i="2"/>
  <c r="Y530" i="2"/>
  <c r="AB529" i="2"/>
  <c r="AA529" i="2"/>
  <c r="Y529" i="2"/>
  <c r="AB528" i="2"/>
  <c r="AA528" i="2"/>
  <c r="Y528" i="2"/>
  <c r="AB527" i="2"/>
  <c r="AA527" i="2"/>
  <c r="Y527" i="2"/>
  <c r="AB526" i="2"/>
  <c r="AA526" i="2"/>
  <c r="Y526" i="2"/>
  <c r="AB525" i="2"/>
  <c r="AA525" i="2"/>
  <c r="Y525" i="2"/>
  <c r="AB524" i="2"/>
  <c r="AA524" i="2"/>
  <c r="Y524" i="2"/>
  <c r="AB523" i="2"/>
  <c r="AA523" i="2"/>
  <c r="Y523" i="2"/>
  <c r="AB522" i="2"/>
  <c r="AA522" i="2"/>
  <c r="Y522" i="2"/>
  <c r="AB521" i="2"/>
  <c r="AA521" i="2"/>
  <c r="Y521" i="2"/>
  <c r="AB520" i="2"/>
  <c r="AA520" i="2"/>
  <c r="Y520" i="2"/>
  <c r="AB519" i="2"/>
  <c r="AA519" i="2"/>
  <c r="Y519" i="2"/>
  <c r="AB518" i="2"/>
  <c r="AA518" i="2"/>
  <c r="Y518" i="2"/>
  <c r="AB517" i="2"/>
  <c r="AA517" i="2"/>
  <c r="Y517" i="2"/>
  <c r="AB516" i="2"/>
  <c r="AA516" i="2"/>
  <c r="Y516" i="2"/>
  <c r="AB515" i="2"/>
  <c r="AA515" i="2"/>
  <c r="Y515" i="2"/>
  <c r="T515" i="2"/>
  <c r="AB514" i="2"/>
  <c r="AA514" i="2"/>
  <c r="Y514" i="2"/>
  <c r="T514" i="2"/>
  <c r="AB513" i="2"/>
  <c r="AA513" i="2"/>
  <c r="Y513" i="2"/>
  <c r="AB512" i="2"/>
  <c r="AA512" i="2"/>
  <c r="Y512" i="2"/>
  <c r="AB511" i="2"/>
  <c r="AA511" i="2"/>
  <c r="Y511" i="2"/>
  <c r="AB510" i="2"/>
  <c r="AA510" i="2"/>
  <c r="Y510" i="2"/>
  <c r="AB509" i="2"/>
  <c r="AA509" i="2"/>
  <c r="Y509" i="2"/>
  <c r="AB508" i="2"/>
  <c r="AA508" i="2"/>
  <c r="Y508" i="2"/>
  <c r="AB507" i="2"/>
  <c r="AA507" i="2"/>
  <c r="Y507" i="2"/>
  <c r="AB506" i="2"/>
  <c r="AA506" i="2"/>
  <c r="Y506" i="2"/>
  <c r="AB505" i="2"/>
  <c r="AA505" i="2"/>
  <c r="Y505" i="2"/>
  <c r="T505" i="2"/>
  <c r="AB504" i="2"/>
  <c r="AA504" i="2"/>
  <c r="Y504" i="2"/>
  <c r="T504" i="2"/>
  <c r="AB503" i="2"/>
  <c r="AA503" i="2"/>
  <c r="Y503" i="2"/>
  <c r="AB502" i="2"/>
  <c r="AA502" i="2"/>
  <c r="Y502" i="2"/>
  <c r="AB501" i="2"/>
  <c r="AA501" i="2"/>
  <c r="Y501" i="2"/>
  <c r="AB500" i="2"/>
  <c r="AA500" i="2"/>
  <c r="Y500" i="2"/>
  <c r="AB499" i="2"/>
  <c r="AA499" i="2"/>
  <c r="Y499" i="2"/>
  <c r="AB498" i="2"/>
  <c r="AA498" i="2"/>
  <c r="Y498" i="2"/>
  <c r="AB497" i="2"/>
  <c r="AA497" i="2"/>
  <c r="Y497" i="2"/>
  <c r="AB496" i="2"/>
  <c r="AA496" i="2"/>
  <c r="Y496" i="2"/>
  <c r="AB495" i="2"/>
  <c r="AA495" i="2"/>
  <c r="Y495" i="2"/>
  <c r="AB494" i="2"/>
  <c r="AA494" i="2"/>
  <c r="Y494" i="2"/>
  <c r="AB493" i="2"/>
  <c r="AA493" i="2"/>
  <c r="Y493" i="2"/>
  <c r="AB492" i="2"/>
  <c r="AA492" i="2"/>
  <c r="Y492" i="2"/>
  <c r="AB491" i="2"/>
  <c r="AA491" i="2"/>
  <c r="Y491" i="2"/>
  <c r="AB490" i="2"/>
  <c r="AA490" i="2"/>
  <c r="Y490" i="2"/>
  <c r="AB489" i="2"/>
  <c r="AA489" i="2"/>
  <c r="Y489" i="2"/>
  <c r="AB488" i="2"/>
  <c r="AA488" i="2"/>
  <c r="Y488" i="2"/>
  <c r="AB487" i="2"/>
  <c r="AA487" i="2"/>
  <c r="Y487" i="2"/>
  <c r="AB486" i="2"/>
  <c r="AA486" i="2"/>
  <c r="Y486" i="2"/>
  <c r="AB485" i="2"/>
  <c r="AA485" i="2"/>
  <c r="Y485" i="2"/>
  <c r="AB484" i="2"/>
  <c r="AA484" i="2"/>
  <c r="Y484" i="2"/>
  <c r="AB483" i="2"/>
  <c r="AA483" i="2"/>
  <c r="Y483" i="2"/>
  <c r="AB482" i="2"/>
  <c r="AA482" i="2"/>
  <c r="Y482" i="2"/>
  <c r="AB481" i="2"/>
  <c r="AA481" i="2"/>
  <c r="Y481" i="2"/>
  <c r="AB480" i="2"/>
  <c r="AA480" i="2"/>
  <c r="Y480" i="2"/>
  <c r="AB479" i="2"/>
  <c r="AA479" i="2"/>
  <c r="Y479" i="2"/>
  <c r="AB478" i="2"/>
  <c r="AA478" i="2"/>
  <c r="Y478" i="2"/>
  <c r="AB477" i="2"/>
  <c r="AA477" i="2"/>
  <c r="Y477" i="2"/>
  <c r="AB476" i="2"/>
  <c r="AA476" i="2"/>
  <c r="Y476" i="2"/>
  <c r="AB475" i="2"/>
  <c r="AA475" i="2"/>
  <c r="Y475" i="2"/>
  <c r="AB474" i="2"/>
  <c r="AA474" i="2"/>
  <c r="Y474" i="2"/>
  <c r="AB473" i="2"/>
  <c r="AA473" i="2"/>
  <c r="Y473" i="2"/>
  <c r="AB472" i="2"/>
  <c r="AA472" i="2"/>
  <c r="Y472" i="2"/>
  <c r="AB471" i="2"/>
  <c r="AA471" i="2"/>
  <c r="Y471" i="2"/>
  <c r="AB470" i="2"/>
  <c r="AA470" i="2"/>
  <c r="Y470" i="2"/>
  <c r="AB469" i="2"/>
  <c r="AA469" i="2"/>
  <c r="Y469" i="2"/>
  <c r="AB468" i="2"/>
  <c r="AA468" i="2"/>
  <c r="Y468" i="2"/>
  <c r="AB467" i="2"/>
  <c r="AA467" i="2"/>
  <c r="Y467" i="2"/>
  <c r="AB466" i="2"/>
  <c r="AA466" i="2"/>
  <c r="Y466" i="2"/>
  <c r="AB465" i="2"/>
  <c r="AA465" i="2"/>
  <c r="Y465" i="2"/>
  <c r="AB464" i="2"/>
  <c r="AA464" i="2"/>
  <c r="Y464" i="2"/>
  <c r="AB463" i="2"/>
  <c r="AA463" i="2"/>
  <c r="Y463" i="2"/>
  <c r="AB462" i="2"/>
  <c r="AA462" i="2"/>
  <c r="Y462" i="2"/>
  <c r="T462" i="2"/>
  <c r="AB461" i="2"/>
  <c r="AA461" i="2"/>
  <c r="Y461" i="2"/>
  <c r="AB460" i="2"/>
  <c r="AA460" i="2"/>
  <c r="Y460" i="2"/>
  <c r="AB459" i="2"/>
  <c r="AA459" i="2"/>
  <c r="Y459" i="2"/>
  <c r="AB458" i="2"/>
  <c r="AA458" i="2"/>
  <c r="Y458" i="2"/>
  <c r="AB457" i="2"/>
  <c r="AA457" i="2"/>
  <c r="Y457" i="2"/>
  <c r="AB456" i="2"/>
  <c r="AA456" i="2"/>
  <c r="Y456" i="2"/>
  <c r="AB455" i="2"/>
  <c r="AA455" i="2"/>
  <c r="Y455" i="2"/>
  <c r="AB454" i="2"/>
  <c r="AA454" i="2"/>
  <c r="Y454" i="2"/>
  <c r="AB453" i="2"/>
  <c r="AA453" i="2"/>
  <c r="Y453" i="2"/>
  <c r="AB452" i="2"/>
  <c r="AA452" i="2"/>
  <c r="Y452" i="2"/>
  <c r="AB451" i="2"/>
  <c r="AA451" i="2"/>
  <c r="Y451" i="2"/>
  <c r="AB450" i="2"/>
  <c r="AA450" i="2"/>
  <c r="Y450" i="2"/>
  <c r="AB449" i="2"/>
  <c r="AA449" i="2"/>
  <c r="Y449" i="2"/>
  <c r="AB448" i="2"/>
  <c r="AA448" i="2"/>
  <c r="Y448" i="2"/>
  <c r="AB447" i="2"/>
  <c r="AA447" i="2"/>
  <c r="Y447" i="2"/>
  <c r="AB446" i="2"/>
  <c r="AA446" i="2"/>
  <c r="Y446" i="2"/>
  <c r="AB445" i="2"/>
  <c r="AA445" i="2"/>
  <c r="Y445" i="2"/>
  <c r="AB444" i="2"/>
  <c r="AA444" i="2"/>
  <c r="Y444" i="2"/>
  <c r="AB443" i="2"/>
  <c r="AA443" i="2"/>
  <c r="Y443" i="2"/>
  <c r="AB442" i="2"/>
  <c r="AA442" i="2"/>
  <c r="Y442" i="2"/>
  <c r="AB441" i="2"/>
  <c r="AA441" i="2"/>
  <c r="Y441" i="2"/>
  <c r="AB440" i="2"/>
  <c r="AA440" i="2"/>
  <c r="Y440" i="2"/>
  <c r="AB439" i="2"/>
  <c r="AA439" i="2"/>
  <c r="Y439" i="2"/>
  <c r="AB438" i="2"/>
  <c r="AA438" i="2"/>
  <c r="Y438" i="2"/>
  <c r="AB437" i="2"/>
  <c r="AA437" i="2"/>
  <c r="Y437" i="2"/>
  <c r="AB436" i="2"/>
  <c r="AA436" i="2"/>
  <c r="Y436" i="2"/>
  <c r="AB435" i="2"/>
  <c r="AA435" i="2"/>
  <c r="Y435" i="2"/>
  <c r="AB434" i="2"/>
  <c r="AA434" i="2"/>
  <c r="Y434" i="2"/>
  <c r="AB433" i="2"/>
  <c r="AA433" i="2"/>
  <c r="Y433" i="2"/>
  <c r="AB432" i="2"/>
  <c r="AA432" i="2"/>
  <c r="Y432" i="2"/>
  <c r="T432" i="2"/>
  <c r="AB431" i="2"/>
  <c r="AA431" i="2"/>
  <c r="Y431" i="2"/>
  <c r="T431" i="2"/>
  <c r="AB430" i="2"/>
  <c r="AA430" i="2"/>
  <c r="Y430" i="2"/>
  <c r="T430" i="2"/>
  <c r="AB429" i="2"/>
  <c r="AA429" i="2"/>
  <c r="Y429" i="2"/>
  <c r="T429" i="2"/>
  <c r="AB428" i="2"/>
  <c r="AA428" i="2"/>
  <c r="Y428" i="2"/>
  <c r="T428" i="2"/>
  <c r="AB427" i="2"/>
  <c r="AA427" i="2"/>
  <c r="Y427" i="2"/>
  <c r="T427" i="2"/>
  <c r="AB426" i="2"/>
  <c r="AA426" i="2"/>
  <c r="Y426" i="2"/>
  <c r="AB425" i="2"/>
  <c r="AA425" i="2"/>
  <c r="Y425" i="2"/>
  <c r="AB424" i="2"/>
  <c r="AA424" i="2"/>
  <c r="Y424" i="2"/>
  <c r="AB423" i="2"/>
  <c r="AA423" i="2"/>
  <c r="Y423" i="2"/>
  <c r="AB422" i="2"/>
  <c r="AA422" i="2"/>
  <c r="Y422" i="2"/>
  <c r="AB421" i="2"/>
  <c r="AA421" i="2"/>
  <c r="Y421" i="2"/>
  <c r="AB420" i="2"/>
  <c r="AA420" i="2"/>
  <c r="Y420" i="2"/>
  <c r="AB419" i="2"/>
  <c r="AA419" i="2"/>
  <c r="Y419" i="2"/>
  <c r="AB418" i="2"/>
  <c r="AA418" i="2"/>
  <c r="Y418" i="2"/>
  <c r="T418" i="2"/>
  <c r="AB417" i="2"/>
  <c r="AA417" i="2"/>
  <c r="Y417" i="2"/>
  <c r="T417" i="2"/>
  <c r="AB416" i="2"/>
  <c r="AA416" i="2"/>
  <c r="Y416" i="2"/>
  <c r="T416" i="2"/>
  <c r="AB415" i="2"/>
  <c r="AA415" i="2"/>
  <c r="Y415" i="2"/>
  <c r="T415" i="2"/>
  <c r="AB414" i="2"/>
  <c r="AA414" i="2"/>
  <c r="Y414" i="2"/>
  <c r="T414" i="2"/>
  <c r="AB413" i="2"/>
  <c r="AA413" i="2"/>
  <c r="Y413" i="2"/>
  <c r="AB412" i="2"/>
  <c r="AA412" i="2"/>
  <c r="Y412" i="2"/>
  <c r="AB411" i="2"/>
  <c r="AA411" i="2"/>
  <c r="Y411" i="2"/>
  <c r="AB410" i="2"/>
  <c r="AA410" i="2"/>
  <c r="Y410" i="2"/>
  <c r="AB409" i="2"/>
  <c r="AA409" i="2"/>
  <c r="Y409" i="2"/>
  <c r="AB408" i="2"/>
  <c r="AA408" i="2"/>
  <c r="Y408" i="2"/>
  <c r="AB407" i="2"/>
  <c r="AA407" i="2"/>
  <c r="Y407" i="2"/>
  <c r="AB406" i="2"/>
  <c r="AA406" i="2"/>
  <c r="Y406" i="2"/>
  <c r="AB405" i="2"/>
  <c r="AA405" i="2"/>
  <c r="Y405" i="2"/>
  <c r="AB404" i="2"/>
  <c r="AA404" i="2"/>
  <c r="Y404" i="2"/>
  <c r="AB403" i="2"/>
  <c r="AA403" i="2"/>
  <c r="Y403" i="2"/>
  <c r="AB402" i="2"/>
  <c r="AA402" i="2"/>
  <c r="Y402" i="2"/>
  <c r="AB401" i="2"/>
  <c r="AA401" i="2"/>
  <c r="Y401" i="2"/>
  <c r="AB400" i="2"/>
  <c r="AA400" i="2"/>
  <c r="Y400" i="2"/>
  <c r="AB399" i="2"/>
  <c r="AA399" i="2"/>
  <c r="Y399" i="2"/>
  <c r="AB398" i="2"/>
  <c r="AA398" i="2"/>
  <c r="Y398" i="2"/>
  <c r="AB397" i="2"/>
  <c r="AA397" i="2"/>
  <c r="Y397" i="2"/>
  <c r="AB396" i="2"/>
  <c r="AA396" i="2"/>
  <c r="Y396" i="2"/>
  <c r="AB395" i="2"/>
  <c r="AA395" i="2"/>
  <c r="Y395" i="2"/>
  <c r="AB394" i="2"/>
  <c r="AA394" i="2"/>
  <c r="Y394" i="2"/>
  <c r="AB393" i="2"/>
  <c r="AA393" i="2"/>
  <c r="Y393" i="2"/>
  <c r="AB392" i="2"/>
  <c r="AA392" i="2"/>
  <c r="Y392" i="2"/>
  <c r="AB391" i="2"/>
  <c r="AA391" i="2"/>
  <c r="Y391" i="2"/>
  <c r="AB390" i="2"/>
  <c r="AA390" i="2"/>
  <c r="Y390" i="2"/>
  <c r="AB389" i="2"/>
  <c r="AA389" i="2"/>
  <c r="Y389" i="2"/>
  <c r="AB388" i="2"/>
  <c r="AA388" i="2"/>
  <c r="Y388" i="2"/>
  <c r="AB387" i="2"/>
  <c r="AA387" i="2"/>
  <c r="Y387" i="2"/>
  <c r="AB386" i="2"/>
  <c r="AA386" i="2"/>
  <c r="Y386" i="2"/>
  <c r="AB385" i="2"/>
  <c r="AA385" i="2"/>
  <c r="Y385" i="2"/>
  <c r="T385" i="2"/>
  <c r="AB384" i="2"/>
  <c r="AA384" i="2"/>
  <c r="Y384" i="2"/>
  <c r="T384" i="2"/>
  <c r="AB383" i="2"/>
  <c r="AA383" i="2"/>
  <c r="Y383" i="2"/>
  <c r="T383" i="2"/>
  <c r="AB382" i="2"/>
  <c r="AA382" i="2"/>
  <c r="Y382" i="2"/>
  <c r="T382" i="2"/>
  <c r="AB381" i="2"/>
  <c r="AA381" i="2"/>
  <c r="Y381" i="2"/>
  <c r="T381" i="2"/>
  <c r="AB380" i="2"/>
  <c r="AA380" i="2"/>
  <c r="Y380" i="2"/>
  <c r="AB379" i="2"/>
  <c r="AA379" i="2"/>
  <c r="Y379" i="2"/>
  <c r="T379" i="2"/>
  <c r="AB378" i="2"/>
  <c r="AA378" i="2"/>
  <c r="Y378" i="2"/>
  <c r="AB377" i="2"/>
  <c r="AA377" i="2"/>
  <c r="Y377" i="2"/>
  <c r="T377" i="2"/>
  <c r="AB376" i="2"/>
  <c r="AA376" i="2"/>
  <c r="Y376" i="2"/>
  <c r="AB375" i="2"/>
  <c r="AA375" i="2"/>
  <c r="Y375" i="2"/>
  <c r="AB374" i="2"/>
  <c r="AA374" i="2"/>
  <c r="Y374" i="2"/>
  <c r="AB373" i="2"/>
  <c r="AA373" i="2"/>
  <c r="Y373" i="2"/>
  <c r="AB372" i="2"/>
  <c r="AA372" i="2"/>
  <c r="Y372" i="2"/>
  <c r="AB371" i="2"/>
  <c r="AA371" i="2"/>
  <c r="Y371" i="2"/>
  <c r="AB370" i="2"/>
  <c r="AA370" i="2"/>
  <c r="Y370" i="2"/>
  <c r="AB369" i="2"/>
  <c r="AA369" i="2"/>
  <c r="Y369" i="2"/>
  <c r="AB368" i="2"/>
  <c r="AA368" i="2"/>
  <c r="Y368" i="2"/>
  <c r="AB367" i="2"/>
  <c r="AA367" i="2"/>
  <c r="Y367" i="2"/>
  <c r="AB366" i="2"/>
  <c r="AA366" i="2"/>
  <c r="Y366" i="2"/>
  <c r="AB365" i="2"/>
  <c r="AA365" i="2"/>
  <c r="Y365" i="2"/>
  <c r="AB364" i="2"/>
  <c r="AA364" i="2"/>
  <c r="Y364" i="2"/>
  <c r="AB363" i="2"/>
  <c r="AA363" i="2"/>
  <c r="Y363" i="2"/>
  <c r="AB362" i="2"/>
  <c r="AA362" i="2"/>
  <c r="Y362" i="2"/>
  <c r="AB361" i="2"/>
  <c r="AA361" i="2"/>
  <c r="Y361" i="2"/>
  <c r="AB360" i="2"/>
  <c r="AA360" i="2"/>
  <c r="Y360" i="2"/>
  <c r="AB359" i="2"/>
  <c r="AA359" i="2"/>
  <c r="Y359" i="2"/>
  <c r="AB358" i="2"/>
  <c r="AA358" i="2"/>
  <c r="Y358" i="2"/>
  <c r="AB357" i="2"/>
  <c r="AA357" i="2"/>
  <c r="Y357" i="2"/>
  <c r="AB356" i="2"/>
  <c r="AA356" i="2"/>
  <c r="Y356" i="2"/>
  <c r="AB355" i="2"/>
  <c r="AA355" i="2"/>
  <c r="Y355" i="2"/>
  <c r="AB354" i="2"/>
  <c r="AA354" i="2"/>
  <c r="Y354" i="2"/>
  <c r="AB353" i="2"/>
  <c r="AA353" i="2"/>
  <c r="Y353" i="2"/>
  <c r="AB352" i="2"/>
  <c r="AA352" i="2"/>
  <c r="Y352" i="2"/>
  <c r="AB351" i="2"/>
  <c r="AA351" i="2"/>
  <c r="Y351" i="2"/>
  <c r="AB350" i="2"/>
  <c r="AA350" i="2"/>
  <c r="Y350" i="2"/>
  <c r="AB349" i="2"/>
  <c r="AA349" i="2"/>
  <c r="Y349" i="2"/>
  <c r="AB348" i="2"/>
  <c r="AA348" i="2"/>
  <c r="Y348" i="2"/>
  <c r="AB347" i="2"/>
  <c r="AA347" i="2"/>
  <c r="Y347" i="2"/>
  <c r="AB346" i="2"/>
  <c r="AA346" i="2"/>
  <c r="Y346" i="2"/>
  <c r="AB345" i="2"/>
  <c r="AA345" i="2"/>
  <c r="Y345" i="2"/>
  <c r="AB344" i="2"/>
  <c r="AA344" i="2"/>
  <c r="Y344" i="2"/>
  <c r="AB343" i="2"/>
  <c r="AA343" i="2"/>
  <c r="Y343" i="2"/>
  <c r="AB342" i="2"/>
  <c r="AA342" i="2"/>
  <c r="Y342" i="2"/>
  <c r="AB341" i="2"/>
  <c r="AA341" i="2"/>
  <c r="Y341" i="2"/>
  <c r="AB340" i="2"/>
  <c r="AA340" i="2"/>
  <c r="Y340" i="2"/>
  <c r="AB339" i="2"/>
  <c r="AA339" i="2"/>
  <c r="Y339" i="2"/>
  <c r="AB338" i="2"/>
  <c r="AA338" i="2"/>
  <c r="Y338" i="2"/>
  <c r="AB337" i="2"/>
  <c r="AA337" i="2"/>
  <c r="Y337" i="2"/>
  <c r="AB336" i="2"/>
  <c r="AA336" i="2"/>
  <c r="Y336" i="2"/>
  <c r="AB335" i="2"/>
  <c r="AA335" i="2"/>
  <c r="Y335" i="2"/>
  <c r="AB334" i="2"/>
  <c r="AA334" i="2"/>
  <c r="Y334" i="2"/>
  <c r="AB333" i="2"/>
  <c r="AA333" i="2"/>
  <c r="Y333" i="2"/>
  <c r="AB332" i="2"/>
  <c r="AA332" i="2"/>
  <c r="Y332" i="2"/>
  <c r="AB331" i="2"/>
  <c r="AA331" i="2"/>
  <c r="Y331" i="2"/>
  <c r="T331" i="2"/>
  <c r="AB330" i="2"/>
  <c r="AA330" i="2"/>
  <c r="Y330" i="2"/>
  <c r="T330" i="2"/>
  <c r="AB329" i="2"/>
  <c r="AA329" i="2"/>
  <c r="Y329" i="2"/>
  <c r="T329" i="2"/>
  <c r="AB328" i="2"/>
  <c r="AA328" i="2"/>
  <c r="Y328" i="2"/>
  <c r="T328" i="2"/>
  <c r="AB327" i="2"/>
  <c r="AA327" i="2"/>
  <c r="Y327" i="2"/>
  <c r="T327" i="2"/>
  <c r="AB326" i="2"/>
  <c r="AA326" i="2"/>
  <c r="Y326" i="2"/>
  <c r="T326" i="2"/>
  <c r="AB325" i="2"/>
  <c r="AA325" i="2"/>
  <c r="Y325" i="2"/>
  <c r="T325" i="2"/>
  <c r="AB324" i="2"/>
  <c r="AA324" i="2"/>
  <c r="Y324" i="2"/>
  <c r="T324" i="2"/>
  <c r="AB323" i="2"/>
  <c r="AA323" i="2"/>
  <c r="Y323" i="2"/>
  <c r="T323" i="2"/>
  <c r="AB322" i="2"/>
  <c r="AA322" i="2"/>
  <c r="Y322" i="2"/>
  <c r="T322" i="2"/>
  <c r="AB321" i="2"/>
  <c r="AA321" i="2"/>
  <c r="Y321" i="2"/>
  <c r="T321" i="2"/>
  <c r="AB320" i="2"/>
  <c r="AA320" i="2"/>
  <c r="Y320" i="2"/>
  <c r="T320" i="2"/>
  <c r="AB319" i="2"/>
  <c r="AA319" i="2"/>
  <c r="Y319" i="2"/>
  <c r="T319" i="2"/>
  <c r="AB318" i="2"/>
  <c r="AA318" i="2"/>
  <c r="Y318" i="2"/>
  <c r="T318" i="2"/>
  <c r="AB317" i="2"/>
  <c r="AA317" i="2"/>
  <c r="Y317" i="2"/>
  <c r="AB316" i="2"/>
  <c r="AA316" i="2"/>
  <c r="Y316" i="2"/>
  <c r="AB315" i="2"/>
  <c r="AA315" i="2"/>
  <c r="Y315" i="2"/>
  <c r="AB314" i="2"/>
  <c r="AA314" i="2"/>
  <c r="Y314" i="2"/>
  <c r="AB313" i="2"/>
  <c r="AA313" i="2"/>
  <c r="Y313" i="2"/>
  <c r="AB312" i="2"/>
  <c r="AA312" i="2"/>
  <c r="Y312" i="2"/>
  <c r="AB311" i="2"/>
  <c r="AA311" i="2"/>
  <c r="Y311" i="2"/>
  <c r="AB310" i="2"/>
  <c r="AA310" i="2"/>
  <c r="Y310" i="2"/>
  <c r="AB309" i="2"/>
  <c r="AA309" i="2"/>
  <c r="Y309" i="2"/>
  <c r="T309" i="2"/>
  <c r="AB308" i="2"/>
  <c r="AA308" i="2"/>
  <c r="Y308" i="2"/>
  <c r="T308" i="2"/>
  <c r="AB307" i="2"/>
  <c r="AA307" i="2"/>
  <c r="Y307" i="2"/>
  <c r="T307" i="2"/>
  <c r="AB306" i="2"/>
  <c r="AA306" i="2"/>
  <c r="Y306" i="2"/>
  <c r="T306" i="2"/>
  <c r="AB305" i="2"/>
  <c r="AA305" i="2"/>
  <c r="Y305" i="2"/>
  <c r="T305" i="2"/>
  <c r="AB304" i="2"/>
  <c r="AA304" i="2"/>
  <c r="Y304" i="2"/>
  <c r="T304" i="2"/>
  <c r="AB303" i="2"/>
  <c r="AA303" i="2"/>
  <c r="Y303" i="2"/>
  <c r="AB302" i="2"/>
  <c r="AA302" i="2"/>
  <c r="Y302" i="2"/>
  <c r="AB301" i="2"/>
  <c r="AA301" i="2"/>
  <c r="Y301" i="2"/>
  <c r="AB300" i="2"/>
  <c r="AA300" i="2"/>
  <c r="Y300" i="2"/>
  <c r="AB299" i="2"/>
  <c r="AA299" i="2"/>
  <c r="Y299" i="2"/>
  <c r="AB298" i="2"/>
  <c r="AA298" i="2"/>
  <c r="Y298" i="2"/>
  <c r="AB297" i="2"/>
  <c r="AA297" i="2"/>
  <c r="Y297" i="2"/>
  <c r="AB296" i="2"/>
  <c r="AA296" i="2"/>
  <c r="Y296" i="2"/>
  <c r="AB295" i="2"/>
  <c r="AA295" i="2"/>
  <c r="Y295" i="2"/>
  <c r="AB294" i="2"/>
  <c r="AA294" i="2"/>
  <c r="Y294" i="2"/>
  <c r="AB293" i="2"/>
  <c r="AA293" i="2"/>
  <c r="Y293" i="2"/>
  <c r="AB292" i="2"/>
  <c r="AA292" i="2"/>
  <c r="Y292" i="2"/>
  <c r="AB291" i="2"/>
  <c r="AA291" i="2"/>
  <c r="Y291" i="2"/>
  <c r="AB290" i="2"/>
  <c r="AA290" i="2"/>
  <c r="Y290" i="2"/>
  <c r="AB289" i="2"/>
  <c r="AA289" i="2"/>
  <c r="Y289" i="2"/>
  <c r="AB288" i="2"/>
  <c r="AA288" i="2"/>
  <c r="Y288" i="2"/>
  <c r="AB287" i="2"/>
  <c r="AA287" i="2"/>
  <c r="Y287" i="2"/>
  <c r="AB286" i="2"/>
  <c r="AA286" i="2"/>
  <c r="Y286" i="2"/>
  <c r="AB285" i="2"/>
  <c r="AA285" i="2"/>
  <c r="Y285" i="2"/>
  <c r="AB284" i="2"/>
  <c r="AA284" i="2"/>
  <c r="Y284" i="2"/>
  <c r="AB283" i="2"/>
  <c r="AA283" i="2"/>
  <c r="Y283" i="2"/>
  <c r="AB282" i="2"/>
  <c r="AA282" i="2"/>
  <c r="Y282" i="2"/>
  <c r="AB281" i="2"/>
  <c r="AA281" i="2"/>
  <c r="Y281" i="2"/>
  <c r="AB280" i="2"/>
  <c r="AA280" i="2"/>
  <c r="Y280" i="2"/>
  <c r="AB279" i="2"/>
  <c r="AA279" i="2"/>
  <c r="Y279" i="2"/>
  <c r="AB278" i="2"/>
  <c r="AA278" i="2"/>
  <c r="Y278" i="2"/>
  <c r="AB277" i="2"/>
  <c r="AA277" i="2"/>
  <c r="Y277" i="2"/>
  <c r="AB276" i="2"/>
  <c r="AA276" i="2"/>
  <c r="Y276" i="2"/>
  <c r="AB275" i="2"/>
  <c r="AA275" i="2"/>
  <c r="Y275" i="2"/>
  <c r="T275" i="2"/>
  <c r="AB274" i="2"/>
  <c r="AA274" i="2"/>
  <c r="Y274" i="2"/>
  <c r="T274" i="2"/>
  <c r="AB273" i="2"/>
  <c r="AA273" i="2"/>
  <c r="Y273" i="2"/>
  <c r="AB272" i="2"/>
  <c r="AA272" i="2"/>
  <c r="Y272" i="2"/>
  <c r="AB271" i="2"/>
  <c r="AA271" i="2"/>
  <c r="Y271" i="2"/>
  <c r="AB270" i="2"/>
  <c r="AA270" i="2"/>
  <c r="Y270" i="2"/>
  <c r="AB269" i="2"/>
  <c r="AA269" i="2"/>
  <c r="Y269" i="2"/>
  <c r="AB268" i="2"/>
  <c r="AA268" i="2"/>
  <c r="Y268" i="2"/>
  <c r="AB267" i="2"/>
  <c r="AA267" i="2"/>
  <c r="Y267" i="2"/>
  <c r="AB266" i="2"/>
  <c r="AA266" i="2"/>
  <c r="Y266" i="2"/>
  <c r="T266" i="2"/>
  <c r="AB265" i="2"/>
  <c r="AA265" i="2"/>
  <c r="Y265" i="2"/>
  <c r="T265" i="2"/>
  <c r="AB264" i="2"/>
  <c r="AA264" i="2"/>
  <c r="Y264" i="2"/>
  <c r="T264" i="2"/>
  <c r="AB263" i="2"/>
  <c r="AA263" i="2"/>
  <c r="Y263" i="2"/>
  <c r="T263" i="2"/>
  <c r="AB262" i="2"/>
  <c r="AA262" i="2"/>
  <c r="Y262" i="2"/>
  <c r="T262" i="2"/>
  <c r="AB261" i="2"/>
  <c r="AA261" i="2"/>
  <c r="Y261" i="2"/>
  <c r="AB260" i="2"/>
  <c r="AA260" i="2"/>
  <c r="Y260" i="2"/>
  <c r="AB259" i="2"/>
  <c r="AA259" i="2"/>
  <c r="Y259" i="2"/>
  <c r="AB258" i="2"/>
  <c r="AA258" i="2"/>
  <c r="Y258" i="2"/>
  <c r="AB257" i="2"/>
  <c r="AA257" i="2"/>
  <c r="Y257" i="2"/>
  <c r="AB256" i="2"/>
  <c r="AA256" i="2"/>
  <c r="Y256" i="2"/>
  <c r="AB255" i="2"/>
  <c r="AA255" i="2"/>
  <c r="Y255" i="2"/>
  <c r="AB254" i="2"/>
  <c r="AA254" i="2"/>
  <c r="Y254" i="2"/>
  <c r="AB253" i="2"/>
  <c r="AA253" i="2"/>
  <c r="Y253" i="2"/>
  <c r="AB252" i="2"/>
  <c r="AA252" i="2"/>
  <c r="Y252" i="2"/>
  <c r="AB251" i="2"/>
  <c r="AA251" i="2"/>
  <c r="Y251" i="2"/>
  <c r="AB250" i="2"/>
  <c r="AA250" i="2"/>
  <c r="Y250" i="2"/>
  <c r="T250" i="2"/>
  <c r="AB249" i="2"/>
  <c r="AA249" i="2"/>
  <c r="Y249" i="2"/>
  <c r="AB248" i="2"/>
  <c r="AA248" i="2"/>
  <c r="Y248" i="2"/>
  <c r="AB247" i="2"/>
  <c r="AA247" i="2"/>
  <c r="Y247" i="2"/>
  <c r="AB246" i="2"/>
  <c r="AA246" i="2"/>
  <c r="Y246" i="2"/>
  <c r="AB245" i="2"/>
  <c r="AA245" i="2"/>
  <c r="Y245" i="2"/>
  <c r="AB244" i="2"/>
  <c r="AA244" i="2"/>
  <c r="Y244" i="2"/>
  <c r="AB243" i="2"/>
  <c r="AA243" i="2"/>
  <c r="Y243" i="2"/>
  <c r="AB242" i="2"/>
  <c r="AA242" i="2"/>
  <c r="Y242" i="2"/>
  <c r="AB241" i="2"/>
  <c r="AA241" i="2"/>
  <c r="Y241" i="2"/>
  <c r="AB240" i="2"/>
  <c r="AA240" i="2"/>
  <c r="Y240" i="2"/>
  <c r="AB239" i="2"/>
  <c r="AA239" i="2"/>
  <c r="Y239" i="2"/>
  <c r="AB238" i="2"/>
  <c r="AA238" i="2"/>
  <c r="Y238" i="2"/>
  <c r="AB237" i="2"/>
  <c r="AA237" i="2"/>
  <c r="Y237" i="2"/>
  <c r="AB236" i="2"/>
  <c r="AA236" i="2"/>
  <c r="Y236" i="2"/>
  <c r="AB235" i="2"/>
  <c r="AA235" i="2"/>
  <c r="Y235" i="2"/>
  <c r="AB234" i="2"/>
  <c r="AA234" i="2"/>
  <c r="Y234" i="2"/>
  <c r="AB233" i="2"/>
  <c r="AA233" i="2"/>
  <c r="Y233" i="2"/>
  <c r="AB232" i="2"/>
  <c r="AA232" i="2"/>
  <c r="Y232" i="2"/>
  <c r="AB231" i="2"/>
  <c r="AA231" i="2"/>
  <c r="Y231" i="2"/>
  <c r="AB230" i="2"/>
  <c r="AA230" i="2"/>
  <c r="Y230" i="2"/>
  <c r="AB229" i="2"/>
  <c r="AA229" i="2"/>
  <c r="Y229" i="2"/>
  <c r="AB228" i="2"/>
  <c r="AA228" i="2"/>
  <c r="Y228" i="2"/>
  <c r="AB227" i="2"/>
  <c r="AA227" i="2"/>
  <c r="Y227" i="2"/>
  <c r="AB226" i="2"/>
  <c r="AA226" i="2"/>
  <c r="Y226" i="2"/>
  <c r="AB225" i="2"/>
  <c r="AA225" i="2"/>
  <c r="Y225" i="2"/>
  <c r="AB224" i="2"/>
  <c r="AA224" i="2"/>
  <c r="Y224" i="2"/>
  <c r="AB223" i="2"/>
  <c r="AA223" i="2"/>
  <c r="Y223" i="2"/>
  <c r="AB222" i="2"/>
  <c r="AA222" i="2"/>
  <c r="Y222" i="2"/>
  <c r="AB221" i="2"/>
  <c r="AA221" i="2"/>
  <c r="Y221" i="2"/>
  <c r="AB220" i="2"/>
  <c r="AA220" i="2"/>
  <c r="Y220" i="2"/>
  <c r="AB219" i="2"/>
  <c r="AA219" i="2"/>
  <c r="Y219" i="2"/>
  <c r="AB218" i="2"/>
  <c r="AA218" i="2"/>
  <c r="Y218" i="2"/>
  <c r="AB217" i="2"/>
  <c r="AA217" i="2"/>
  <c r="Y217" i="2"/>
  <c r="AB216" i="2"/>
  <c r="AA216" i="2"/>
  <c r="Y216" i="2"/>
  <c r="AB215" i="2"/>
  <c r="AA215" i="2"/>
  <c r="Y215" i="2"/>
  <c r="AB214" i="2"/>
  <c r="AA214" i="2"/>
  <c r="Y214" i="2"/>
  <c r="AB213" i="2"/>
  <c r="AA213" i="2"/>
  <c r="Y213" i="2"/>
  <c r="AB212" i="2"/>
  <c r="AA212" i="2"/>
  <c r="Y212" i="2"/>
  <c r="AB211" i="2"/>
  <c r="AA211" i="2"/>
  <c r="Y211" i="2"/>
  <c r="AB210" i="2"/>
  <c r="AA210" i="2"/>
  <c r="Y210" i="2"/>
  <c r="AB209" i="2"/>
  <c r="AA209" i="2"/>
  <c r="Y209" i="2"/>
  <c r="AB208" i="2"/>
  <c r="AA208" i="2"/>
  <c r="Y208" i="2"/>
  <c r="T208" i="2"/>
  <c r="AB207" i="2"/>
  <c r="AA207" i="2"/>
  <c r="Y207" i="2"/>
  <c r="T207" i="2"/>
  <c r="AB206" i="2"/>
  <c r="AA206" i="2"/>
  <c r="Y206" i="2"/>
  <c r="AB205" i="2"/>
  <c r="AA205" i="2"/>
  <c r="Y205" i="2"/>
  <c r="AB204" i="2"/>
  <c r="AA204" i="2"/>
  <c r="Y204" i="2"/>
  <c r="AB203" i="2"/>
  <c r="AA203" i="2"/>
  <c r="Y203" i="2"/>
  <c r="AB202" i="2"/>
  <c r="AA202" i="2"/>
  <c r="Y202" i="2"/>
  <c r="AB201" i="2"/>
  <c r="AA201" i="2"/>
  <c r="Y201" i="2"/>
  <c r="AB200" i="2"/>
  <c r="AA200" i="2"/>
  <c r="Y200" i="2"/>
  <c r="AB199" i="2"/>
  <c r="AA199" i="2"/>
  <c r="Y199" i="2"/>
  <c r="AB198" i="2"/>
  <c r="AA198" i="2"/>
  <c r="Y198" i="2"/>
  <c r="AB197" i="2"/>
  <c r="AA197" i="2"/>
  <c r="Y197" i="2"/>
  <c r="AB196" i="2"/>
  <c r="AA196" i="2"/>
  <c r="Y196" i="2"/>
  <c r="AB195" i="2"/>
  <c r="AA195" i="2"/>
  <c r="Y195" i="2"/>
  <c r="AB194" i="2"/>
  <c r="AA194" i="2"/>
  <c r="Y194" i="2"/>
  <c r="AB193" i="2"/>
  <c r="AA193" i="2"/>
  <c r="Y193" i="2"/>
  <c r="AB192" i="2"/>
  <c r="AA192" i="2"/>
  <c r="Y192" i="2"/>
  <c r="AB191" i="2"/>
  <c r="AA191" i="2"/>
  <c r="Y191" i="2"/>
  <c r="AB190" i="2"/>
  <c r="AA190" i="2"/>
  <c r="Y190" i="2"/>
  <c r="AB189" i="2"/>
  <c r="AA189" i="2"/>
  <c r="Y189" i="2"/>
  <c r="AB188" i="2"/>
  <c r="AA188" i="2"/>
  <c r="Y188" i="2"/>
  <c r="AB187" i="2"/>
  <c r="AA187" i="2"/>
  <c r="Y187" i="2"/>
  <c r="AB186" i="2"/>
  <c r="AA186" i="2"/>
  <c r="Y186" i="2"/>
  <c r="AB185" i="2"/>
  <c r="AA185" i="2"/>
  <c r="Y185" i="2"/>
  <c r="AB184" i="2"/>
  <c r="AA184" i="2"/>
  <c r="Y184" i="2"/>
  <c r="AB183" i="2"/>
  <c r="AA183" i="2"/>
  <c r="Y183" i="2"/>
  <c r="AB182" i="2"/>
  <c r="AA182" i="2"/>
  <c r="Y182" i="2"/>
  <c r="AB181" i="2"/>
  <c r="AA181" i="2"/>
  <c r="Y181" i="2"/>
  <c r="AB180" i="2"/>
  <c r="AA180" i="2"/>
  <c r="Y180" i="2"/>
  <c r="AB179" i="2"/>
  <c r="AA179" i="2"/>
  <c r="Y179" i="2"/>
  <c r="AB178" i="2"/>
  <c r="AA178" i="2"/>
  <c r="Y178" i="2"/>
  <c r="AB177" i="2"/>
  <c r="AA177" i="2"/>
  <c r="Y177" i="2"/>
  <c r="AB176" i="2"/>
  <c r="AA176" i="2"/>
  <c r="Y176" i="2"/>
  <c r="AB175" i="2"/>
  <c r="AA175" i="2"/>
  <c r="Y175" i="2"/>
  <c r="AB174" i="2"/>
  <c r="AA174" i="2"/>
  <c r="Y174" i="2"/>
  <c r="AB173" i="2"/>
  <c r="AA173" i="2"/>
  <c r="Y173" i="2"/>
  <c r="AB172" i="2"/>
  <c r="AA172" i="2"/>
  <c r="Y172" i="2"/>
  <c r="AB171" i="2"/>
  <c r="AA171" i="2"/>
  <c r="Y171" i="2"/>
  <c r="AB170" i="2"/>
  <c r="AA170" i="2"/>
  <c r="Y170" i="2"/>
  <c r="AB169" i="2"/>
  <c r="AA169" i="2"/>
  <c r="Y169" i="2"/>
  <c r="AB168" i="2"/>
  <c r="AA168" i="2"/>
  <c r="Y168" i="2"/>
  <c r="AB167" i="2"/>
  <c r="AA167" i="2"/>
  <c r="Y167" i="2"/>
  <c r="AB166" i="2"/>
  <c r="AA166" i="2"/>
  <c r="Y166" i="2"/>
  <c r="AB165" i="2"/>
  <c r="AA165" i="2"/>
  <c r="Y165" i="2"/>
  <c r="AB164" i="2"/>
  <c r="AA164" i="2"/>
  <c r="Y164" i="2"/>
  <c r="AB163" i="2"/>
  <c r="AA163" i="2"/>
  <c r="Y163" i="2"/>
  <c r="AB162" i="2"/>
  <c r="AA162" i="2"/>
  <c r="Y162" i="2"/>
  <c r="AB161" i="2"/>
  <c r="AA161" i="2"/>
  <c r="Y161" i="2"/>
  <c r="AB160" i="2"/>
  <c r="AA160" i="2"/>
  <c r="Y160" i="2"/>
  <c r="AB159" i="2"/>
  <c r="AA159" i="2"/>
  <c r="Y159" i="2"/>
  <c r="AB158" i="2"/>
  <c r="AA158" i="2"/>
  <c r="Y158" i="2"/>
  <c r="AB157" i="2"/>
  <c r="AA157" i="2"/>
  <c r="Y157" i="2"/>
  <c r="AB156" i="2"/>
  <c r="AA156" i="2"/>
  <c r="Y156" i="2"/>
  <c r="AB155" i="2"/>
  <c r="AA155" i="2"/>
  <c r="Y155" i="2"/>
  <c r="AB154" i="2"/>
  <c r="AA154" i="2"/>
  <c r="Y154" i="2"/>
  <c r="AB153" i="2"/>
  <c r="AA153" i="2"/>
  <c r="Y153" i="2"/>
  <c r="AB152" i="2"/>
  <c r="AA152" i="2"/>
  <c r="Y152" i="2"/>
  <c r="AB151" i="2"/>
  <c r="AA151" i="2"/>
  <c r="Y151" i="2"/>
  <c r="AB150" i="2"/>
  <c r="AA150" i="2"/>
  <c r="Y150" i="2"/>
  <c r="AB149" i="2"/>
  <c r="AA149" i="2"/>
  <c r="Y149" i="2"/>
  <c r="AB148" i="2"/>
  <c r="AA148" i="2"/>
  <c r="Y148" i="2"/>
  <c r="AB147" i="2"/>
  <c r="AA147" i="2"/>
  <c r="Y147" i="2"/>
  <c r="T147" i="2"/>
  <c r="AB146" i="2"/>
  <c r="AA146" i="2"/>
  <c r="Y146" i="2"/>
  <c r="T146" i="2"/>
  <c r="AB145" i="2"/>
  <c r="AA145" i="2"/>
  <c r="Y145" i="2"/>
  <c r="AB144" i="2"/>
  <c r="AA144" i="2"/>
  <c r="Y144" i="2"/>
  <c r="AB143" i="2"/>
  <c r="AA143" i="2"/>
  <c r="Y143" i="2"/>
  <c r="AB142" i="2"/>
  <c r="AA142" i="2"/>
  <c r="Y142" i="2"/>
  <c r="AB141" i="2"/>
  <c r="AA141" i="2"/>
  <c r="Y141" i="2"/>
  <c r="AB140" i="2"/>
  <c r="AA140" i="2"/>
  <c r="Y140" i="2"/>
  <c r="AB139" i="2"/>
  <c r="AA139" i="2"/>
  <c r="Y139" i="2"/>
  <c r="AB138" i="2"/>
  <c r="AA138" i="2"/>
  <c r="Y138" i="2"/>
  <c r="AB137" i="2"/>
  <c r="AA137" i="2"/>
  <c r="Y137" i="2"/>
  <c r="T137" i="2"/>
  <c r="AB136" i="2"/>
  <c r="AA136" i="2"/>
  <c r="Y136" i="2"/>
  <c r="T136" i="2"/>
  <c r="AB135" i="2"/>
  <c r="AA135" i="2"/>
  <c r="Y135" i="2"/>
  <c r="T135" i="2"/>
  <c r="AB134" i="2"/>
  <c r="AA134" i="2"/>
  <c r="Y134" i="2"/>
  <c r="T134" i="2"/>
  <c r="AB133" i="2"/>
  <c r="AA133" i="2"/>
  <c r="Y133" i="2"/>
  <c r="T133" i="2"/>
  <c r="AB132" i="2"/>
  <c r="AA132" i="2"/>
  <c r="Y132" i="2"/>
  <c r="T132" i="2"/>
  <c r="AB131" i="2"/>
  <c r="AA131" i="2"/>
  <c r="Y131" i="2"/>
  <c r="T131" i="2"/>
  <c r="AB130" i="2"/>
  <c r="AA130" i="2"/>
  <c r="Y130" i="2"/>
  <c r="T130" i="2"/>
  <c r="AB129" i="2"/>
  <c r="AA129" i="2"/>
  <c r="Y129" i="2"/>
  <c r="T129" i="2"/>
  <c r="AB128" i="2"/>
  <c r="AA128" i="2"/>
  <c r="Y128" i="2"/>
  <c r="T128" i="2"/>
  <c r="AB127" i="2"/>
  <c r="AA127" i="2"/>
  <c r="Y127" i="2"/>
  <c r="T127" i="2"/>
  <c r="AB126" i="2"/>
  <c r="AA126" i="2"/>
  <c r="Y126" i="2"/>
  <c r="T126" i="2"/>
  <c r="AB125" i="2"/>
  <c r="AA125" i="2"/>
  <c r="Y125" i="2"/>
  <c r="T125" i="2"/>
  <c r="AB124" i="2"/>
  <c r="AA124" i="2"/>
  <c r="Y124" i="2"/>
  <c r="T124" i="2"/>
  <c r="AB123" i="2"/>
  <c r="AA123" i="2"/>
  <c r="Y123" i="2"/>
  <c r="AB122" i="2"/>
  <c r="AA122" i="2"/>
  <c r="Y122" i="2"/>
  <c r="AB121" i="2"/>
  <c r="AA121" i="2"/>
  <c r="Y121" i="2"/>
  <c r="AB120" i="2"/>
  <c r="AA120" i="2"/>
  <c r="Y120" i="2"/>
  <c r="AB119" i="2"/>
  <c r="AA119" i="2"/>
  <c r="Y119" i="2"/>
  <c r="AB118" i="2"/>
  <c r="AA118" i="2"/>
  <c r="Y118" i="2"/>
  <c r="AB117" i="2"/>
  <c r="AA117" i="2"/>
  <c r="Y117" i="2"/>
  <c r="AB116" i="2"/>
  <c r="AA116" i="2"/>
  <c r="Y116" i="2"/>
  <c r="AB115" i="2"/>
  <c r="AA115" i="2"/>
  <c r="Y115" i="2"/>
  <c r="AB114" i="2"/>
  <c r="AA114" i="2"/>
  <c r="Y114" i="2"/>
  <c r="AB113" i="2"/>
  <c r="AA113" i="2"/>
  <c r="Y113" i="2"/>
  <c r="AB112" i="2"/>
  <c r="AA112" i="2"/>
  <c r="Y112" i="2"/>
  <c r="AB111" i="2"/>
  <c r="AA111" i="2"/>
  <c r="Y111" i="2"/>
  <c r="AB110" i="2"/>
  <c r="AA110" i="2"/>
  <c r="Y110" i="2"/>
  <c r="AB109" i="2"/>
  <c r="AA109" i="2"/>
  <c r="Y109" i="2"/>
  <c r="AB108" i="2"/>
  <c r="AA108" i="2"/>
  <c r="Y108" i="2"/>
  <c r="AB107" i="2"/>
  <c r="AA107" i="2"/>
  <c r="Y107" i="2"/>
  <c r="AB106" i="2"/>
  <c r="AA106" i="2"/>
  <c r="Y106" i="2"/>
  <c r="AB105" i="2"/>
  <c r="AA105" i="2"/>
  <c r="Y105" i="2"/>
  <c r="AB104" i="2"/>
  <c r="AA104" i="2"/>
  <c r="Y104" i="2"/>
  <c r="AB103" i="2"/>
  <c r="AA103" i="2"/>
  <c r="Y103" i="2"/>
  <c r="AB102" i="2"/>
  <c r="AA102" i="2"/>
  <c r="Y102" i="2"/>
  <c r="AB101" i="2"/>
  <c r="AA101" i="2"/>
  <c r="Y101" i="2"/>
  <c r="AB100" i="2"/>
  <c r="AA100" i="2"/>
  <c r="Y100" i="2"/>
  <c r="AB99" i="2"/>
  <c r="AA99" i="2"/>
  <c r="Y99" i="2"/>
  <c r="AB98" i="2"/>
  <c r="AA98" i="2"/>
  <c r="Y98" i="2"/>
  <c r="AB97" i="2"/>
  <c r="AA97" i="2"/>
  <c r="Y97" i="2"/>
  <c r="AB96" i="2"/>
  <c r="AA96" i="2"/>
  <c r="Y96" i="2"/>
  <c r="AB95" i="2"/>
  <c r="AA95" i="2"/>
  <c r="Y95" i="2"/>
  <c r="AB94" i="2"/>
  <c r="AA94" i="2"/>
  <c r="Y94" i="2"/>
  <c r="AB93" i="2"/>
  <c r="AA93" i="2"/>
  <c r="Y93" i="2"/>
  <c r="AB92" i="2"/>
  <c r="AA92" i="2"/>
  <c r="Y92" i="2"/>
  <c r="AB91" i="2"/>
  <c r="AA91" i="2"/>
  <c r="Y91" i="2"/>
  <c r="AB90" i="2"/>
  <c r="AA90" i="2"/>
  <c r="Y90" i="2"/>
  <c r="AB89" i="2"/>
  <c r="AA89" i="2"/>
  <c r="Y89" i="2"/>
  <c r="AB88" i="2"/>
  <c r="AA88" i="2"/>
  <c r="Y88" i="2"/>
  <c r="AB87" i="2"/>
  <c r="AA87" i="2"/>
  <c r="Y87" i="2"/>
  <c r="AB86" i="2"/>
  <c r="AA86" i="2"/>
  <c r="Y86" i="2"/>
  <c r="AB85" i="2"/>
  <c r="AA85" i="2"/>
  <c r="Y85" i="2"/>
  <c r="AB84" i="2"/>
  <c r="AA84" i="2"/>
  <c r="Y84" i="2"/>
  <c r="AB83" i="2"/>
  <c r="AA83" i="2"/>
  <c r="Y83" i="2"/>
  <c r="AB82" i="2"/>
  <c r="AA82" i="2"/>
  <c r="Y82" i="2"/>
  <c r="AB81" i="2"/>
  <c r="AA81" i="2"/>
  <c r="Y81" i="2"/>
  <c r="AB80" i="2"/>
  <c r="AA80" i="2"/>
  <c r="Y80" i="2"/>
  <c r="AB79" i="2"/>
  <c r="AA79" i="2"/>
  <c r="Y79" i="2"/>
  <c r="AB78" i="2"/>
  <c r="AA78" i="2"/>
  <c r="Y78" i="2"/>
  <c r="AB77" i="2"/>
  <c r="AA77" i="2"/>
  <c r="Y77" i="2"/>
  <c r="AB76" i="2"/>
  <c r="AA76" i="2"/>
  <c r="Y76" i="2"/>
  <c r="AB75" i="2"/>
  <c r="AA75" i="2"/>
  <c r="Y75" i="2"/>
  <c r="AB74" i="2"/>
  <c r="AA74" i="2"/>
  <c r="Y74" i="2"/>
  <c r="AB73" i="2"/>
  <c r="AA73" i="2"/>
  <c r="Y73" i="2"/>
  <c r="AB72" i="2"/>
  <c r="AA72" i="2"/>
  <c r="Y72" i="2"/>
  <c r="AB71" i="2"/>
  <c r="AA71" i="2"/>
  <c r="Y71" i="2"/>
  <c r="AB70" i="2"/>
  <c r="AA70" i="2"/>
  <c r="Y70" i="2"/>
  <c r="AB69" i="2"/>
  <c r="AA69" i="2"/>
  <c r="Y69" i="2"/>
  <c r="AB68" i="2"/>
  <c r="AA68" i="2"/>
  <c r="Y68" i="2"/>
  <c r="AB67" i="2"/>
  <c r="AA67" i="2"/>
  <c r="Y67" i="2"/>
  <c r="AB66" i="2"/>
  <c r="AA66" i="2"/>
  <c r="Y66" i="2"/>
  <c r="AB65" i="2"/>
  <c r="AA65" i="2"/>
  <c r="Y65" i="2"/>
  <c r="AB64" i="2"/>
  <c r="AA64" i="2"/>
  <c r="Y64" i="2"/>
  <c r="AB63" i="2"/>
  <c r="AA63" i="2"/>
  <c r="Y63" i="2"/>
  <c r="AB62" i="2"/>
  <c r="AA62" i="2"/>
  <c r="Y62" i="2"/>
  <c r="AB61" i="2"/>
  <c r="AA61" i="2"/>
  <c r="Y61" i="2"/>
  <c r="AB60" i="2"/>
  <c r="AA60" i="2"/>
  <c r="Y60" i="2"/>
  <c r="AB59" i="2"/>
  <c r="AA59" i="2"/>
  <c r="Y59" i="2"/>
  <c r="AB58" i="2"/>
  <c r="AA58" i="2"/>
  <c r="Y58" i="2"/>
  <c r="AB57" i="2"/>
  <c r="AA57" i="2"/>
  <c r="Y57" i="2"/>
  <c r="AB56" i="2"/>
  <c r="AA56" i="2"/>
  <c r="Y56" i="2"/>
  <c r="AB55" i="2"/>
  <c r="AA55" i="2"/>
  <c r="Y55" i="2"/>
  <c r="AB54" i="2"/>
  <c r="AA54" i="2"/>
  <c r="Y54" i="2"/>
  <c r="AB53" i="2"/>
  <c r="AA53" i="2"/>
  <c r="Y53" i="2"/>
  <c r="AB52" i="2"/>
  <c r="AA52" i="2"/>
  <c r="Y52" i="2"/>
  <c r="AB51" i="2"/>
  <c r="AA51" i="2"/>
  <c r="Y51" i="2"/>
  <c r="AB50" i="2"/>
  <c r="AA50" i="2"/>
  <c r="Y50" i="2"/>
  <c r="AB49" i="2"/>
  <c r="AA49" i="2"/>
  <c r="Y49" i="2"/>
  <c r="AB48" i="2"/>
  <c r="AA48" i="2"/>
  <c r="Y48" i="2"/>
  <c r="AB47" i="2"/>
  <c r="AA47" i="2"/>
  <c r="Y47" i="2"/>
  <c r="AB46" i="2"/>
  <c r="AA46" i="2"/>
  <c r="Y46" i="2"/>
  <c r="AB45" i="2"/>
  <c r="AA45" i="2"/>
  <c r="Y45" i="2"/>
  <c r="AB44" i="2"/>
  <c r="AA44" i="2"/>
  <c r="Y44" i="2"/>
  <c r="AB43" i="2"/>
  <c r="AA43" i="2"/>
  <c r="Y43" i="2"/>
  <c r="AB42" i="2"/>
  <c r="AA42" i="2"/>
  <c r="Y42" i="2"/>
  <c r="AB41" i="2"/>
  <c r="AA41" i="2"/>
  <c r="Y41" i="2"/>
  <c r="AB40" i="2"/>
  <c r="AA40" i="2"/>
  <c r="Y40" i="2"/>
  <c r="AB39" i="2"/>
  <c r="AA39" i="2"/>
  <c r="Y39" i="2"/>
  <c r="AB38" i="2"/>
  <c r="AA38" i="2"/>
  <c r="Y38" i="2"/>
  <c r="AB37" i="2"/>
  <c r="AA37" i="2"/>
  <c r="Y37" i="2"/>
  <c r="AB36" i="2"/>
  <c r="AA36" i="2"/>
  <c r="Y36" i="2"/>
  <c r="AB35" i="2"/>
  <c r="AA35" i="2"/>
  <c r="Y35" i="2"/>
  <c r="AB34" i="2"/>
  <c r="AA34" i="2"/>
  <c r="Y34" i="2"/>
  <c r="AB33" i="2"/>
  <c r="AA33" i="2"/>
  <c r="Y33" i="2"/>
  <c r="AB32" i="2"/>
  <c r="AA32" i="2"/>
  <c r="Y32" i="2"/>
  <c r="AB31" i="2"/>
  <c r="AA31" i="2"/>
  <c r="Y31" i="2"/>
  <c r="AB30" i="2"/>
  <c r="AA30" i="2"/>
  <c r="Y30" i="2"/>
  <c r="AB29" i="2"/>
  <c r="AA29" i="2"/>
  <c r="Y29" i="2"/>
  <c r="AB28" i="2"/>
  <c r="AA28" i="2"/>
  <c r="Y28" i="2"/>
  <c r="AB27" i="2"/>
  <c r="AA27" i="2"/>
  <c r="Y27" i="2"/>
  <c r="AB26" i="2"/>
  <c r="AA26" i="2"/>
  <c r="Y26" i="2"/>
  <c r="AB25" i="2"/>
  <c r="AA25" i="2"/>
  <c r="Y25" i="2"/>
  <c r="AB24" i="2"/>
  <c r="AA24" i="2"/>
  <c r="Y24" i="2"/>
  <c r="AB23" i="2"/>
  <c r="AA23" i="2"/>
  <c r="Y23" i="2"/>
  <c r="AB22" i="2"/>
  <c r="AA22" i="2"/>
  <c r="Y22" i="2"/>
  <c r="AB21" i="2"/>
  <c r="AA21" i="2"/>
  <c r="Y21" i="2"/>
  <c r="AB20" i="2"/>
  <c r="AA20" i="2"/>
  <c r="Y20" i="2"/>
  <c r="AB19" i="2"/>
  <c r="AA19" i="2"/>
  <c r="Y19" i="2"/>
  <c r="AB18" i="2"/>
  <c r="AA18" i="2"/>
  <c r="Y18" i="2"/>
  <c r="AB17" i="2"/>
  <c r="AA17" i="2"/>
  <c r="Y17" i="2"/>
  <c r="AB16" i="2"/>
  <c r="AA16" i="2"/>
  <c r="Y16" i="2"/>
  <c r="AB15" i="2"/>
  <c r="AA15" i="2"/>
  <c r="Y15" i="2"/>
  <c r="AB14" i="2"/>
  <c r="AA14" i="2"/>
  <c r="Y14" i="2"/>
  <c r="AB13" i="2"/>
  <c r="AA13" i="2"/>
  <c r="Y13" i="2"/>
  <c r="AB12" i="2"/>
  <c r="AA12" i="2"/>
  <c r="Y12" i="2"/>
  <c r="AB11" i="2"/>
  <c r="AA11" i="2"/>
  <c r="Y11" i="2"/>
  <c r="AB10" i="2"/>
  <c r="AA10" i="2"/>
  <c r="Y10" i="2"/>
  <c r="AB9" i="2"/>
  <c r="AA9" i="2"/>
  <c r="Y9" i="2"/>
  <c r="AB8" i="2"/>
  <c r="AA8" i="2"/>
  <c r="Y8" i="2"/>
  <c r="AB7" i="2"/>
  <c r="AA7" i="2"/>
  <c r="Y7" i="2"/>
  <c r="N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DUCANH</author>
  </authors>
  <commentList>
    <comment ref="F6" authorId="0" shapeId="0" xr:uid="{F6B2FC9A-14CA-4C46-8915-EAA7589988E2}">
      <text>
        <r>
          <rPr>
            <b/>
            <sz val="9"/>
            <color indexed="81"/>
            <rFont val="Tahoma"/>
            <family val="2"/>
            <charset val="238"/>
          </rPr>
          <t>X g, kg
X ml, L
od X - do X</t>
        </r>
      </text>
    </comment>
    <comment ref="G6" authorId="0" shapeId="0" xr:uid="{45ED5D3C-9133-4B48-A5AB-B2DD49FD8C37}">
      <text>
        <r>
          <rPr>
            <b/>
            <sz val="9"/>
            <color indexed="81"/>
            <rFont val="Tahoma"/>
            <family val="2"/>
            <charset val="238"/>
          </rPr>
          <t>1 druh
2,3,4 druhy
více druhů
všechny druhy</t>
        </r>
      </text>
    </comment>
  </commentList>
</comments>
</file>

<file path=xl/sharedStrings.xml><?xml version="1.0" encoding="utf-8"?>
<sst xmlns="http://schemas.openxmlformats.org/spreadsheetml/2006/main" count="6051" uniqueCount="2625">
  <si>
    <t>LETÁK</t>
  </si>
  <si>
    <t>S:\TAMDA - MARKETING$\@REKLAMA$\News</t>
  </si>
  <si>
    <t>Číslo Letáku</t>
  </si>
  <si>
    <t>Začátek</t>
  </si>
  <si>
    <t>Hlavní téma</t>
  </si>
  <si>
    <t>Valentýn – sladké dárky &amp; káva (start)</t>
  </si>
  <si>
    <t>Konec</t>
  </si>
  <si>
    <t>druhotka tổng</t>
  </si>
  <si>
    <t>Micro téma</t>
  </si>
  <si>
    <t>Čokoládový týden</t>
  </si>
  <si>
    <t>đã dùng</t>
  </si>
  <si>
    <t>Sezóna</t>
  </si>
  <si>
    <t>Zima</t>
  </si>
  <si>
    <t>EAN Kód</t>
  </si>
  <si>
    <t>Název zboží</t>
  </si>
  <si>
    <t>doplněk názvu / druhy</t>
  </si>
  <si>
    <t>gramáž / litráž</t>
  </si>
  <si>
    <t>EANY</t>
  </si>
  <si>
    <t>ACS</t>
  </si>
  <si>
    <t>NCS</t>
  </si>
  <si>
    <t>Název dodavatele</t>
  </si>
  <si>
    <t>Int. Kód</t>
  </si>
  <si>
    <t>HERO</t>
  </si>
  <si>
    <t>F, V, M</t>
  </si>
  <si>
    <t>PALETY</t>
  </si>
  <si>
    <t>STAV SKLADU</t>
  </si>
  <si>
    <t>BRNO</t>
  </si>
  <si>
    <t>ÚSTÍ</t>
  </si>
  <si>
    <t>GIA AKCE</t>
  </si>
  <si>
    <t>blok</t>
  </si>
  <si>
    <t>Manager</t>
  </si>
  <si>
    <t>téma</t>
  </si>
  <si>
    <t>page</t>
  </si>
  <si>
    <t>cena od</t>
  </si>
  <si>
    <t>PSD_Allocation</t>
  </si>
  <si>
    <t>SQL</t>
  </si>
  <si>
    <t>NGUYÊN NHÂN LỖ</t>
  </si>
  <si>
    <t>do not edit here</t>
  </si>
  <si>
    <t>Alvorada</t>
  </si>
  <si>
    <t>zrnková káva</t>
  </si>
  <si>
    <t>1kg</t>
  </si>
  <si>
    <t>SELI,spol.s r.o.</t>
  </si>
  <si>
    <t>COVER PAGE</t>
  </si>
  <si>
    <t>PKD</t>
  </si>
  <si>
    <t>valentýn</t>
  </si>
  <si>
    <t>Product_01</t>
  </si>
  <si>
    <t>Davidoff</t>
  </si>
  <si>
    <t>instantí káva</t>
  </si>
  <si>
    <t>90g, 100g</t>
  </si>
  <si>
    <t>Tchibo Praha, spol. s r.o.</t>
  </si>
  <si>
    <t>Product_02</t>
  </si>
  <si>
    <t>Lindt Lindor</t>
  </si>
  <si>
    <t>srdce tin</t>
  </si>
  <si>
    <t>50g</t>
  </si>
  <si>
    <t>Lindt &amp; Sprüngli (Czechia) s.r.o.</t>
  </si>
  <si>
    <t>Product_03</t>
  </si>
  <si>
    <t>Lindt Pralines Hochfein</t>
  </si>
  <si>
    <t>bonboniéra</t>
  </si>
  <si>
    <t>120g</t>
  </si>
  <si>
    <t>Product_04</t>
  </si>
  <si>
    <t>Lexus srdce</t>
  </si>
  <si>
    <t>110g</t>
  </si>
  <si>
    <t>VIOLET KANGAROO s.r.o.</t>
  </si>
  <si>
    <t>Product_05</t>
  </si>
  <si>
    <t>Lexus</t>
  </si>
  <si>
    <t>150g</t>
  </si>
  <si>
    <t>Product_06</t>
  </si>
  <si>
    <t>Vobro Love and Cherry</t>
  </si>
  <si>
    <t>300g</t>
  </si>
  <si>
    <t>VÁCLAV NOVÁK TOP CUKROVINKY #KS</t>
  </si>
  <si>
    <t>Product_08</t>
  </si>
  <si>
    <t>Milka</t>
  </si>
  <si>
    <t>pralines</t>
  </si>
  <si>
    <t>44g</t>
  </si>
  <si>
    <t>VIMPEX DRINK Kft. #KS</t>
  </si>
  <si>
    <t>čokoládový týden</t>
  </si>
  <si>
    <t>2019100</t>
  </si>
  <si>
    <t>Raffaello</t>
  </si>
  <si>
    <t>T15</t>
  </si>
  <si>
    <t>Mon Cheri</t>
  </si>
  <si>
    <t>T5</t>
  </si>
  <si>
    <t>52,5g</t>
  </si>
  <si>
    <t>T10</t>
  </si>
  <si>
    <t>105g</t>
  </si>
  <si>
    <t>Ferrero Rocher</t>
  </si>
  <si>
    <t>T8</t>
  </si>
  <si>
    <t>100g</t>
  </si>
  <si>
    <t>Vobro Ego</t>
  </si>
  <si>
    <t>od 87g - 92g</t>
  </si>
  <si>
    <t>všechny</t>
  </si>
  <si>
    <t>SEZÓNNÍ BLOK</t>
  </si>
  <si>
    <t>cancel page 3</t>
  </si>
  <si>
    <t>cancel page 4</t>
  </si>
  <si>
    <t>cancel page 5</t>
  </si>
  <si>
    <t>cancel page 6</t>
  </si>
  <si>
    <t>cancel page 7</t>
  </si>
  <si>
    <t>cancel page 8</t>
  </si>
  <si>
    <t>cancel page 9</t>
  </si>
  <si>
    <t>BLOK - NÁPOJE</t>
  </si>
  <si>
    <t>CHIEN</t>
  </si>
  <si>
    <t>NÁPOJE</t>
  </si>
  <si>
    <t>vody</t>
  </si>
  <si>
    <t>limonády/energy</t>
  </si>
  <si>
    <t>12,0</t>
  </si>
  <si>
    <t>7340131600001</t>
  </si>
  <si>
    <t>NOCCO</t>
  </si>
  <si>
    <t>Energetický nápoj</t>
  </si>
  <si>
    <t>330ml</t>
  </si>
  <si>
    <t>více</t>
  </si>
  <si>
    <t>Orbico s.r.o.</t>
  </si>
  <si>
    <t>1014872</t>
  </si>
  <si>
    <t>39,90</t>
  </si>
  <si>
    <t>slané</t>
  </si>
  <si>
    <t>KMV BEV s.r.o.</t>
  </si>
  <si>
    <t>MASPEX Czech s.r.o.</t>
  </si>
  <si>
    <t>VITAR, s.r.o.</t>
  </si>
  <si>
    <t>Big Shock s.r.o.</t>
  </si>
  <si>
    <t>Product_09</t>
  </si>
  <si>
    <t>PFANNER, spol. s r.o.</t>
  </si>
  <si>
    <t>Product_11</t>
  </si>
  <si>
    <t>McCarter CZ, s.r.o. 2</t>
  </si>
  <si>
    <t>McCarter CZ, s.r.o. 1</t>
  </si>
  <si>
    <t>XP BOOST s.r.o.</t>
  </si>
  <si>
    <t>Kofola a.s.</t>
  </si>
  <si>
    <t>Sodovkárna Kolín s.r.o.</t>
  </si>
  <si>
    <t>Coca-Cola HBC Česko a Slovensko, s.r.o. 2</t>
  </si>
  <si>
    <t>Coca-Cola HBC Česko a Slovensko, s.r.o. 1</t>
  </si>
  <si>
    <t>Hell Energy Drinks Czech s.r.o.</t>
  </si>
  <si>
    <t>pivo</t>
  </si>
  <si>
    <t>Pivovary Staropramen s.r.o.</t>
  </si>
  <si>
    <t>Heineken Česká republika, a.s.</t>
  </si>
  <si>
    <t>víno/alkohol</t>
  </si>
  <si>
    <t>Alko / JIP východočeská, a.s.</t>
  </si>
  <si>
    <t>BUDA-MONT S.R.O.</t>
  </si>
  <si>
    <t>IKdrinks s.r.o. 1</t>
  </si>
  <si>
    <t>IKdrinks s.r.o. 2</t>
  </si>
  <si>
    <t>Ultra Premium Brands - Central Europe s.r.o.</t>
  </si>
  <si>
    <t>Good Vibes s.r.o.</t>
  </si>
  <si>
    <t>BLOK A4</t>
  </si>
  <si>
    <t>BLOK - CHLAZENÉ</t>
  </si>
  <si>
    <t>TU</t>
  </si>
  <si>
    <t>0,8</t>
  </si>
  <si>
    <t>5900512110165</t>
  </si>
  <si>
    <t>Mlékovita sýr 150g</t>
  </si>
  <si>
    <t>Eidam tenké plátky</t>
  </si>
  <si>
    <t>EAN</t>
  </si>
  <si>
    <t>Milkpol spol. s r.o. #KS</t>
  </si>
  <si>
    <t>5061258</t>
  </si>
  <si>
    <t>CHLAZENÉ</t>
  </si>
  <si>
    <t>sýry</t>
  </si>
  <si>
    <t>5900512990828</t>
  </si>
  <si>
    <t>Ementaler tenké plátky</t>
  </si>
  <si>
    <t>5061261</t>
  </si>
  <si>
    <t>5900512110585</t>
  </si>
  <si>
    <t>Gouda tenké plátky</t>
  </si>
  <si>
    <t>5061265</t>
  </si>
  <si>
    <t>1,5</t>
  </si>
  <si>
    <t>8593803326252</t>
  </si>
  <si>
    <t>Madeta Jihočeský sýr</t>
  </si>
  <si>
    <t>Eidam 30%</t>
  </si>
  <si>
    <t>Madeta a.s._Zott</t>
  </si>
  <si>
    <t>5060305</t>
  </si>
  <si>
    <t>1,4</t>
  </si>
  <si>
    <t>8594032992966</t>
  </si>
  <si>
    <t>Beskydské sýrové nitě</t>
  </si>
  <si>
    <t>MILKEFFEKT, a.s.</t>
  </si>
  <si>
    <t>5062557</t>
  </si>
  <si>
    <t>1,6</t>
  </si>
  <si>
    <t>8594032990801</t>
  </si>
  <si>
    <t>uzené</t>
  </si>
  <si>
    <t>5062558</t>
  </si>
  <si>
    <t>0,6</t>
  </si>
  <si>
    <t>8594013321389</t>
  </si>
  <si>
    <t>Krahulík tlačenka</t>
  </si>
  <si>
    <t>Selská</t>
  </si>
  <si>
    <t>500g</t>
  </si>
  <si>
    <t>Krahulík-MASOZÁVOD Krahulčí, a.s.</t>
  </si>
  <si>
    <t>5062506</t>
  </si>
  <si>
    <t>šunky salámy</t>
  </si>
  <si>
    <t>Product_07</t>
  </si>
  <si>
    <t>gia nhap 31,74 bez - T02_2026</t>
  </si>
  <si>
    <t>0,4</t>
  </si>
  <si>
    <t>8594014093452</t>
  </si>
  <si>
    <t>Krahulík párky</t>
  </si>
  <si>
    <t>Vídeňské</t>
  </si>
  <si>
    <t>200g</t>
  </si>
  <si>
    <t>EAN 3 druhy</t>
  </si>
  <si>
    <t>5062519</t>
  </si>
  <si>
    <t>gia nhap 20,7 bez - T02_2026</t>
  </si>
  <si>
    <t>0,7</t>
  </si>
  <si>
    <t>8410764074131</t>
  </si>
  <si>
    <t>Argal Salchichon regio</t>
  </si>
  <si>
    <t>krájený</t>
  </si>
  <si>
    <t>Gornicky, s.r.o.</t>
  </si>
  <si>
    <t>5061223</t>
  </si>
  <si>
    <t>1,0</t>
  </si>
  <si>
    <t>8594066740748</t>
  </si>
  <si>
    <t>GG vepřové sádlo</t>
  </si>
  <si>
    <t>5065466</t>
  </si>
  <si>
    <t>Product_10</t>
  </si>
  <si>
    <t>8594026121211</t>
  </si>
  <si>
    <t>Le &amp; Co šunka</t>
  </si>
  <si>
    <t>vepřová</t>
  </si>
  <si>
    <t>LE &amp; CO - Ing. Jiří Lenc, s.r.o.</t>
  </si>
  <si>
    <t>5060070</t>
  </si>
  <si>
    <t>Product_13</t>
  </si>
  <si>
    <t>8594026121013</t>
  </si>
  <si>
    <t>Bohemia shaved</t>
  </si>
  <si>
    <t>5060069</t>
  </si>
  <si>
    <t>Product_14</t>
  </si>
  <si>
    <t>2,5</t>
  </si>
  <si>
    <t>3073780878869</t>
  </si>
  <si>
    <t>Smetanito</t>
  </si>
  <si>
    <t>Smetanové</t>
  </si>
  <si>
    <t>EAN více druhů</t>
  </si>
  <si>
    <t>BEL Sýry Česko a.s.</t>
  </si>
  <si>
    <t>5050173</t>
  </si>
  <si>
    <t>1,1</t>
  </si>
  <si>
    <t>8594002782986</t>
  </si>
  <si>
    <t>Kunín smetana</t>
  </si>
  <si>
    <t>ke šlehání 31%</t>
  </si>
  <si>
    <t>Lactalis CZ, s.r.o.</t>
  </si>
  <si>
    <t>5061144</t>
  </si>
  <si>
    <t>jogurty</t>
  </si>
  <si>
    <t>0,5</t>
  </si>
  <si>
    <t>8594003020124</t>
  </si>
  <si>
    <t>Valašský jogurt 150g</t>
  </si>
  <si>
    <t>bílý</t>
  </si>
  <si>
    <t>Mlékárna Valašské Meziříčí, spol. s r.o.</t>
  </si>
  <si>
    <t>5061290</t>
  </si>
  <si>
    <t>CHLAZENÉ + MRAŽENÉ</t>
  </si>
  <si>
    <t>8594003022777</t>
  </si>
  <si>
    <t>smetanový jahoda</t>
  </si>
  <si>
    <t>EAN 4 druhy</t>
  </si>
  <si>
    <t>5064589</t>
  </si>
  <si>
    <t>4002971112900</t>
  </si>
  <si>
    <t>Ehrmann High protein skyr</t>
  </si>
  <si>
    <t>Ehrmann Praha s.r.o.</t>
  </si>
  <si>
    <t>5063545</t>
  </si>
  <si>
    <t>4002971246209</t>
  </si>
  <si>
    <t>Ehrmann Robby Pudding</t>
  </si>
  <si>
    <t>Čokoláda</t>
  </si>
  <si>
    <t>90g</t>
  </si>
  <si>
    <t>EAN 2 druhy</t>
  </si>
  <si>
    <t>5065284</t>
  </si>
  <si>
    <t>8593807567507</t>
  </si>
  <si>
    <t>Olma Pierot jogurt</t>
  </si>
  <si>
    <t>smetanový kokos+ananas</t>
  </si>
  <si>
    <t>175g</t>
  </si>
  <si>
    <t>Olma a.s.</t>
  </si>
  <si>
    <t>5060125</t>
  </si>
  <si>
    <t>8593807763824</t>
  </si>
  <si>
    <t>Olmíci Maty smetanový</t>
  </si>
  <si>
    <t>5065806</t>
  </si>
  <si>
    <t>gia nhap 9,82 bez - T02_2026</t>
  </si>
  <si>
    <t>8,0</t>
  </si>
  <si>
    <t>8594001041190</t>
  </si>
  <si>
    <t>Nowaco kukuřice</t>
  </si>
  <si>
    <t>350g</t>
  </si>
  <si>
    <t>Bidvest Czech Republic (Nowaco) #KS</t>
  </si>
  <si>
    <t>5050698</t>
  </si>
  <si>
    <t>8594001049905</t>
  </si>
  <si>
    <t>Nowaco mrkev</t>
  </si>
  <si>
    <t>mini</t>
  </si>
  <si>
    <t>5050703</t>
  </si>
  <si>
    <t>Product_12</t>
  </si>
  <si>
    <t>5709342447980</t>
  </si>
  <si>
    <t>Nowaco Surimi tyčinky</t>
  </si>
  <si>
    <t>250g</t>
  </si>
  <si>
    <t>5051418</t>
  </si>
  <si>
    <t>mražené</t>
  </si>
  <si>
    <t>8594053850054</t>
  </si>
  <si>
    <t>Povar pelmeni</t>
  </si>
  <si>
    <t>s hovězím a vepřovým masem</t>
  </si>
  <si>
    <t>400g</t>
  </si>
  <si>
    <t>PVA Produkt s.r.o.</t>
  </si>
  <si>
    <t>5051670</t>
  </si>
  <si>
    <t>8595006324677</t>
  </si>
  <si>
    <t>Vodňanské kuře kuřecí řízek</t>
  </si>
  <si>
    <t>holandský</t>
  </si>
  <si>
    <t>Vodňanská drůbež, a.s.</t>
  </si>
  <si>
    <t>5050770</t>
  </si>
  <si>
    <t>Product_15</t>
  </si>
  <si>
    <t>8595006323779</t>
  </si>
  <si>
    <t>Vodňanské kuřecí nugety</t>
  </si>
  <si>
    <t>křupavé smažené</t>
  </si>
  <si>
    <t>260g</t>
  </si>
  <si>
    <t>5050769</t>
  </si>
  <si>
    <t>Product_16</t>
  </si>
  <si>
    <t>BLOK - MRAŽENÉ</t>
  </si>
  <si>
    <t>KHANH</t>
  </si>
  <si>
    <t>MRAŽENÉ</t>
  </si>
  <si>
    <t>mražené produkty</t>
  </si>
  <si>
    <t>import</t>
  </si>
  <si>
    <t>LINH</t>
  </si>
  <si>
    <t>BLOK - KÁVA / ČAJ / SNÍDANĚ</t>
  </si>
  <si>
    <t>VU</t>
  </si>
  <si>
    <t>10,0</t>
  </si>
  <si>
    <t>8594059785022</t>
  </si>
  <si>
    <t>Velta Tea</t>
  </si>
  <si>
    <t>kvetoucí čaj</t>
  </si>
  <si>
    <t xml:space="preserve">12g </t>
  </si>
  <si>
    <t>Velta Plus EU, s.r.o.</t>
  </si>
  <si>
    <t>1051395</t>
  </si>
  <si>
    <t>56,90</t>
  </si>
  <si>
    <t>KÁVA</t>
  </si>
  <si>
    <t>DUCANH / VU</t>
  </si>
  <si>
    <t>káva / kapsle</t>
  </si>
  <si>
    <t>5901086000913</t>
  </si>
  <si>
    <t>Teekanne</t>
  </si>
  <si>
    <t>World of Fruits</t>
  </si>
  <si>
    <t>35-45g</t>
  </si>
  <si>
    <t>Jaroslav ZŮRA (Teekanne)</t>
  </si>
  <si>
    <t>8010122</t>
  </si>
  <si>
    <t>31,90</t>
  </si>
  <si>
    <t>5063270110911</t>
  </si>
  <si>
    <t>Lipton</t>
  </si>
  <si>
    <t>black pyramid</t>
  </si>
  <si>
    <t>34g</t>
  </si>
  <si>
    <t>1051928</t>
  </si>
  <si>
    <t>37,90</t>
  </si>
  <si>
    <t>8594740550397</t>
  </si>
  <si>
    <t>Leros</t>
  </si>
  <si>
    <t xml:space="preserve">Immunit Shot </t>
  </si>
  <si>
    <t>150ml</t>
  </si>
  <si>
    <t>Leros s.r.o.</t>
  </si>
  <si>
    <t>1051989</t>
  </si>
  <si>
    <t>34,90</t>
  </si>
  <si>
    <t>6,0</t>
  </si>
  <si>
    <t>5901830000060</t>
  </si>
  <si>
    <t>Frapé</t>
  </si>
  <si>
    <t xml:space="preserve">instantní čaj </t>
  </si>
  <si>
    <t>FRAPE FOODS, s.r.o.</t>
  </si>
  <si>
    <t>1051028</t>
  </si>
  <si>
    <t>38,90</t>
  </si>
  <si>
    <t>5900675003878</t>
  </si>
  <si>
    <t>Belin</t>
  </si>
  <si>
    <t xml:space="preserve">bylinkový čaj </t>
  </si>
  <si>
    <t>30g</t>
  </si>
  <si>
    <t>1051085</t>
  </si>
  <si>
    <t>19,90</t>
  </si>
  <si>
    <t>8720618218704</t>
  </si>
  <si>
    <t>Bardollini</t>
  </si>
  <si>
    <t>Cappuccino</t>
  </si>
  <si>
    <t>SIMANDL, spol. s r.o.</t>
  </si>
  <si>
    <t>1051739</t>
  </si>
  <si>
    <t>92,90</t>
  </si>
  <si>
    <t>čaj / kakao</t>
  </si>
  <si>
    <t>8594013590358</t>
  </si>
  <si>
    <t>Brazilka</t>
  </si>
  <si>
    <t>instantní káva</t>
  </si>
  <si>
    <t>1050662</t>
  </si>
  <si>
    <t>8588000014156</t>
  </si>
  <si>
    <t xml:space="preserve">Bercoff </t>
  </si>
  <si>
    <t>káva</t>
  </si>
  <si>
    <t>BERCOFF KLEMBER CZ, s.r.o.</t>
  </si>
  <si>
    <t>1051818</t>
  </si>
  <si>
    <t>149,00</t>
  </si>
  <si>
    <t>Minges</t>
  </si>
  <si>
    <t>MoccaFix</t>
  </si>
  <si>
    <t>mletá káva</t>
  </si>
  <si>
    <t>Mokate</t>
  </si>
  <si>
    <t>40g</t>
  </si>
  <si>
    <t>MOKATE Czech s.r.o.</t>
  </si>
  <si>
    <t>káva / čaj</t>
  </si>
  <si>
    <t>v</t>
  </si>
  <si>
    <t>8594068262439</t>
  </si>
  <si>
    <t>Bombus</t>
  </si>
  <si>
    <t xml:space="preserve">protein tyčinky 30% </t>
  </si>
  <si>
    <t>NutriHeads s.r.o.</t>
  </si>
  <si>
    <t>2110916</t>
  </si>
  <si>
    <t>24,90</t>
  </si>
  <si>
    <t>CEREÁLIE</t>
  </si>
  <si>
    <t>cereálie</t>
  </si>
  <si>
    <t>4,5</t>
  </si>
  <si>
    <t>8588000026296</t>
  </si>
  <si>
    <t>Chrástkovi</t>
  </si>
  <si>
    <t xml:space="preserve">kukuřičné křupky </t>
  </si>
  <si>
    <t>Chrástkovi s.r.o.</t>
  </si>
  <si>
    <t>4101077</t>
  </si>
  <si>
    <t>22,90</t>
  </si>
  <si>
    <t>5,0</t>
  </si>
  <si>
    <t>8594002314736</t>
  </si>
  <si>
    <t>Fit</t>
  </si>
  <si>
    <t>Simply Nut tyčinka</t>
  </si>
  <si>
    <t xml:space="preserve">35g </t>
  </si>
  <si>
    <t>ÚSOVSKO FOOD a.s.</t>
  </si>
  <si>
    <t>2052329</t>
  </si>
  <si>
    <t>14,50</t>
  </si>
  <si>
    <t>8594017140863</t>
  </si>
  <si>
    <t>Emco</t>
  </si>
  <si>
    <t>mysli</t>
  </si>
  <si>
    <t>750g</t>
  </si>
  <si>
    <t>Emco spol. s r. o.</t>
  </si>
  <si>
    <t>2050331</t>
  </si>
  <si>
    <t>84,90</t>
  </si>
  <si>
    <t>3800233070101</t>
  </si>
  <si>
    <t>Rice Up</t>
  </si>
  <si>
    <t>rýžové chipsy</t>
  </si>
  <si>
    <t>60g</t>
  </si>
  <si>
    <t>Comperio s.r.o.</t>
  </si>
  <si>
    <t>2050728</t>
  </si>
  <si>
    <t>18,90</t>
  </si>
  <si>
    <t>pomazánky</t>
  </si>
  <si>
    <t>8594019388096</t>
  </si>
  <si>
    <t>Semix</t>
  </si>
  <si>
    <t xml:space="preserve">mysli srdíčka </t>
  </si>
  <si>
    <t>SEMIX PLUSO, spol. s r.o.</t>
  </si>
  <si>
    <t>2050491</t>
  </si>
  <si>
    <t>10,50</t>
  </si>
  <si>
    <t>Herbex Šuměnka</t>
  </si>
  <si>
    <t>šumivý nápoj</t>
  </si>
  <si>
    <t>10g</t>
  </si>
  <si>
    <t>HERBEX CZECHIA spol. s r.o.</t>
  </si>
  <si>
    <t>zdravá</t>
  </si>
  <si>
    <t>Oreo O´s</t>
  </si>
  <si>
    <t>320g</t>
  </si>
  <si>
    <t>EUFIM.trade s.r.o.</t>
  </si>
  <si>
    <t>Nestlé Fitness. Musli</t>
  </si>
  <si>
    <t>tyčinky</t>
  </si>
  <si>
    <t>od 22,5g - 35g</t>
  </si>
  <si>
    <t>Nestlé Česko s.r.o. - PURINA #KS</t>
  </si>
  <si>
    <t>šumivé tablety</t>
  </si>
  <si>
    <t>Orion Granko</t>
  </si>
  <si>
    <t>kakao</t>
  </si>
  <si>
    <t>od 300g - 400g</t>
  </si>
  <si>
    <t>Nestlé Česko s.r.o. - KÁVA</t>
  </si>
  <si>
    <t>Nestlé</t>
  </si>
  <si>
    <t>tyčinka</t>
  </si>
  <si>
    <t>22g, 25g</t>
  </si>
  <si>
    <t>Nestlé Česko s.r.o. - CPW</t>
  </si>
  <si>
    <t>8594001561698</t>
  </si>
  <si>
    <t>BonaVita</t>
  </si>
  <si>
    <t>dětská cereálie</t>
  </si>
  <si>
    <t>375g</t>
  </si>
  <si>
    <t>JIP východočeská, a.s.</t>
  </si>
  <si>
    <t>2050146</t>
  </si>
  <si>
    <t>Bonavita spol. s r.o.</t>
  </si>
  <si>
    <t>8594017144793</t>
  </si>
  <si>
    <t xml:space="preserve">Emco </t>
  </si>
  <si>
    <t>mysli sušenky</t>
  </si>
  <si>
    <t>2010419</t>
  </si>
  <si>
    <t>Emco spol. s r.o.</t>
  </si>
  <si>
    <t>8588006618129</t>
  </si>
  <si>
    <t>MaxSport</t>
  </si>
  <si>
    <t xml:space="preserve">Royal Protein </t>
  </si>
  <si>
    <t>BAULI SLOVAKIA &amp; CZECH REPUBLIC s.r.o.</t>
  </si>
  <si>
    <t>2051142</t>
  </si>
  <si>
    <t>25,90</t>
  </si>
  <si>
    <t>4,0</t>
  </si>
  <si>
    <t>8001585004164</t>
  </si>
  <si>
    <t>Balconi</t>
  </si>
  <si>
    <t>dort</t>
  </si>
  <si>
    <t>SILISAN, s. r. o.</t>
  </si>
  <si>
    <t>4010344</t>
  </si>
  <si>
    <t>52,90</t>
  </si>
  <si>
    <t>PEČIVO</t>
  </si>
  <si>
    <t>sladké pečivo</t>
  </si>
  <si>
    <t>8690562041775</t>
  </si>
  <si>
    <t>Keks</t>
  </si>
  <si>
    <t xml:space="preserve">mini cake </t>
  </si>
  <si>
    <t>180g</t>
  </si>
  <si>
    <t>PALOMA PLUS, s.r.o., organizační složka</t>
  </si>
  <si>
    <t>2112421</t>
  </si>
  <si>
    <t>29,90</t>
  </si>
  <si>
    <t>3,0</t>
  </si>
  <si>
    <t>8595022762187</t>
  </si>
  <si>
    <t>Klasa</t>
  </si>
  <si>
    <t>linecké rohlíčky polomáčené</t>
  </si>
  <si>
    <t>210g</t>
  </si>
  <si>
    <t>Pekárny a cukrárny Klatovy, a.s.</t>
  </si>
  <si>
    <t>4010657</t>
  </si>
  <si>
    <t>5310345002399</t>
  </si>
  <si>
    <t>Vincinni</t>
  </si>
  <si>
    <t xml:space="preserve">Jumbo Roll </t>
  </si>
  <si>
    <t>SWEETEX s.r.o.</t>
  </si>
  <si>
    <t>4011173</t>
  </si>
  <si>
    <t>33,90</t>
  </si>
  <si>
    <t>2,0</t>
  </si>
  <si>
    <t>4101540787102</t>
  </si>
  <si>
    <t>Kuchen Meister</t>
  </si>
  <si>
    <t>Vafle</t>
  </si>
  <si>
    <t>Sahneböhm Praha, spol. s r.o.</t>
  </si>
  <si>
    <t>4010355</t>
  </si>
  <si>
    <t>3178530428667</t>
  </si>
  <si>
    <t>St Michel</t>
  </si>
  <si>
    <t>mini madlenky</t>
  </si>
  <si>
    <t>ATI DELICATES s.r.o.</t>
  </si>
  <si>
    <t>4011475</t>
  </si>
  <si>
    <t>44,90</t>
  </si>
  <si>
    <t>8594211160100</t>
  </si>
  <si>
    <t>Prima</t>
  </si>
  <si>
    <t xml:space="preserve">Toustový chléb </t>
  </si>
  <si>
    <t>LAMPYRIS Project  s.r.o.</t>
  </si>
  <si>
    <t>4011731</t>
  </si>
  <si>
    <t>tousty</t>
  </si>
  <si>
    <t>8001585002108</t>
  </si>
  <si>
    <t>roláda</t>
  </si>
  <si>
    <t>2010941</t>
  </si>
  <si>
    <t>27,90</t>
  </si>
  <si>
    <t>Silisan s.r.o.</t>
  </si>
  <si>
    <t>8594045603057</t>
  </si>
  <si>
    <t xml:space="preserve">Brick </t>
  </si>
  <si>
    <t>Trubičky</t>
  </si>
  <si>
    <t>2015430</t>
  </si>
  <si>
    <t>BLOK - CUKROVINKY</t>
  </si>
  <si>
    <t>DUCANH</t>
  </si>
  <si>
    <t>CUKROVINKY</t>
  </si>
  <si>
    <t>čokoláda</t>
  </si>
  <si>
    <t>cukrovinky</t>
  </si>
  <si>
    <t>KitKat</t>
  </si>
  <si>
    <t>od 40g - 42g</t>
  </si>
  <si>
    <t>Nestlé Česko s.r.o. - CUKRO 1</t>
  </si>
  <si>
    <t>Orion Delissa</t>
  </si>
  <si>
    <t>oplatka</t>
  </si>
  <si>
    <t>Nestlé Česko s.r.o. - CUKRO 2</t>
  </si>
  <si>
    <t>Merci Lovelies</t>
  </si>
  <si>
    <t>185g</t>
  </si>
  <si>
    <t>Storck Česká republika, s.r.o.</t>
  </si>
  <si>
    <t>Storck Česká republika, s.r.o. 2</t>
  </si>
  <si>
    <t>Maitre Truffout</t>
  </si>
  <si>
    <t>GUNZ #KS</t>
  </si>
  <si>
    <t>GUNZ</t>
  </si>
  <si>
    <t>Kolonáda Lázeňské</t>
  </si>
  <si>
    <t>oplatky</t>
  </si>
  <si>
    <t>od 175g - 200g</t>
  </si>
  <si>
    <t>Mondelez Czech Republic s.r.o.</t>
  </si>
  <si>
    <t>TYČINKY</t>
  </si>
  <si>
    <t>SUŠENKY</t>
  </si>
  <si>
    <t>Knoppers</t>
  </si>
  <si>
    <t>120g, 125g</t>
  </si>
  <si>
    <t>Storck Česká republika, s.r.o. 1</t>
  </si>
  <si>
    <t>Chupa Chups</t>
  </si>
  <si>
    <t>popcorn</t>
  </si>
  <si>
    <t>X-Life s.r.o.</t>
  </si>
  <si>
    <t>Fini</t>
  </si>
  <si>
    <t>žvýkačky v displayi, 50ks</t>
  </si>
  <si>
    <t>od 750g - 1kg</t>
  </si>
  <si>
    <t>více druhů</t>
  </si>
  <si>
    <t>MP Sweet, s.r.o.</t>
  </si>
  <si>
    <t>Space Chupi Color @150x9,5g barvící lízátko</t>
  </si>
  <si>
    <t>MARKETING SYSTEMS INTERNATIONAL (MSI)</t>
  </si>
  <si>
    <t>MARKETING SYSTEMS INTERNATIONAL (MSI) 2</t>
  </si>
  <si>
    <t>SweetNFun Lízátko 16g Brain Pop</t>
  </si>
  <si>
    <t>MARKETING SYSTEMS INTERNATIONAL (MSI) 1</t>
  </si>
  <si>
    <t>JohnyBee cukro+hračka 20g water gun candy /12/</t>
  </si>
  <si>
    <t>BM Holding s.r.o.</t>
  </si>
  <si>
    <t>Victor Schmidt</t>
  </si>
  <si>
    <t xml:space="preserve">Mozartovy koule </t>
  </si>
  <si>
    <t>od 49g - 297g</t>
  </si>
  <si>
    <t>Josef Manner s.r.o.</t>
  </si>
  <si>
    <t>Hazal</t>
  </si>
  <si>
    <t>petit beurre</t>
  </si>
  <si>
    <t>100g, 150g</t>
  </si>
  <si>
    <t>GEMINI DD s.r.o.</t>
  </si>
  <si>
    <t>Elvan Truffle</t>
  </si>
  <si>
    <t>bonbóny</t>
  </si>
  <si>
    <t>AYGE s.r.o.</t>
  </si>
  <si>
    <t>Snickers, Mars, Twix</t>
  </si>
  <si>
    <t>od 36,5g - 51g</t>
  </si>
  <si>
    <t>Mars Czech s.r.o.</t>
  </si>
  <si>
    <t xml:space="preserve">Figaro Doxy Roksy </t>
  </si>
  <si>
    <t>JIP východočeská, a.s. - IDC SEDITA #KS</t>
  </si>
  <si>
    <t>JIP východočeská, a.s. - Valeo Foods Group</t>
  </si>
  <si>
    <t>sušenky</t>
  </si>
  <si>
    <t>Bahlsen Hit</t>
  </si>
  <si>
    <t>sušenky minis</t>
  </si>
  <si>
    <t>130g</t>
  </si>
  <si>
    <t>The Bahlsen family</t>
  </si>
  <si>
    <t>Sojový suk</t>
  </si>
  <si>
    <t>od 50g - 200g</t>
  </si>
  <si>
    <t>COKO KLASIK družstvo @ZTP</t>
  </si>
  <si>
    <t>Haas čokoláda, Bananko tyčinka</t>
  </si>
  <si>
    <t>15g, 30g</t>
  </si>
  <si>
    <t>Ed. Haas CZ s.r.o.</t>
  </si>
  <si>
    <t>mix</t>
  </si>
  <si>
    <t>BLOK - SLANÉ</t>
  </si>
  <si>
    <t>8594042910868</t>
  </si>
  <si>
    <t>Golden Snack</t>
  </si>
  <si>
    <t>Cracker</t>
  </si>
  <si>
    <t>80g</t>
  </si>
  <si>
    <t>GOLDEN SNACK s.r.o.</t>
  </si>
  <si>
    <t>410005</t>
  </si>
  <si>
    <t>14,90</t>
  </si>
  <si>
    <t>SLANÉ</t>
  </si>
  <si>
    <t>8594014992731</t>
  </si>
  <si>
    <t>Vest</t>
  </si>
  <si>
    <t>precle</t>
  </si>
  <si>
    <t>VEST bakery s.r.o.</t>
  </si>
  <si>
    <t>4100787</t>
  </si>
  <si>
    <t>13,90</t>
  </si>
  <si>
    <t>3800205871255</t>
  </si>
  <si>
    <t>Maretti</t>
  </si>
  <si>
    <t>Bruschetta</t>
  </si>
  <si>
    <t>70g</t>
  </si>
  <si>
    <t>4010311</t>
  </si>
  <si>
    <t>15,50</t>
  </si>
  <si>
    <t>3800205877561</t>
  </si>
  <si>
    <t xml:space="preserve">Maretti </t>
  </si>
  <si>
    <t>140g</t>
  </si>
  <si>
    <t>4101663</t>
  </si>
  <si>
    <t>8594067540125</t>
  </si>
  <si>
    <t xml:space="preserve">Zykmundovy B </t>
  </si>
  <si>
    <t>brambůrky</t>
  </si>
  <si>
    <t>Jan Zykmund</t>
  </si>
  <si>
    <t>4100230</t>
  </si>
  <si>
    <t>28,90</t>
  </si>
  <si>
    <t>9,0</t>
  </si>
  <si>
    <t>8594055301660</t>
  </si>
  <si>
    <t>Indiana</t>
  </si>
  <si>
    <t>jerky</t>
  </si>
  <si>
    <t>25g</t>
  </si>
  <si>
    <t>Fine Gusto International s.r.o.(INDIANA)</t>
  </si>
  <si>
    <t>4100095</t>
  </si>
  <si>
    <t>55,90</t>
  </si>
  <si>
    <t>8592459003418</t>
  </si>
  <si>
    <t xml:space="preserve">IBK </t>
  </si>
  <si>
    <t xml:space="preserve">chia semínka </t>
  </si>
  <si>
    <t>Ing. BOHUMIL KRATOCHVÍL - IBK TRADE</t>
  </si>
  <si>
    <t>4030284</t>
  </si>
  <si>
    <t>16,50</t>
  </si>
  <si>
    <t>SLANÉ / OŘÍŠKY</t>
  </si>
  <si>
    <t>8594011988775</t>
  </si>
  <si>
    <t>IBK</t>
  </si>
  <si>
    <t>Kukuřice</t>
  </si>
  <si>
    <t>4030062</t>
  </si>
  <si>
    <t>21,90</t>
  </si>
  <si>
    <t>8594007536096</t>
  </si>
  <si>
    <t>KK</t>
  </si>
  <si>
    <t>arašídy</t>
  </si>
  <si>
    <t>ALIKA a.s.</t>
  </si>
  <si>
    <t>8010067</t>
  </si>
  <si>
    <t>26,50</t>
  </si>
  <si>
    <t>8594007536072</t>
  </si>
  <si>
    <t>75g</t>
  </si>
  <si>
    <t>4030217</t>
  </si>
  <si>
    <t>8588000567010</t>
  </si>
  <si>
    <t xml:space="preserve">Dr.Ensa </t>
  </si>
  <si>
    <t>rozinky</t>
  </si>
  <si>
    <t>Encinger SK s.r.o.</t>
  </si>
  <si>
    <t>4030270</t>
  </si>
  <si>
    <t>10,90</t>
  </si>
  <si>
    <t>8586012820932</t>
  </si>
  <si>
    <t>Dr.Ensa</t>
  </si>
  <si>
    <t>4030271</t>
  </si>
  <si>
    <t>20,90</t>
  </si>
  <si>
    <t>Takis</t>
  </si>
  <si>
    <t>snack</t>
  </si>
  <si>
    <t>M.K. INVEST Group  s.r.o. #KS</t>
  </si>
  <si>
    <t>M.K. INVEST Group  s.r.o.</t>
  </si>
  <si>
    <t>Cinema Time</t>
  </si>
  <si>
    <t>HOPI POPI,  a.s.</t>
  </si>
  <si>
    <t>McRobin Brrr, Opss</t>
  </si>
  <si>
    <t>snacks</t>
  </si>
  <si>
    <t>od 30g - 40g</t>
  </si>
  <si>
    <t>7,0</t>
  </si>
  <si>
    <t>5053990107339</t>
  </si>
  <si>
    <t xml:space="preserve">Pringles  </t>
  </si>
  <si>
    <t>4100214</t>
  </si>
  <si>
    <t>5,4</t>
  </si>
  <si>
    <t>8595606210585</t>
  </si>
  <si>
    <t>Bohemia</t>
  </si>
  <si>
    <t>135g</t>
  </si>
  <si>
    <t>INTERSNACK a.s. #KS</t>
  </si>
  <si>
    <t>4031115</t>
  </si>
  <si>
    <t>Intersnack a.s. 1</t>
  </si>
  <si>
    <t>3,2</t>
  </si>
  <si>
    <t>8595606210004</t>
  </si>
  <si>
    <t>Bohemia Chips</t>
  </si>
  <si>
    <t>410042</t>
  </si>
  <si>
    <t>Intersnack a.s. 2</t>
  </si>
  <si>
    <t>8595606210158</t>
  </si>
  <si>
    <t>Bohemia Vroubkované</t>
  </si>
  <si>
    <t>55g</t>
  </si>
  <si>
    <t>4100192</t>
  </si>
  <si>
    <t>Intersnack a.s. 3</t>
  </si>
  <si>
    <t>5941445668651</t>
  </si>
  <si>
    <t>Chio</t>
  </si>
  <si>
    <t>crackers</t>
  </si>
  <si>
    <t>65g</t>
  </si>
  <si>
    <t>4100733</t>
  </si>
  <si>
    <t>Intersnack a.s. 4</t>
  </si>
  <si>
    <t>5,3</t>
  </si>
  <si>
    <t>8595606207462</t>
  </si>
  <si>
    <t>Chio microwave</t>
  </si>
  <si>
    <t>popcorn do mikrovnky</t>
  </si>
  <si>
    <t>4101011</t>
  </si>
  <si>
    <t>12,90</t>
  </si>
  <si>
    <t>Intersnack a.s. 5</t>
  </si>
  <si>
    <t>BLOK - TRVANLIVÉ POTRAVINY</t>
  </si>
  <si>
    <t>8595686700730</t>
  </si>
  <si>
    <t>Lagris</t>
  </si>
  <si>
    <t>Rýže</t>
  </si>
  <si>
    <t>Podravka-Lagris a.s.</t>
  </si>
  <si>
    <t>4050589</t>
  </si>
  <si>
    <t>TRVANLIVÉ POTRAVINY</t>
  </si>
  <si>
    <t>rýže</t>
  </si>
  <si>
    <t>8594004491855</t>
  </si>
  <si>
    <t xml:space="preserve">Lagris  </t>
  </si>
  <si>
    <t>čočka</t>
  </si>
  <si>
    <t>4050599</t>
  </si>
  <si>
    <t>8594002140038</t>
  </si>
  <si>
    <t>Kojetín</t>
  </si>
  <si>
    <t>mouka</t>
  </si>
  <si>
    <t>Mlýn Kojetín, spol. s r.o.</t>
  </si>
  <si>
    <t>4052872</t>
  </si>
  <si>
    <t>8594033962463</t>
  </si>
  <si>
    <t xml:space="preserve">Apetol </t>
  </si>
  <si>
    <t xml:space="preserve">slunečnicový olej </t>
  </si>
  <si>
    <t>1L</t>
  </si>
  <si>
    <t>AVENA s.r.o.</t>
  </si>
  <si>
    <t>4054375</t>
  </si>
  <si>
    <t>42,90</t>
  </si>
  <si>
    <t>8594060453590</t>
  </si>
  <si>
    <t xml:space="preserve">Apetol  </t>
  </si>
  <si>
    <t>řepkový olej</t>
  </si>
  <si>
    <t>4052035</t>
  </si>
  <si>
    <t>polévky</t>
  </si>
  <si>
    <t>8,5</t>
  </si>
  <si>
    <t>8588003656162</t>
  </si>
  <si>
    <t>Sokra</t>
  </si>
  <si>
    <t xml:space="preserve">olivový olej </t>
  </si>
  <si>
    <t>500ml</t>
  </si>
  <si>
    <t>BALTAXIA a.s.</t>
  </si>
  <si>
    <t>4054349</t>
  </si>
  <si>
    <t>119,00</t>
  </si>
  <si>
    <t>8594002152949</t>
  </si>
  <si>
    <t>Premium</t>
  </si>
  <si>
    <t>těstoviny</t>
  </si>
  <si>
    <t>JAPAVO, spol. s r.o.</t>
  </si>
  <si>
    <t>4050545</t>
  </si>
  <si>
    <t>16,0</t>
  </si>
  <si>
    <t>8594033331542</t>
  </si>
  <si>
    <t>Švéda</t>
  </si>
  <si>
    <t>hotová jídla</t>
  </si>
  <si>
    <t>330g</t>
  </si>
  <si>
    <t>ŠVÉDA - QUALITY s.r.o.</t>
  </si>
  <si>
    <t>4040969</t>
  </si>
  <si>
    <t>49,90</t>
  </si>
  <si>
    <t>8712100867996</t>
  </si>
  <si>
    <t>Knorr</t>
  </si>
  <si>
    <t>instantní polévka</t>
  </si>
  <si>
    <t>15-21g</t>
  </si>
  <si>
    <t>Unilever CR, spol. s r.o. #KS</t>
  </si>
  <si>
    <t>4052831</t>
  </si>
  <si>
    <t>6,90</t>
  </si>
  <si>
    <t>8594202292803</t>
  </si>
  <si>
    <t>Cibule bistro</t>
  </si>
  <si>
    <t>hotový vývar</t>
  </si>
  <si>
    <t>Perfect Chefs s.r.o.</t>
  </si>
  <si>
    <t>4042508</t>
  </si>
  <si>
    <t>8593837243624</t>
  </si>
  <si>
    <t>Vitana</t>
  </si>
  <si>
    <t>bistro</t>
  </si>
  <si>
    <t>63-75g</t>
  </si>
  <si>
    <t>Orkla Foods a.s. #KS</t>
  </si>
  <si>
    <t>4051674</t>
  </si>
  <si>
    <t>Cerealis a.s. (Europasta)</t>
  </si>
  <si>
    <t>Maggi</t>
  </si>
  <si>
    <t>RTH</t>
  </si>
  <si>
    <t>od 97g - 153g</t>
  </si>
  <si>
    <t>Nestlé Česko s.r.o. - MAGGI</t>
  </si>
  <si>
    <t>8595003419574</t>
  </si>
  <si>
    <t>Spak</t>
  </si>
  <si>
    <t>omáčka</t>
  </si>
  <si>
    <t>320ml</t>
  </si>
  <si>
    <t>SPAK Foods s.r.o.</t>
  </si>
  <si>
    <t>4053990</t>
  </si>
  <si>
    <t>Spak Foods s.r.o</t>
  </si>
  <si>
    <t>18,0</t>
  </si>
  <si>
    <t>8595012020143</t>
  </si>
  <si>
    <t>Avokádo</t>
  </si>
  <si>
    <t>jednodruhové koření</t>
  </si>
  <si>
    <t>Pekny - Unimex s.r.o.</t>
  </si>
  <si>
    <t>4050818</t>
  </si>
  <si>
    <t>Pěkný - Unimex s.r.o.</t>
  </si>
  <si>
    <t>8593837244041</t>
  </si>
  <si>
    <t xml:space="preserve">Polévka Do hrnečku </t>
  </si>
  <si>
    <t>4050047</t>
  </si>
  <si>
    <t>9,90</t>
  </si>
  <si>
    <t>Orkla Foods a.s.</t>
  </si>
  <si>
    <t>8594044443111</t>
  </si>
  <si>
    <t>Mei Ning</t>
  </si>
  <si>
    <t xml:space="preserve">Vepřové maso </t>
  </si>
  <si>
    <t>PT servis konzervárna spol. s r.o.</t>
  </si>
  <si>
    <t>4040384</t>
  </si>
  <si>
    <t>konzervy</t>
  </si>
  <si>
    <t>8594007434149</t>
  </si>
  <si>
    <t>Ning Shai</t>
  </si>
  <si>
    <t xml:space="preserve">Vepřová konzerva </t>
  </si>
  <si>
    <t>404107</t>
  </si>
  <si>
    <t>32,90</t>
  </si>
  <si>
    <t>8594009063460</t>
  </si>
  <si>
    <t>Nekton</t>
  </si>
  <si>
    <t xml:space="preserve">opečená ryba </t>
  </si>
  <si>
    <t>NEKTON - Vrňata , s.r.o.</t>
  </si>
  <si>
    <t>4040309</t>
  </si>
  <si>
    <t>36,90</t>
  </si>
  <si>
    <t>omáčky</t>
  </si>
  <si>
    <t>8591179101510</t>
  </si>
  <si>
    <t>Bahák</t>
  </si>
  <si>
    <t>salát</t>
  </si>
  <si>
    <t>Bahak S.r.o</t>
  </si>
  <si>
    <t>4041520</t>
  </si>
  <si>
    <t>8594009160060</t>
  </si>
  <si>
    <t xml:space="preserve">Labeta </t>
  </si>
  <si>
    <t xml:space="preserve">jedlá soda </t>
  </si>
  <si>
    <t>Labeta a.s.</t>
  </si>
  <si>
    <t>4050967</t>
  </si>
  <si>
    <t>4,99</t>
  </si>
  <si>
    <t>8594008332819</t>
  </si>
  <si>
    <t>Essa</t>
  </si>
  <si>
    <t>rajčata</t>
  </si>
  <si>
    <t>ESSA, spol. s r.o.</t>
  </si>
  <si>
    <t>4041320</t>
  </si>
  <si>
    <t>24,0</t>
  </si>
  <si>
    <t>8594008332437</t>
  </si>
  <si>
    <t>rajčatový protlak</t>
  </si>
  <si>
    <t>4053925</t>
  </si>
  <si>
    <t>koření</t>
  </si>
  <si>
    <t>8590132017981</t>
  </si>
  <si>
    <t>Kotányi</t>
  </si>
  <si>
    <t xml:space="preserve">svařené víno </t>
  </si>
  <si>
    <t>35g</t>
  </si>
  <si>
    <t>Johann Kotányi spol. s r.o. #KS</t>
  </si>
  <si>
    <t>4051316</t>
  </si>
  <si>
    <t>17,50</t>
  </si>
  <si>
    <t>9001880977285</t>
  </si>
  <si>
    <t xml:space="preserve">Bad Ischler </t>
  </si>
  <si>
    <t xml:space="preserve"> Alpská jemná sůl</t>
  </si>
  <si>
    <t>MARESI Foodbroker s.r.o.</t>
  </si>
  <si>
    <t>4031054</t>
  </si>
  <si>
    <t>13,50</t>
  </si>
  <si>
    <t>Maresi Foodbrooker s.r.o.</t>
  </si>
  <si>
    <t>Retrio</t>
  </si>
  <si>
    <t>BMC Brno s.r.o.</t>
  </si>
  <si>
    <t>8590132013020</t>
  </si>
  <si>
    <t xml:space="preserve">Orient </t>
  </si>
  <si>
    <t>směs koření</t>
  </si>
  <si>
    <t>4050141</t>
  </si>
  <si>
    <t>8,50</t>
  </si>
  <si>
    <t>Johann Kotányi s.r.o.</t>
  </si>
  <si>
    <t>8594012795372</t>
  </si>
  <si>
    <t>Giana</t>
  </si>
  <si>
    <t>olivy v sáčku</t>
  </si>
  <si>
    <t>195g</t>
  </si>
  <si>
    <t>GASTON, s.r.o.</t>
  </si>
  <si>
    <t>4040347</t>
  </si>
  <si>
    <t>Gaston s.r.o. 2</t>
  </si>
  <si>
    <t>8595241503349</t>
  </si>
  <si>
    <t>Tuňákový salát</t>
  </si>
  <si>
    <t>4040369</t>
  </si>
  <si>
    <t>Gaston s.r.o. 1</t>
  </si>
  <si>
    <t>8595072635646</t>
  </si>
  <si>
    <t xml:space="preserve">Dr.Oetker  </t>
  </si>
  <si>
    <t>solamyl</t>
  </si>
  <si>
    <t>Dr. Oetker, spol. s r.o.</t>
  </si>
  <si>
    <t>4054113</t>
  </si>
  <si>
    <t>Dr. Oetker spol. s r.o.</t>
  </si>
  <si>
    <t>BLOK - ASIJSKÉ POTRAVINY</t>
  </si>
  <si>
    <t>ASIE</t>
  </si>
  <si>
    <t>ramen</t>
  </si>
  <si>
    <t>YUM YUM</t>
  </si>
  <si>
    <t>nudle</t>
  </si>
  <si>
    <t>KHANH / HUNG</t>
  </si>
  <si>
    <t>rýže/sushi</t>
  </si>
  <si>
    <t>Flavor Hub Sp</t>
  </si>
  <si>
    <t>HUNG</t>
  </si>
  <si>
    <t>BLOK - PETFOOD</t>
  </si>
  <si>
    <t>PETFOOD</t>
  </si>
  <si>
    <t>pes</t>
  </si>
  <si>
    <t>Friskies</t>
  </si>
  <si>
    <t>kapsička pro psy</t>
  </si>
  <si>
    <t>85g, MP 4x85g</t>
  </si>
  <si>
    <t>Nestlé Česko s.r.o. - PURINA</t>
  </si>
  <si>
    <t>pes/kočka</t>
  </si>
  <si>
    <t>PreVital</t>
  </si>
  <si>
    <t>granule pro kočky</t>
  </si>
  <si>
    <t>od 300g - 1400g</t>
  </si>
  <si>
    <t>Partner in Pet Food CZ s.r.o.</t>
  </si>
  <si>
    <t>kočka</t>
  </si>
  <si>
    <t>First Class</t>
  </si>
  <si>
    <t>vanička pro psy</t>
  </si>
  <si>
    <t>150g, 300g</t>
  </si>
  <si>
    <t>Akinu CZ s.r.o.</t>
  </si>
  <si>
    <t>AKINU CZ s.r.o. 1</t>
  </si>
  <si>
    <t>Akinu</t>
  </si>
  <si>
    <t xml:space="preserve">seno pro hlodavce </t>
  </si>
  <si>
    <t>AKINU CZ s.r.o. 2</t>
  </si>
  <si>
    <t>BLOK - DOMÁCNOST + ÚKLID</t>
  </si>
  <si>
    <t>HUONG</t>
  </si>
  <si>
    <t>DOMÁCNOST</t>
  </si>
  <si>
    <t>TUAN</t>
  </si>
  <si>
    <t>domácí</t>
  </si>
  <si>
    <t>svíčky</t>
  </si>
  <si>
    <t>8008970050454</t>
  </si>
  <si>
    <t xml:space="preserve">Tesori d'Oriente </t>
  </si>
  <si>
    <t>difuzér</t>
  </si>
  <si>
    <t>200ml</t>
  </si>
  <si>
    <t>YRACOM s.r.o.</t>
  </si>
  <si>
    <t>7127855</t>
  </si>
  <si>
    <t>Sarantis Czech Republic, s.r.o.</t>
  </si>
  <si>
    <t>mix dro/domácí</t>
  </si>
  <si>
    <t>5908241712544</t>
  </si>
  <si>
    <t>Brait Magic</t>
  </si>
  <si>
    <t xml:space="preserve">dekorativní difuzér </t>
  </si>
  <si>
    <t>75ml</t>
  </si>
  <si>
    <t>Veronika VELU #KS</t>
  </si>
  <si>
    <t>7020128</t>
  </si>
  <si>
    <t>59,90</t>
  </si>
  <si>
    <t>DROGERIE</t>
  </si>
  <si>
    <t>osvěžovač vzduchu</t>
  </si>
  <si>
    <t>5999109510921</t>
  </si>
  <si>
    <t>Cillit Bang Power Cleaner</t>
  </si>
  <si>
    <t xml:space="preserve">Spray pro kuchyň </t>
  </si>
  <si>
    <t>750ml</t>
  </si>
  <si>
    <t>TUNG PEPSI</t>
  </si>
  <si>
    <t>7019508</t>
  </si>
  <si>
    <t>64,90</t>
  </si>
  <si>
    <t>8720182870100</t>
  </si>
  <si>
    <t xml:space="preserve">Savo </t>
  </si>
  <si>
    <t>čistící sprej Koupelna</t>
  </si>
  <si>
    <t>7018924</t>
  </si>
  <si>
    <t>48,90</t>
  </si>
  <si>
    <r>
      <t>univerzální čističe +</t>
    </r>
    <r>
      <rPr>
        <b/>
        <sz val="10"/>
        <rFont val="Arial CE"/>
        <charset val="238"/>
      </rPr>
      <t xml:space="preserve"> </t>
    </r>
    <r>
      <rPr>
        <sz val="10"/>
        <rFont val="Arial CE"/>
        <charset val="238"/>
      </rPr>
      <t>čističe na podlahu</t>
    </r>
  </si>
  <si>
    <t>univerzální čističe + čističe na podlahu</t>
  </si>
  <si>
    <t>8594003011498</t>
  </si>
  <si>
    <t>Ava</t>
  </si>
  <si>
    <t xml:space="preserve">čistič na nádobí </t>
  </si>
  <si>
    <t>5L</t>
  </si>
  <si>
    <t>Hlubna výrobní družstvo #KS</t>
  </si>
  <si>
    <t>7128534</t>
  </si>
  <si>
    <t>74,90</t>
  </si>
  <si>
    <t>8595030069568</t>
  </si>
  <si>
    <t>Cit</t>
  </si>
  <si>
    <t>čistič na nádobí</t>
  </si>
  <si>
    <t>Putorius s.r.o.</t>
  </si>
  <si>
    <t>7125611</t>
  </si>
  <si>
    <t>26,90</t>
  </si>
  <si>
    <t>8694049350360</t>
  </si>
  <si>
    <t>Fredy</t>
  </si>
  <si>
    <t>Čistič na sifony</t>
  </si>
  <si>
    <t>de Miclen Trading, s.r.o. #KS</t>
  </si>
  <si>
    <t>7017371</t>
  </si>
  <si>
    <t>kuchyně/koupelny/trouby grily</t>
  </si>
  <si>
    <t>8710447469101</t>
  </si>
  <si>
    <t>Cif</t>
  </si>
  <si>
    <t xml:space="preserve">tekutý písek </t>
  </si>
  <si>
    <t>250ml</t>
  </si>
  <si>
    <t>7011731</t>
  </si>
  <si>
    <t>3045206615006</t>
  </si>
  <si>
    <t>Sanytol Professional</t>
  </si>
  <si>
    <t>čistič podlah a ploch</t>
  </si>
  <si>
    <t>TONER - MARCA CZ s.r.o.</t>
  </si>
  <si>
    <t>7029982</t>
  </si>
  <si>
    <t>299,90</t>
  </si>
  <si>
    <t>AC Marca Czech Rep</t>
  </si>
  <si>
    <t>koberce, nábytek, speciální čističe</t>
  </si>
  <si>
    <t>8594057125233</t>
  </si>
  <si>
    <t>Dr. House</t>
  </si>
  <si>
    <t>prací prášek</t>
  </si>
  <si>
    <t xml:space="preserve"> 1,5kg</t>
  </si>
  <si>
    <t>VENTO BOHEMIA spol. s r.o.</t>
  </si>
  <si>
    <t>7120135</t>
  </si>
  <si>
    <t>prostředky na nádobí</t>
  </si>
  <si>
    <t>999,0</t>
  </si>
  <si>
    <t>8595030069711</t>
  </si>
  <si>
    <t>tekutý písek na nádobí</t>
  </si>
  <si>
    <t>600ml</t>
  </si>
  <si>
    <t>7027175</t>
  </si>
  <si>
    <t>23,90</t>
  </si>
  <si>
    <t>4008455097015</t>
  </si>
  <si>
    <t>Dr. Beckmann Magic Leaves</t>
  </si>
  <si>
    <t xml:space="preserve"> WC čistič </t>
  </si>
  <si>
    <t>7221197</t>
  </si>
  <si>
    <t>prostředky do myček nádobí</t>
  </si>
  <si>
    <t>rez, vodní kámen</t>
  </si>
  <si>
    <t>8595025836588</t>
  </si>
  <si>
    <t>AZURIT</t>
  </si>
  <si>
    <t>prací gel</t>
  </si>
  <si>
    <t>2,48L 62PD</t>
  </si>
  <si>
    <t>TOMIL s.r.o.</t>
  </si>
  <si>
    <t>7124762</t>
  </si>
  <si>
    <t>179,90</t>
  </si>
  <si>
    <t>čističe na potrubí, odpady, septiky</t>
  </si>
  <si>
    <t>4251415304320</t>
  </si>
  <si>
    <t xml:space="preserve">Galvea </t>
  </si>
  <si>
    <t>aviváž</t>
  </si>
  <si>
    <t>Euduco Group CZ s.r.o.</t>
  </si>
  <si>
    <t>7221705</t>
  </si>
  <si>
    <t>8594003936739</t>
  </si>
  <si>
    <t>Chopa</t>
  </si>
  <si>
    <t>Aviváž</t>
  </si>
  <si>
    <t>CHOPA spol. s r.o.</t>
  </si>
  <si>
    <t>7020017</t>
  </si>
  <si>
    <t>17,90</t>
  </si>
  <si>
    <t>4260418930214</t>
  </si>
  <si>
    <t>Der Waschkönig</t>
  </si>
  <si>
    <t xml:space="preserve">odstraňovač skvrn </t>
  </si>
  <si>
    <t>7026804</t>
  </si>
  <si>
    <t>75,50</t>
  </si>
  <si>
    <t>tekuté písky, pasty</t>
  </si>
  <si>
    <t>5999109563194</t>
  </si>
  <si>
    <t>Vanish</t>
  </si>
  <si>
    <t xml:space="preserve">Čistič tekutý na skvrny </t>
  </si>
  <si>
    <t>1,5L</t>
  </si>
  <si>
    <t>7120237</t>
  </si>
  <si>
    <t>129,90</t>
  </si>
  <si>
    <t>WC čističe</t>
  </si>
  <si>
    <t xml:space="preserve"> 2 422</t>
  </si>
  <si>
    <t>9000100454056</t>
  </si>
  <si>
    <t xml:space="preserve">Taft </t>
  </si>
  <si>
    <t>Lak na vlasy</t>
  </si>
  <si>
    <t/>
  </si>
  <si>
    <t>7011141</t>
  </si>
  <si>
    <t>68,90</t>
  </si>
  <si>
    <t>HENKEL ČR, spol. s r.o. 2</t>
  </si>
  <si>
    <t>8710522828243</t>
  </si>
  <si>
    <t>Savo</t>
  </si>
  <si>
    <t xml:space="preserve">čistič pračky </t>
  </si>
  <si>
    <t>7121877</t>
  </si>
  <si>
    <t>69,90</t>
  </si>
  <si>
    <t>Unilever ČR spol. s r.o.</t>
  </si>
  <si>
    <t xml:space="preserve">vůně, závěs, blok do WC </t>
  </si>
  <si>
    <t>8595009210908</t>
  </si>
  <si>
    <t>Škrob 3E</t>
  </si>
  <si>
    <t>Severochema, družstvo pro chemickou výro</t>
  </si>
  <si>
    <t>7120169</t>
  </si>
  <si>
    <t>32,50</t>
  </si>
  <si>
    <t>prací prostředky</t>
  </si>
  <si>
    <t>8411660006295</t>
  </si>
  <si>
    <t xml:space="preserve">Sanytol  </t>
  </si>
  <si>
    <t>dezinfekční čistič pračky</t>
  </si>
  <si>
    <t>240ml</t>
  </si>
  <si>
    <t>7120925</t>
  </si>
  <si>
    <t>81,90</t>
  </si>
  <si>
    <t>8594018040964</t>
  </si>
  <si>
    <t xml:space="preserve">Qalt   </t>
  </si>
  <si>
    <t>Čistič praček a myček</t>
  </si>
  <si>
    <t>QALT Rakovník, spol. s r.o.</t>
  </si>
  <si>
    <t>7120098</t>
  </si>
  <si>
    <t>aviváž/vonné perličky</t>
  </si>
  <si>
    <t>bělidla/na skvrny/obarvovač na prádlo</t>
  </si>
  <si>
    <t>Ozon</t>
  </si>
  <si>
    <t>260ml</t>
  </si>
  <si>
    <t>7129447</t>
  </si>
  <si>
    <t>8700216691222</t>
  </si>
  <si>
    <t>Ariel Plus</t>
  </si>
  <si>
    <t xml:space="preserve">prací gel </t>
  </si>
  <si>
    <t>1,35l 30PD</t>
  </si>
  <si>
    <t>P.K.Solvent-P&amp;G #KS</t>
  </si>
  <si>
    <t>7220400</t>
  </si>
  <si>
    <t>209,90</t>
  </si>
  <si>
    <t>PG</t>
  </si>
  <si>
    <t>změkčovače vody, škroby, čistič pračky</t>
  </si>
  <si>
    <t>8594008877747</t>
  </si>
  <si>
    <t>Linteo</t>
  </si>
  <si>
    <t>kuchyňská utěrka</t>
  </si>
  <si>
    <t>Melitrade a.s. #KS</t>
  </si>
  <si>
    <t>7015587</t>
  </si>
  <si>
    <t>16,90</t>
  </si>
  <si>
    <t>kuchyňské utěrky</t>
  </si>
  <si>
    <t>8594069815498</t>
  </si>
  <si>
    <t>TDF Ultra Soft</t>
  </si>
  <si>
    <t>dětské vlhčené ubrousky</t>
  </si>
  <si>
    <t>7127408</t>
  </si>
  <si>
    <t>3045206312257</t>
  </si>
  <si>
    <t xml:space="preserve">Sanytol </t>
  </si>
  <si>
    <t xml:space="preserve">univerzální vlhčené ubrousky </t>
  </si>
  <si>
    <t>7022445</t>
  </si>
  <si>
    <t>ubrousky/kapesníky</t>
  </si>
  <si>
    <t>8594069814453</t>
  </si>
  <si>
    <t>Miléne</t>
  </si>
  <si>
    <t xml:space="preserve">antibakteriální vlhčené ubrousky </t>
  </si>
  <si>
    <t>7028634</t>
  </si>
  <si>
    <t>9,50</t>
  </si>
  <si>
    <t>vlhčené ubrousky</t>
  </si>
  <si>
    <t>8584014873208</t>
  </si>
  <si>
    <t>Harmony</t>
  </si>
  <si>
    <t xml:space="preserve">kosmetické ubrousky </t>
  </si>
  <si>
    <t xml:space="preserve"> 150ks</t>
  </si>
  <si>
    <t>STOCKART s.r.o.</t>
  </si>
  <si>
    <t>7221586</t>
  </si>
  <si>
    <t>Stockart s.r.o.</t>
  </si>
  <si>
    <t>papír</t>
  </si>
  <si>
    <t>6414301084869</t>
  </si>
  <si>
    <t>Tento</t>
  </si>
  <si>
    <t>Tomáš Wünsch</t>
  </si>
  <si>
    <t>7127902</t>
  </si>
  <si>
    <t>21,50</t>
  </si>
  <si>
    <t>Tomáš Wunsch</t>
  </si>
  <si>
    <t>toaletní papír</t>
  </si>
  <si>
    <t>7322540201925</t>
  </si>
  <si>
    <t>Zewa Deluxe</t>
  </si>
  <si>
    <t xml:space="preserve"> toaletní papír </t>
  </si>
  <si>
    <t>16ks</t>
  </si>
  <si>
    <t>Essity Czech Republic s.r.o.</t>
  </si>
  <si>
    <t>7023302</t>
  </si>
  <si>
    <t>8594032262007</t>
  </si>
  <si>
    <t>Soft&amp;Exclusive ZZ</t>
  </si>
  <si>
    <t xml:space="preserve"> skládané ručníky </t>
  </si>
  <si>
    <t>150ks 2V bílé</t>
  </si>
  <si>
    <t>Toal CZ s.r.o. (FIDE s.r.o.)</t>
  </si>
  <si>
    <t>7221808</t>
  </si>
  <si>
    <t>Toal CZ s.r.o.</t>
  </si>
  <si>
    <t>8594158373113</t>
  </si>
  <si>
    <t xml:space="preserve">odličovací tampony </t>
  </si>
  <si>
    <t>40ks</t>
  </si>
  <si>
    <t>7120313</t>
  </si>
  <si>
    <t>Melitrade a.s.</t>
  </si>
  <si>
    <t>BLOK - OSOBNÍ HYGIENA + BABY</t>
  </si>
  <si>
    <t>8585000755478</t>
  </si>
  <si>
    <t xml:space="preserve">Voux </t>
  </si>
  <si>
    <t xml:space="preserve">toaletní mýdlo </t>
  </si>
  <si>
    <t>STYL 365 s.r.o. - Nonfood</t>
  </si>
  <si>
    <t>7124254</t>
  </si>
  <si>
    <t>11,90</t>
  </si>
  <si>
    <t>do koupele, sprchový gel, peeling</t>
  </si>
  <si>
    <t>8594006000857</t>
  </si>
  <si>
    <t>Helle</t>
  </si>
  <si>
    <t xml:space="preserve">Balzám na rty </t>
  </si>
  <si>
    <t>3,7g</t>
  </si>
  <si>
    <t>HELLADA s.r.o.</t>
  </si>
  <si>
    <t>7018248</t>
  </si>
  <si>
    <t>8592297002451</t>
  </si>
  <si>
    <t>Astrid</t>
  </si>
  <si>
    <t>balzám na rty</t>
  </si>
  <si>
    <t>4,8g</t>
  </si>
  <si>
    <t>Sarantis Czech Republic, s.r.o. #KS</t>
  </si>
  <si>
    <t>7025580</t>
  </si>
  <si>
    <t>8594069815412</t>
  </si>
  <si>
    <t>TDF Deluxe</t>
  </si>
  <si>
    <t>vlhčený toaletní papír</t>
  </si>
  <si>
    <t>7126235</t>
  </si>
  <si>
    <t>8001841041360</t>
  </si>
  <si>
    <t xml:space="preserve">Pampers </t>
  </si>
  <si>
    <t>Vlhčené ubrousky</t>
  </si>
  <si>
    <t>7120152</t>
  </si>
  <si>
    <t>mýdla na ruce</t>
  </si>
  <si>
    <t>krém na body, ruce, nohy, rty</t>
  </si>
  <si>
    <t>deodoranty, body sprej</t>
  </si>
  <si>
    <t>999</t>
  </si>
  <si>
    <t>Bella Cotton</t>
  </si>
  <si>
    <t xml:space="preserve">obvazová vata bavlněná </t>
  </si>
  <si>
    <t>50g, 100g, 200g</t>
  </si>
  <si>
    <t>0 ks</t>
  </si>
  <si>
    <t>15,90</t>
  </si>
  <si>
    <t>TZMO Czech Republic s.r.o.</t>
  </si>
  <si>
    <t>holení</t>
  </si>
  <si>
    <t>5029053577760</t>
  </si>
  <si>
    <t xml:space="preserve">Kleenex </t>
  </si>
  <si>
    <t>Kimberly-Clark, s.r.o.</t>
  </si>
  <si>
    <t>7129665</t>
  </si>
  <si>
    <t>8590338906461</t>
  </si>
  <si>
    <t>Rebi Dental</t>
  </si>
  <si>
    <t>dentální péče</t>
  </si>
  <si>
    <t>MATTES Corp. s.r.o. #KS</t>
  </si>
  <si>
    <t>7126509</t>
  </si>
  <si>
    <t>24 / 28 / 448</t>
  </si>
  <si>
    <t>MATTES Corp. s.r.o.</t>
  </si>
  <si>
    <t>šampony, kondicionér, masky</t>
  </si>
  <si>
    <t>9000101583151</t>
  </si>
  <si>
    <t>Silan</t>
  </si>
  <si>
    <t>770ml 35WL</t>
  </si>
  <si>
    <t>7126831</t>
  </si>
  <si>
    <t>12 / 12 / 60</t>
  </si>
  <si>
    <t>HENKEL ČR, spol. s r.o. 1</t>
  </si>
  <si>
    <t>8594004302373</t>
  </si>
  <si>
    <t>Ria Classic Normal</t>
  </si>
  <si>
    <t>vložky</t>
  </si>
  <si>
    <t>10ks</t>
  </si>
  <si>
    <t>HARTMANN - RICO a.s.</t>
  </si>
  <si>
    <t>7221855</t>
  </si>
  <si>
    <t>24 / 6 / 48</t>
  </si>
  <si>
    <t>lak, tužidlo na vlasy</t>
  </si>
  <si>
    <t>4005800044847</t>
  </si>
  <si>
    <t>Nivea Soft</t>
  </si>
  <si>
    <t xml:space="preserve">hydratační krém </t>
  </si>
  <si>
    <t>75ml, 100ml, 200ml, 300m, 500ml</t>
  </si>
  <si>
    <t>Beiersdorf spol. s r.o.</t>
  </si>
  <si>
    <t>7018457</t>
  </si>
  <si>
    <t>60 / 17 / 119</t>
  </si>
  <si>
    <t>barvy na vlasy</t>
  </si>
  <si>
    <t>Putorius</t>
  </si>
  <si>
    <t>8699444266541</t>
  </si>
  <si>
    <t>Fresh Air náplň do osvěžovače 19ml Anti Stress</t>
  </si>
  <si>
    <t>35,50</t>
  </si>
  <si>
    <t>7220770</t>
  </si>
  <si>
    <t>48 / 4 / 40</t>
  </si>
  <si>
    <t>Fresh Air osvěžovač vzduchu 260ml Anti Stress</t>
  </si>
  <si>
    <t>24,50</t>
  </si>
  <si>
    <t>7121542</t>
  </si>
  <si>
    <t>24 / 9 / 108</t>
  </si>
  <si>
    <t>Fresh Air osvěžovač vzduchu 300ml Anti Tabacco</t>
  </si>
  <si>
    <t>7028126</t>
  </si>
  <si>
    <t>24 / 12 / 84</t>
  </si>
  <si>
    <t>LAST CALL + BACK COVER</t>
  </si>
  <si>
    <t>LAST CALL</t>
  </si>
  <si>
    <t>MKT + PKD</t>
  </si>
  <si>
    <t>cancel page 59</t>
  </si>
  <si>
    <t>BACK COVER</t>
  </si>
  <si>
    <t>8594003022784</t>
  </si>
  <si>
    <t>smetanový borůvka</t>
  </si>
  <si>
    <t>5061289</t>
  </si>
  <si>
    <t>8594003022715</t>
  </si>
  <si>
    <t>smetanový čokoláda</t>
  </si>
  <si>
    <t>5061288</t>
  </si>
  <si>
    <t>8594003022258</t>
  </si>
  <si>
    <t>smetanový jahoda+vanilka</t>
  </si>
  <si>
    <t>5061286</t>
  </si>
  <si>
    <t>4002971280609</t>
  </si>
  <si>
    <t>Ehrmann Robby Pudding 90g Vanilka</t>
  </si>
  <si>
    <t>Vanilka</t>
  </si>
  <si>
    <t>5065283</t>
  </si>
  <si>
    <t>8594053850085</t>
  </si>
  <si>
    <t>Povar pelmeni 400g</t>
  </si>
  <si>
    <t>s kuřecím a vepřovým masem</t>
  </si>
  <si>
    <t>5051721</t>
  </si>
  <si>
    <t>8594053850092</t>
  </si>
  <si>
    <t>s vepřovým masem</t>
  </si>
  <si>
    <t>5051669</t>
  </si>
  <si>
    <t>8593807056209</t>
  </si>
  <si>
    <t xml:space="preserve">Olma Pierot jogurt 175g </t>
  </si>
  <si>
    <t>5061458</t>
  </si>
  <si>
    <t>8593807056827</t>
  </si>
  <si>
    <t>smetanový černá třešeň</t>
  </si>
  <si>
    <t>5060127</t>
  </si>
  <si>
    <t>8593807056896</t>
  </si>
  <si>
    <t>smetanový čokoláda+ořech</t>
  </si>
  <si>
    <t>5060129</t>
  </si>
  <si>
    <t>8593807056117</t>
  </si>
  <si>
    <t>smetanový hruška</t>
  </si>
  <si>
    <t>5064562</t>
  </si>
  <si>
    <t>8593807056803</t>
  </si>
  <si>
    <t>5060126</t>
  </si>
  <si>
    <t>8593807567514</t>
  </si>
  <si>
    <t>smetanový kokos+ pomeranč</t>
  </si>
  <si>
    <t>5064561</t>
  </si>
  <si>
    <t>8593807056223</t>
  </si>
  <si>
    <t>smetanový mango</t>
  </si>
  <si>
    <t>5064563</t>
  </si>
  <si>
    <t>8593807674731</t>
  </si>
  <si>
    <t xml:space="preserve">Olmíci Maty smetanový 150g </t>
  </si>
  <si>
    <t>s oříšky</t>
  </si>
  <si>
    <t>5065805</t>
  </si>
  <si>
    <t>8594014096217</t>
  </si>
  <si>
    <t xml:space="preserve">Krahulík párky 200g </t>
  </si>
  <si>
    <t>se sýrem OA</t>
  </si>
  <si>
    <t>5064204</t>
  </si>
  <si>
    <t>8594014096231</t>
  </si>
  <si>
    <t xml:space="preserve">Krahulík párečky 200g </t>
  </si>
  <si>
    <t>Šunkové OA</t>
  </si>
  <si>
    <t>5064205</t>
  </si>
  <si>
    <t>gia nhap 25 bez - T02_2026</t>
  </si>
  <si>
    <t>Ozon osvěžovač vzduchu 260ml Coco</t>
  </si>
  <si>
    <t>7129450</t>
  </si>
  <si>
    <t>Ozon osvěžovač vzduchu 260ml Dark War</t>
  </si>
  <si>
    <t>7129455</t>
  </si>
  <si>
    <t>Ozon osvěžovač vzduchu 260ml Lusy</t>
  </si>
  <si>
    <t>7129454</t>
  </si>
  <si>
    <t>Ozon osvěžovač vzduchu 260ml Party</t>
  </si>
  <si>
    <t>7129452</t>
  </si>
  <si>
    <t>Ozon osvěžovač vzduchu 260ml Rouge</t>
  </si>
  <si>
    <t>7129451</t>
  </si>
  <si>
    <t>Ozon osvěžovač vzduchu 260ml Soft Flowers</t>
  </si>
  <si>
    <t>7129448</t>
  </si>
  <si>
    <t>Ozon osvěžovač vzduchu 260ml The Five</t>
  </si>
  <si>
    <t>7129449</t>
  </si>
  <si>
    <t>Ozon osvěžovač vzduchu 260ml Wild Life</t>
  </si>
  <si>
    <t>7129453</t>
  </si>
  <si>
    <t>5908241712193</t>
  </si>
  <si>
    <t>Brait Magic dekorativní difuzér 75ml Flower Rose</t>
  </si>
  <si>
    <t>7020127</t>
  </si>
  <si>
    <t>5908241720020</t>
  </si>
  <si>
    <t>Brait Magic dekorativní difuzér 75ml Flower Spring garden</t>
  </si>
  <si>
    <t>7026270</t>
  </si>
  <si>
    <t>5908241722796</t>
  </si>
  <si>
    <t>Brait Magic dekorativní difuzér 75ml Flowers Aqua</t>
  </si>
  <si>
    <t>7028744</t>
  </si>
  <si>
    <t>5908241722819</t>
  </si>
  <si>
    <t>Brait Magic dekorativní difuzér 75ml Lovely Sweet Berries</t>
  </si>
  <si>
    <t>7028745</t>
  </si>
  <si>
    <t>8595030069544</t>
  </si>
  <si>
    <t>Cit čistič na nádobí 1L Citron</t>
  </si>
  <si>
    <t>7125610</t>
  </si>
  <si>
    <t>8595030069537</t>
  </si>
  <si>
    <t>Cit čistič na nádobí 1L Jablko</t>
  </si>
  <si>
    <t>7125613</t>
  </si>
  <si>
    <t>8595030069575</t>
  </si>
  <si>
    <t>Cit čistič na nádobí 1L Levandule</t>
  </si>
  <si>
    <t>7125609</t>
  </si>
  <si>
    <t>8595030069551</t>
  </si>
  <si>
    <t>Cit čistič na nádobí 1L Pomeranč a mango</t>
  </si>
  <si>
    <t>7125612</t>
  </si>
  <si>
    <t>8710908805684</t>
  </si>
  <si>
    <t>Cif tekutý písek 250ml Original</t>
  </si>
  <si>
    <t>7011733</t>
  </si>
  <si>
    <t>8595030069698</t>
  </si>
  <si>
    <t>Cit tekutý písek na nádobí 600g Lemon</t>
  </si>
  <si>
    <t>7120398</t>
  </si>
  <si>
    <t>8595030069728</t>
  </si>
  <si>
    <t>Cit tekutý písek na nádobí 600g Ocean</t>
  </si>
  <si>
    <t>7027174</t>
  </si>
  <si>
    <t>8595030069704</t>
  </si>
  <si>
    <t>Cit tekutý písek na nádobí 600g Pomeranč</t>
  </si>
  <si>
    <t>7120397</t>
  </si>
  <si>
    <t>4008455097114</t>
  </si>
  <si>
    <t>Dr. Beckmann Magic Leaves WC čistič 20ks Ocean Breeze</t>
  </si>
  <si>
    <t>7140170</t>
  </si>
  <si>
    <t>8700216691390</t>
  </si>
  <si>
    <t>Ariel Plus prací gel 1,35l 30PD Extra Clean</t>
  </si>
  <si>
    <t>7220398</t>
  </si>
  <si>
    <t>8700216690966</t>
  </si>
  <si>
    <t>Ariel Plus prací gel 1,35l 30PD Fresh Air</t>
  </si>
  <si>
    <t>7220399</t>
  </si>
  <si>
    <t>8595025836595</t>
  </si>
  <si>
    <t>AZURIT prací gel 2,48L 62PD Černé prádlo</t>
  </si>
  <si>
    <t>7124763</t>
  </si>
  <si>
    <t>8595025836601</t>
  </si>
  <si>
    <t>AZURIT prací gel 2,48L 62PD Jemné prádlo</t>
  </si>
  <si>
    <t>7124764</t>
  </si>
  <si>
    <t>4251415304344</t>
  </si>
  <si>
    <t>Galvea aviváž 1L Mystic Essence</t>
  </si>
  <si>
    <t>7221706</t>
  </si>
  <si>
    <t>4251415304337</t>
  </si>
  <si>
    <t>Galvea aviváž 1L Sunny Essence</t>
  </si>
  <si>
    <t>7221707</t>
  </si>
  <si>
    <t>8594003936753</t>
  </si>
  <si>
    <t>Chopa Aviváž 1L Broskev</t>
  </si>
  <si>
    <t>7020014</t>
  </si>
  <si>
    <t>8594003936715</t>
  </si>
  <si>
    <t>Chopa Aviváž 1L Fresh</t>
  </si>
  <si>
    <t>7020015</t>
  </si>
  <si>
    <t>8594003936746</t>
  </si>
  <si>
    <t>Chopa Aviváž 1L Greeen Fantasy</t>
  </si>
  <si>
    <t>7020013</t>
  </si>
  <si>
    <t>8594003936722</t>
  </si>
  <si>
    <t>Chopa Aviváž 1L Vanilka</t>
  </si>
  <si>
    <t>7020016</t>
  </si>
  <si>
    <t>4260418930207</t>
  </si>
  <si>
    <t>Der Waschkönig odstraňovač skvrn 750g White</t>
  </si>
  <si>
    <t>7026805</t>
  </si>
  <si>
    <t>5999109563149</t>
  </si>
  <si>
    <t>Vanish Čistič 1,5L tekutý na skvrny White</t>
  </si>
  <si>
    <t>7120238</t>
  </si>
  <si>
    <t>8594008877020</t>
  </si>
  <si>
    <t>Linteo kuchyňská utěrka 2ks 2V 10m Satin</t>
  </si>
  <si>
    <t>7015586</t>
  </si>
  <si>
    <t>8594158373731</t>
  </si>
  <si>
    <t>Linteo kuchyňská utěrka 1ks 2V 60m Classic</t>
  </si>
  <si>
    <t>7028042</t>
  </si>
  <si>
    <t>8594158371911</t>
  </si>
  <si>
    <t>Linteo kuchyňská utěrka 1ks 2V 50m XXL</t>
  </si>
  <si>
    <t>7018464</t>
  </si>
  <si>
    <t>8001841041391</t>
  </si>
  <si>
    <t>Pampers Vlhčené ubrousky 52ks Sensitive</t>
  </si>
  <si>
    <t>7120151</t>
  </si>
  <si>
    <t>8585000755539</t>
  </si>
  <si>
    <t>Voux toaletní mýdlo 100g Green Garden</t>
  </si>
  <si>
    <t>7124256</t>
  </si>
  <si>
    <t>8585000755492</t>
  </si>
  <si>
    <t>Voux toaletní mýdlo 100g Lotos Flower</t>
  </si>
  <si>
    <t>7124255</t>
  </si>
  <si>
    <t>8585000755676</t>
  </si>
  <si>
    <t>Voux toaletní mýdlo 100g Ocean</t>
  </si>
  <si>
    <t>7124257</t>
  </si>
  <si>
    <t>8592297002444</t>
  </si>
  <si>
    <t>Astrid balzám na rty 4,7g Regenerační</t>
  </si>
  <si>
    <t>7022726</t>
  </si>
  <si>
    <t>8592297007043</t>
  </si>
  <si>
    <t>Astrid balzám na rty 4,8g Aloe vera</t>
  </si>
  <si>
    <t>7022639</t>
  </si>
  <si>
    <t>8592297002567</t>
  </si>
  <si>
    <t>Astrid balzám na rty 4,8g Jahodový lesk</t>
  </si>
  <si>
    <t>7028179</t>
  </si>
  <si>
    <t>8592297007029</t>
  </si>
  <si>
    <t>Astrid balzám na rty 4,8g Jojobový olej</t>
  </si>
  <si>
    <t>7022632</t>
  </si>
  <si>
    <t>8592297009061</t>
  </si>
  <si>
    <t>Astrid balzám na rty 4,8g Kokosový olej OF25</t>
  </si>
  <si>
    <t>7128162</t>
  </si>
  <si>
    <t>8592297007036</t>
  </si>
  <si>
    <t>Astrid balzám na rty 4,8g Měšíček lékařský</t>
  </si>
  <si>
    <t>7022638</t>
  </si>
  <si>
    <t>8592297002581</t>
  </si>
  <si>
    <t>Astrid balzám na rty 4,8g Perleťový lesk</t>
  </si>
  <si>
    <t>7028181</t>
  </si>
  <si>
    <t>8594006000888</t>
  </si>
  <si>
    <t>Helle Balzám na rty 3,7g jahoda</t>
  </si>
  <si>
    <t>7018250</t>
  </si>
  <si>
    <t>8594006000871</t>
  </si>
  <si>
    <t>Helle Balzám na rty 3,7g med</t>
  </si>
  <si>
    <t>7018247</t>
  </si>
  <si>
    <t>8594006000895</t>
  </si>
  <si>
    <t>Helle Balzám na rty 3,7g Neutral</t>
  </si>
  <si>
    <t>7027296</t>
  </si>
  <si>
    <t>8594006004077</t>
  </si>
  <si>
    <t>Helle Balzám na rty 3,7g SOS</t>
  </si>
  <si>
    <t>7029752</t>
  </si>
  <si>
    <t>8594006001113</t>
  </si>
  <si>
    <t>Helle Balzám na rty 3,7g aloe vera+SPF 20</t>
  </si>
  <si>
    <t>7018249</t>
  </si>
  <si>
    <t>8594158374066</t>
  </si>
  <si>
    <t>Linteo Premium odličovací tampony 40ks Maxi Silver</t>
  </si>
  <si>
    <t>7120247</t>
  </si>
  <si>
    <t>7322540313321</t>
  </si>
  <si>
    <t>Zewa Deluxe toaletní papír 16ks 3V Delicate Care</t>
  </si>
  <si>
    <t>7028449</t>
  </si>
  <si>
    <t>7322540201192</t>
  </si>
  <si>
    <t>Zewa Deluxe toaletní papír 16ks 3V Peach</t>
  </si>
  <si>
    <t>7028450</t>
  </si>
  <si>
    <t>6414301084876</t>
  </si>
  <si>
    <t>Tento kosmetické ubrousky 150ks 2V ECO</t>
  </si>
  <si>
    <t>7127863</t>
  </si>
  <si>
    <t>6414301084852</t>
  </si>
  <si>
    <t>Tento kosmetické ubrousky 90ks 3V</t>
  </si>
  <si>
    <t>7127903</t>
  </si>
  <si>
    <t>3073781179774</t>
  </si>
  <si>
    <t>Smetanito 150g s kapií</t>
  </si>
  <si>
    <t>5065026</t>
  </si>
  <si>
    <t>3073781001310</t>
  </si>
  <si>
    <t>Smetanito 150g s pažitkou</t>
  </si>
  <si>
    <t>5060861</t>
  </si>
  <si>
    <t>3073781111590</t>
  </si>
  <si>
    <t>Smetanito 150g s tvarohem</t>
  </si>
  <si>
    <t>5065594</t>
  </si>
  <si>
    <t>gia nhap 24,6 bez - T02_2026</t>
  </si>
  <si>
    <t>3073780878944</t>
  </si>
  <si>
    <t>Smetanito 150g se šunkou</t>
  </si>
  <si>
    <t>5060863</t>
  </si>
  <si>
    <t>3073780878982</t>
  </si>
  <si>
    <t>Smetanito 150g se zeleninou a šunkou</t>
  </si>
  <si>
    <t>5060864</t>
  </si>
  <si>
    <t>8584014022200</t>
  </si>
  <si>
    <t>Harmony kosmetické utěrky 150ks 2V Dino</t>
  </si>
  <si>
    <t>7125955</t>
  </si>
  <si>
    <t>8584014814256</t>
  </si>
  <si>
    <t>Harmony Universal kosmetické ubrousky 150ks</t>
  </si>
  <si>
    <t>7120262</t>
  </si>
  <si>
    <t>8594059785008</t>
  </si>
  <si>
    <t>Velta Tea kvetoucí čaj 2x6 jahoda+černý rybíz</t>
  </si>
  <si>
    <t>1051394</t>
  </si>
  <si>
    <t>8594059783028</t>
  </si>
  <si>
    <t>Velta Tea kvetoucí čaj 2x6g mix green</t>
  </si>
  <si>
    <t>1050859</t>
  </si>
  <si>
    <t>8594059783035</t>
  </si>
  <si>
    <t>Velta Tea kvetoucí čaj 2x6g mix yellow</t>
  </si>
  <si>
    <t>1050860</t>
  </si>
  <si>
    <t>5901086003303</t>
  </si>
  <si>
    <t>Teekanne World of Fruits @20x1,75g Ginger Lemon</t>
  </si>
  <si>
    <t>1050570</t>
  </si>
  <si>
    <t>5901086068791</t>
  </si>
  <si>
    <t>Teekanne World of Fruits @20x2,25g Apple &amp; Cinnamon</t>
  </si>
  <si>
    <t>1051452</t>
  </si>
  <si>
    <t>5901086065127</t>
  </si>
  <si>
    <t>Teekanne World of Fruits @20x2,25g Blueberry</t>
  </si>
  <si>
    <t>1051449</t>
  </si>
  <si>
    <t>5901086074082</t>
  </si>
  <si>
    <t>Teekanne World Of Fruits @20x2,25g Caribbean Mango</t>
  </si>
  <si>
    <t>1051809</t>
  </si>
  <si>
    <t>5901086001385</t>
  </si>
  <si>
    <t>Teekanne World of Fruits @20x2,25g Cranberry &amp; Raspberry</t>
  </si>
  <si>
    <t>8010022</t>
  </si>
  <si>
    <t>5901086001040</t>
  </si>
  <si>
    <t>Teekanne World of Fruits @20x2,25g Fresh Orange</t>
  </si>
  <si>
    <t>8010124</t>
  </si>
  <si>
    <t>5901086012459</t>
  </si>
  <si>
    <t>Teekanne World of Fruits @20x2,25g Garden Selection</t>
  </si>
  <si>
    <t>1050569</t>
  </si>
  <si>
    <t>5901086071029</t>
  </si>
  <si>
    <t>Teekanne World of Fruits @20x2,25g Let it snow</t>
  </si>
  <si>
    <t>1051614</t>
  </si>
  <si>
    <t>5901086052202</t>
  </si>
  <si>
    <t>Teekanne World of Fruits @20x2,25g Passionfruit</t>
  </si>
  <si>
    <t>1050685</t>
  </si>
  <si>
    <t>5901086067824</t>
  </si>
  <si>
    <t>Teekanne World of Fruits @20x2,25g Sweet Peach</t>
  </si>
  <si>
    <t>1051451</t>
  </si>
  <si>
    <t>5901086057658</t>
  </si>
  <si>
    <t>Teekanne World of Fruits @20x2,5g Fruit Love</t>
  </si>
  <si>
    <t>1050955</t>
  </si>
  <si>
    <t>5901086001262</t>
  </si>
  <si>
    <t>Teekanne World of Fruits @20x2,5g Sweet Cherry</t>
  </si>
  <si>
    <t>8010120</t>
  </si>
  <si>
    <t>5901086067817</t>
  </si>
  <si>
    <t>Teekanne World of Fruits @20x2g Italian Lemon</t>
  </si>
  <si>
    <t>1051450</t>
  </si>
  <si>
    <t>15,0</t>
  </si>
  <si>
    <t>5901086078486</t>
  </si>
  <si>
    <t>Teekanne World of Fruits @20x2g Mediterranean Red Orange</t>
  </si>
  <si>
    <t>1052126</t>
  </si>
  <si>
    <t>5901086051403</t>
  </si>
  <si>
    <t>Teekanne World of Fruits @20x2g Wild Berry</t>
  </si>
  <si>
    <t>1050953</t>
  </si>
  <si>
    <t>5901086078431</t>
  </si>
  <si>
    <t>Teekanne World of Fruits @20x2g Winter Punch</t>
  </si>
  <si>
    <t>1052127</t>
  </si>
  <si>
    <t>5063270110881</t>
  </si>
  <si>
    <t>Lipton Black Pyramid @20x1,5g Forest Fruits</t>
  </si>
  <si>
    <t>1051927</t>
  </si>
  <si>
    <t>5063270110942</t>
  </si>
  <si>
    <t>Lipton Black Pyramid @20x1,7g Peach Mango</t>
  </si>
  <si>
    <t>1051929</t>
  </si>
  <si>
    <t>5063270110973</t>
  </si>
  <si>
    <t>Lipton Black Pyramid @20x1,7g Vanilla Caramel</t>
  </si>
  <si>
    <t>1051930</t>
  </si>
  <si>
    <t>5063270108413</t>
  </si>
  <si>
    <t>Lipton čaj 20x1,4g Raspeberry+Pomegran</t>
  </si>
  <si>
    <t>1050537</t>
  </si>
  <si>
    <t>5901830000022</t>
  </si>
  <si>
    <t>Frapé instantní čaj 350g lesní ovoce</t>
  </si>
  <si>
    <t>1051029</t>
  </si>
  <si>
    <t>8595098012971</t>
  </si>
  <si>
    <t>Frapé instantní čaj 350g meloun</t>
  </si>
  <si>
    <t>1051187</t>
  </si>
  <si>
    <t>8595098013626</t>
  </si>
  <si>
    <t>Frapé instantní čaj 350g pomeranč dóza</t>
  </si>
  <si>
    <t>1051533</t>
  </si>
  <si>
    <t>5900675000327</t>
  </si>
  <si>
    <t>Belin bylinkový čaj 30g heřmánkový</t>
  </si>
  <si>
    <t>1051084</t>
  </si>
  <si>
    <t>5900675000334</t>
  </si>
  <si>
    <t>Belin bylinkový čaj 30g mátový</t>
  </si>
  <si>
    <t>1051083</t>
  </si>
  <si>
    <t>5900675000518</t>
  </si>
  <si>
    <t>Belin čaj 30g šalvěj</t>
  </si>
  <si>
    <t>1051536</t>
  </si>
  <si>
    <t>8720618218698</t>
  </si>
  <si>
    <t>Bardollini Cappuccino 1kg Hazelnut</t>
  </si>
  <si>
    <t>1051741</t>
  </si>
  <si>
    <t>8720618218711</t>
  </si>
  <si>
    <t>Bardollini Cappuccino 1kg Chocolate</t>
  </si>
  <si>
    <t>1051740</t>
  </si>
  <si>
    <t>5,5</t>
  </si>
  <si>
    <t>8718868063403</t>
  </si>
  <si>
    <t>Bardollini Cappuccino 1kg karamel</t>
  </si>
  <si>
    <t>1052106</t>
  </si>
  <si>
    <t>8718868063311</t>
  </si>
  <si>
    <t>Bardollini kakaový nápoj 1kg</t>
  </si>
  <si>
    <t>1052056</t>
  </si>
  <si>
    <t>8594013590310</t>
  </si>
  <si>
    <t>Brazilka gold instantní káva 100g</t>
  </si>
  <si>
    <t>1051206</t>
  </si>
  <si>
    <t>8594013590334</t>
  </si>
  <si>
    <t>Brazilka instantní káva 100g Classic</t>
  </si>
  <si>
    <t>1050615</t>
  </si>
  <si>
    <t>62,90</t>
  </si>
  <si>
    <t>8588000014149</t>
  </si>
  <si>
    <t>Bercoff Brasil káva 400g zrnková Arabica &amp; Robusta</t>
  </si>
  <si>
    <t>1051819</t>
  </si>
  <si>
    <t>8594068262415</t>
  </si>
  <si>
    <t>Bombus protein 30% 50g cocoa&amp;coconut</t>
  </si>
  <si>
    <t>2110915</t>
  </si>
  <si>
    <t>8594068262965</t>
  </si>
  <si>
    <t>Bombus Protein 30% 50g Hazelnut&amp;Cocoa</t>
  </si>
  <si>
    <t>2052085</t>
  </si>
  <si>
    <t>8594068262972</t>
  </si>
  <si>
    <t>Bombus Protein 30% 50g Salty Caramel</t>
  </si>
  <si>
    <t>2052086</t>
  </si>
  <si>
    <t>8594068262392</t>
  </si>
  <si>
    <t>Bombus protein 30% 50g vanilla&amp;crispies</t>
  </si>
  <si>
    <t>2110914</t>
  </si>
  <si>
    <t>8594162360024</t>
  </si>
  <si>
    <t>Chrástkovi kukuřičné křupky jogurtové 150g jahoda</t>
  </si>
  <si>
    <t>4101078</t>
  </si>
  <si>
    <t>8594162360031</t>
  </si>
  <si>
    <t>Chrástkovi kukuřičné křupky jogurtové 150g lesní ovoce</t>
  </si>
  <si>
    <t>4101079</t>
  </si>
  <si>
    <t>8594002314712</t>
  </si>
  <si>
    <t>Fit Simply Nut tyčinka 35g limeta&amp;ořechy</t>
  </si>
  <si>
    <t>2052327</t>
  </si>
  <si>
    <t>8594002314729</t>
  </si>
  <si>
    <t>Fit Simply Nut tyčinka 35g meruňka&amp;kešu</t>
  </si>
  <si>
    <t>2052328</t>
  </si>
  <si>
    <t>8595229910688</t>
  </si>
  <si>
    <t>Emco mysli 750g borůvky a maliny</t>
  </si>
  <si>
    <t>2050334</t>
  </si>
  <si>
    <t>8595229926955</t>
  </si>
  <si>
    <t>Emco mysli 750g jablko a skořice</t>
  </si>
  <si>
    <t>2052001</t>
  </si>
  <si>
    <t>8595229902805</t>
  </si>
  <si>
    <t>Emco mysli 750g jahody a mandle</t>
  </si>
  <si>
    <t>2050333</t>
  </si>
  <si>
    <t>8594017140900</t>
  </si>
  <si>
    <t>Emco mysli 750g ořechy</t>
  </si>
  <si>
    <t>2050332</t>
  </si>
  <si>
    <t>8595229909415</t>
  </si>
  <si>
    <t>Emco Mysli 750g sypané čokoláda 750g</t>
  </si>
  <si>
    <t>2052105</t>
  </si>
  <si>
    <t>8595229900481</t>
  </si>
  <si>
    <t>Emco Mysli 750g sypané s ovocem</t>
  </si>
  <si>
    <t>2052104</t>
  </si>
  <si>
    <t>8595229912187</t>
  </si>
  <si>
    <t>Emco mysli krupavé 750g horká čokoláda</t>
  </si>
  <si>
    <t>2051190</t>
  </si>
  <si>
    <t>8595229913764</t>
  </si>
  <si>
    <t>Emco mysli křupavé 750g čokoládové trio</t>
  </si>
  <si>
    <t>2051189</t>
  </si>
  <si>
    <t>8594017140887</t>
  </si>
  <si>
    <t>Emco mysli křupavé 750g exotické ovoce</t>
  </si>
  <si>
    <t>2051191</t>
  </si>
  <si>
    <t>8595229917809</t>
  </si>
  <si>
    <t>Emco mysli křupavé 750g kousky karamelu</t>
  </si>
  <si>
    <t>2051192</t>
  </si>
  <si>
    <t>3800233070125</t>
  </si>
  <si>
    <t>Rice Up rýžové chipsy 60g chilli papričky</t>
  </si>
  <si>
    <t>2050730</t>
  </si>
  <si>
    <t>3800233070132</t>
  </si>
  <si>
    <t>Rice Up rýžové chipsy 60g kečup</t>
  </si>
  <si>
    <t>2050731</t>
  </si>
  <si>
    <t>3800233070095</t>
  </si>
  <si>
    <t>Rice Up rýžové chipsy 60g mořská sůl+pepř</t>
  </si>
  <si>
    <t>2050733</t>
  </si>
  <si>
    <t>3800233070149</t>
  </si>
  <si>
    <t>Rice Up rýžové chipsy 60g se sýrem</t>
  </si>
  <si>
    <t>2050732</t>
  </si>
  <si>
    <t>3800233070118</t>
  </si>
  <si>
    <t>Rice Up rýžové chipsy 60g smetana+cibule</t>
  </si>
  <si>
    <t>2050729</t>
  </si>
  <si>
    <t>8594019384265</t>
  </si>
  <si>
    <t>Semix mysli srdíčka 50g s čokoládou a kokosem</t>
  </si>
  <si>
    <t>2050489</t>
  </si>
  <si>
    <t>8001585004171</t>
  </si>
  <si>
    <t>Balconi 400g dort choco dessert</t>
  </si>
  <si>
    <t>4010417</t>
  </si>
  <si>
    <t>8001585008391</t>
  </si>
  <si>
    <t>Balconi 400g dort s jahodovou příchutí</t>
  </si>
  <si>
    <t>4011322</t>
  </si>
  <si>
    <t>8001585004188</t>
  </si>
  <si>
    <t>Balconi 400g dort viennese</t>
  </si>
  <si>
    <t>4010345</t>
  </si>
  <si>
    <t>8594211160117</t>
  </si>
  <si>
    <t>Prima Toustový chléb 500g tmavý</t>
  </si>
  <si>
    <t>4011732</t>
  </si>
  <si>
    <t>8595022762521</t>
  </si>
  <si>
    <t>Klasa linecké rohlíčky 210g v jogurtu polomáčené s višňovou náplní</t>
  </si>
  <si>
    <t>4010660</t>
  </si>
  <si>
    <t>5310115001546</t>
  </si>
  <si>
    <t>Vincinni Jumbo Roll 300g apricot</t>
  </si>
  <si>
    <t>4010718</t>
  </si>
  <si>
    <t>5319990225528</t>
  </si>
  <si>
    <t>Vincinni Jumbo Roll 300g caramel</t>
  </si>
  <si>
    <t>4011310</t>
  </si>
  <si>
    <t>05319990225535</t>
  </si>
  <si>
    <t>Vincinni Jumbo Roll 300g cocoa</t>
  </si>
  <si>
    <t>2010301</t>
  </si>
  <si>
    <t>5310115001324</t>
  </si>
  <si>
    <t>Vincinni Jumbo Roll 300g cranberry</t>
  </si>
  <si>
    <t>4011311</t>
  </si>
  <si>
    <t>5319990225511</t>
  </si>
  <si>
    <t>Vincinni Jumbo Roll 300g hazelnut</t>
  </si>
  <si>
    <t>2010400</t>
  </si>
  <si>
    <t>5310345002382</t>
  </si>
  <si>
    <t>Vincinni Jumbo Roll 300g Cherry</t>
  </si>
  <si>
    <t>2112779</t>
  </si>
  <si>
    <t>5310115000235</t>
  </si>
  <si>
    <t>Vincinni Jumbo Roll 300g chocolate</t>
  </si>
  <si>
    <t>2010300</t>
  </si>
  <si>
    <t>5310115000440</t>
  </si>
  <si>
    <t>Vincinni Jumbo Roll 300g raspberry</t>
  </si>
  <si>
    <t>4011174</t>
  </si>
  <si>
    <t>3178530423655</t>
  </si>
  <si>
    <t>St Michel mini madlenky 175g karamel</t>
  </si>
  <si>
    <t>4011474</t>
  </si>
  <si>
    <t>8594042911247</t>
  </si>
  <si>
    <t>Cracker 80g česnekový</t>
  </si>
  <si>
    <t>410009</t>
  </si>
  <si>
    <t>8594042911117</t>
  </si>
  <si>
    <t>Cracker 80g paprikový</t>
  </si>
  <si>
    <t>410006</t>
  </si>
  <si>
    <t>8594042911100</t>
  </si>
  <si>
    <t>Cracker 80g sýrový</t>
  </si>
  <si>
    <t>410007</t>
  </si>
  <si>
    <t>8594042911315</t>
  </si>
  <si>
    <t>Cracker 80g šunkový</t>
  </si>
  <si>
    <t>410008</t>
  </si>
  <si>
    <t>8594014992748</t>
  </si>
  <si>
    <t>Vest precle 90g cibulové</t>
  </si>
  <si>
    <t>4100788</t>
  </si>
  <si>
    <t>8594014995862</t>
  </si>
  <si>
    <t>Vest precle 90g hořčice, med a cibulka</t>
  </si>
  <si>
    <t>4101586</t>
  </si>
  <si>
    <t>8594014995886</t>
  </si>
  <si>
    <t>Vest precle 90g rajče a bylinky</t>
  </si>
  <si>
    <t>4101587</t>
  </si>
  <si>
    <t>8594014992724</t>
  </si>
  <si>
    <t>Vest precle 90g solené</t>
  </si>
  <si>
    <t>4100786</t>
  </si>
  <si>
    <t>3800205875604</t>
  </si>
  <si>
    <t>Maretti 70g 4 sýry</t>
  </si>
  <si>
    <t>4010159</t>
  </si>
  <si>
    <t>3800205872771</t>
  </si>
  <si>
    <t>Maretti 70g česnek</t>
  </si>
  <si>
    <t>4010163</t>
  </si>
  <si>
    <t>3800205875208</t>
  </si>
  <si>
    <t>Maretti 70g houby+krém</t>
  </si>
  <si>
    <t>4010161</t>
  </si>
  <si>
    <t>3800205875109</t>
  </si>
  <si>
    <t>Maretti 70g raj+oliv+oreg</t>
  </si>
  <si>
    <t>4010162</t>
  </si>
  <si>
    <t>3800205873358</t>
  </si>
  <si>
    <t>Maretti 70g salami</t>
  </si>
  <si>
    <t>4100327</t>
  </si>
  <si>
    <t>3800205877325</t>
  </si>
  <si>
    <t>Maretti 70g sour cream a onion</t>
  </si>
  <si>
    <t>4100326</t>
  </si>
  <si>
    <t>3800205872948</t>
  </si>
  <si>
    <t>Maretti Bruschetta 140g česnek</t>
  </si>
  <si>
    <t>4101667</t>
  </si>
  <si>
    <t>3800205877554</t>
  </si>
  <si>
    <t>Maretti Bruschetta 140g pizza</t>
  </si>
  <si>
    <t>4101662</t>
  </si>
  <si>
    <t>3800205877578</t>
  </si>
  <si>
    <t>Maretti Bruschetta 140g s houbami a krémovou omáčkou</t>
  </si>
  <si>
    <t>4101664</t>
  </si>
  <si>
    <t>3800205877547</t>
  </si>
  <si>
    <t>Maretti Bruschetta 140g s rajčaty, olivami a oregánem</t>
  </si>
  <si>
    <t>4101661</t>
  </si>
  <si>
    <t>3800205877936</t>
  </si>
  <si>
    <t>Maretti Bruschetta 140g sour Cream &amp; Onion</t>
  </si>
  <si>
    <t>4101666</t>
  </si>
  <si>
    <t>3800205877929</t>
  </si>
  <si>
    <t>Maretti Bruschetta 140g středomořská zelenina</t>
  </si>
  <si>
    <t>4101665</t>
  </si>
  <si>
    <t>8594067540118</t>
  </si>
  <si>
    <t>B brambůrky 200g česnekové</t>
  </si>
  <si>
    <t>4100232</t>
  </si>
  <si>
    <t>8594067540316</t>
  </si>
  <si>
    <t>B brambůrky 200g hořčicové</t>
  </si>
  <si>
    <t>4100455</t>
  </si>
  <si>
    <t>8594067540101</t>
  </si>
  <si>
    <t>B brambůrky 200g solené</t>
  </si>
  <si>
    <t>4100231</t>
  </si>
  <si>
    <t>8594067540309</t>
  </si>
  <si>
    <t>B brambůrky 200g sýrové</t>
  </si>
  <si>
    <t>4100456</t>
  </si>
  <si>
    <t>8594055300144</t>
  </si>
  <si>
    <t>Indiana jerky 25g hovězí Hot&amp;Sweet</t>
  </si>
  <si>
    <t>4100094</t>
  </si>
  <si>
    <t>8594055300342</t>
  </si>
  <si>
    <t>Indiana jerky 25g hovězí peppered</t>
  </si>
  <si>
    <t>4100096</t>
  </si>
  <si>
    <t>8594055301677</t>
  </si>
  <si>
    <t>Indiana jerky 25g krůtí</t>
  </si>
  <si>
    <t>4100092</t>
  </si>
  <si>
    <t>8594055301684</t>
  </si>
  <si>
    <t>Indiana jerky 25g kuřecí</t>
  </si>
  <si>
    <t>4100089</t>
  </si>
  <si>
    <t>8594055301691</t>
  </si>
  <si>
    <t>Indiana jerky 25g vepřové</t>
  </si>
  <si>
    <t>4100093</t>
  </si>
  <si>
    <t>8595686700747</t>
  </si>
  <si>
    <t>Lagris Rýže 400g parboiled varné sáčky</t>
  </si>
  <si>
    <t>406003</t>
  </si>
  <si>
    <t>8594002140021</t>
  </si>
  <si>
    <t>Kojetín mouka 1kg hladká polosvětlá</t>
  </si>
  <si>
    <t>4052873</t>
  </si>
  <si>
    <t>8594002140052</t>
  </si>
  <si>
    <t>Kojetín mouka 1kg hrubá zlatý klas</t>
  </si>
  <si>
    <t>4052875</t>
  </si>
  <si>
    <t>8594002140045</t>
  </si>
  <si>
    <t>Kojetín mouka 1kg polohrubá výběrová</t>
  </si>
  <si>
    <t>4052874</t>
  </si>
  <si>
    <t>8594002153021</t>
  </si>
  <si>
    <t>Premium těstoviny 400g fleky lomené bezvaječné</t>
  </si>
  <si>
    <t>4050543</t>
  </si>
  <si>
    <t>8594002152963</t>
  </si>
  <si>
    <t>Premium těstoviny 400g kolínka malé bezvaječné</t>
  </si>
  <si>
    <t>4050541</t>
  </si>
  <si>
    <t>8594002150976</t>
  </si>
  <si>
    <t>Premium těstoviny 400g mušličky bezvaječné</t>
  </si>
  <si>
    <t>4050548</t>
  </si>
  <si>
    <t>8594002151362</t>
  </si>
  <si>
    <t>Premium těstoviny 400g penne bezvaječné</t>
  </si>
  <si>
    <t>4054294</t>
  </si>
  <si>
    <t>8594002153069</t>
  </si>
  <si>
    <t>Premium těstoviny 400g široké rezance bezvajecné</t>
  </si>
  <si>
    <t>4050542</t>
  </si>
  <si>
    <t>8594002153229</t>
  </si>
  <si>
    <t>Premium těstoviny 400g tarhoňa bezvaječné</t>
  </si>
  <si>
    <t>4050546</t>
  </si>
  <si>
    <t>8594002153243</t>
  </si>
  <si>
    <t>Premium těstoviny 400g těstovinová rýže bezvaječné</t>
  </si>
  <si>
    <t>4050547</t>
  </si>
  <si>
    <t>8594002153205</t>
  </si>
  <si>
    <t>Premium těstoviny 400g vlasové rezance bezvaječné</t>
  </si>
  <si>
    <t>4050549</t>
  </si>
  <si>
    <t>8594002153083</t>
  </si>
  <si>
    <t>Premium těstoviny 400g vřetena malá bezvaječné</t>
  </si>
  <si>
    <t>4050540</t>
  </si>
  <si>
    <t>8594033330941</t>
  </si>
  <si>
    <t>Švéda HJ Dršťková polévka 330g</t>
  </si>
  <si>
    <t>4040967</t>
  </si>
  <si>
    <t>8712100867446</t>
  </si>
  <si>
    <t>Knorr instantní polévka 15g hříbková</t>
  </si>
  <si>
    <t>4052825</t>
  </si>
  <si>
    <t>8712100868467</t>
  </si>
  <si>
    <t>Knorr instantní polévka 16g brokolicová</t>
  </si>
  <si>
    <t>4052827</t>
  </si>
  <si>
    <t>8712100867682</t>
  </si>
  <si>
    <t>Knorr instantní polévka 16g krém kuřecí s krutony</t>
  </si>
  <si>
    <t>4052828</t>
  </si>
  <si>
    <t>8712100867057</t>
  </si>
  <si>
    <t>Knorr instantní polévka 19g rajská</t>
  </si>
  <si>
    <t>4052832</t>
  </si>
  <si>
    <t>8712100867248</t>
  </si>
  <si>
    <t>Knorr instantní polévka 21g hrachová</t>
  </si>
  <si>
    <t>4052833</t>
  </si>
  <si>
    <t>8594202292797</t>
  </si>
  <si>
    <t>Cibule bistro Kuřecí vývar 1L</t>
  </si>
  <si>
    <t>4042509</t>
  </si>
  <si>
    <t>8593837230365</t>
  </si>
  <si>
    <t>Vitana bistro 65g Kung Pao</t>
  </si>
  <si>
    <t>4051679</t>
  </si>
  <si>
    <t>8593837233304</t>
  </si>
  <si>
    <t>Vitana bistro 66g mexiko s těstovinami</t>
  </si>
  <si>
    <t>4051676</t>
  </si>
  <si>
    <t>040516759</t>
  </si>
  <si>
    <t>Vitana bistro 72g kuře na paprice s těstovinami</t>
  </si>
  <si>
    <t>4051675</t>
  </si>
  <si>
    <t>8593837243617</t>
  </si>
  <si>
    <t>Vitana bistro 72g sýrová omáčka s těstoviny</t>
  </si>
  <si>
    <t>4051677</t>
  </si>
  <si>
    <t>8593837271481</t>
  </si>
  <si>
    <t>Vitana Bistro Chutě světa 75g Teriyaki</t>
  </si>
  <si>
    <t>4054078</t>
  </si>
  <si>
    <t>8594009063453</t>
  </si>
  <si>
    <t>Nekton opečená ryba 200g se zeleninou MEXICO</t>
  </si>
  <si>
    <t>4040308</t>
  </si>
  <si>
    <t>8594009064337</t>
  </si>
  <si>
    <t>Nekton opečená ryba 200g se zeleninou na thajský způsob</t>
  </si>
  <si>
    <t>4041347</t>
  </si>
  <si>
    <t>8591179101473</t>
  </si>
  <si>
    <t>Bahák salát 500g krzepický</t>
  </si>
  <si>
    <t>4041516</t>
  </si>
  <si>
    <t>8591179101466</t>
  </si>
  <si>
    <t>Bahák salát 500g ukrajinský</t>
  </si>
  <si>
    <t>4041515</t>
  </si>
  <si>
    <t>8595564504405</t>
  </si>
  <si>
    <t>BonaVita cereálie 375g  Honey Rings</t>
  </si>
  <si>
    <t>BONAVITA, spol. s r.o.</t>
  </si>
  <si>
    <t>2050361</t>
  </si>
  <si>
    <t>8595564506218</t>
  </si>
  <si>
    <t>BonaVita cereálie 375g Cinnamon Magic</t>
  </si>
  <si>
    <t>2050362</t>
  </si>
  <si>
    <t>8595564510154</t>
  </si>
  <si>
    <t>BonaVita Choco rice 375g</t>
  </si>
  <si>
    <t>2050558</t>
  </si>
  <si>
    <t>8594001562039</t>
  </si>
  <si>
    <t>Choco shells 375g BonaVita</t>
  </si>
  <si>
    <t>2050145</t>
  </si>
  <si>
    <t>8595564508274</t>
  </si>
  <si>
    <t>Obilné čtyřlístky 375g kakao a vanilka BonaVita</t>
  </si>
  <si>
    <t>2050273</t>
  </si>
  <si>
    <t>8595229900436</t>
  </si>
  <si>
    <t>Emco ovesné sušenky 60g borůvka</t>
  </si>
  <si>
    <t>2010420</t>
  </si>
  <si>
    <t>08594017144779</t>
  </si>
  <si>
    <t>Emco ovesné sušenky 60g čoko</t>
  </si>
  <si>
    <t>2010418</t>
  </si>
  <si>
    <t>8595229929475</t>
  </si>
  <si>
    <t>Emco ovesné sušenky 60g čokonugátové</t>
  </si>
  <si>
    <t>2052041</t>
  </si>
  <si>
    <t>8595229907930</t>
  </si>
  <si>
    <t>Emco ovesné sušenky 60g jablko</t>
  </si>
  <si>
    <t>2010455</t>
  </si>
  <si>
    <t>8594017144816</t>
  </si>
  <si>
    <t>Emco ovesné sušenky 60g kokos</t>
  </si>
  <si>
    <t>2010407</t>
  </si>
  <si>
    <t>8595229926337</t>
  </si>
  <si>
    <t>Emco Super sušenky 60g lískový oříšek</t>
  </si>
  <si>
    <t>2051948</t>
  </si>
  <si>
    <t>8595229922261</t>
  </si>
  <si>
    <t>Emco sušenky 60g jablko</t>
  </si>
  <si>
    <t>2111250</t>
  </si>
  <si>
    <t>8595229922254</t>
  </si>
  <si>
    <t>Emco sušenky 60g kakao kokos</t>
  </si>
  <si>
    <t>2111249</t>
  </si>
  <si>
    <t>8588009572954</t>
  </si>
  <si>
    <t>MaxSport Royal Protein 60g Cream &amp; cookies</t>
  </si>
  <si>
    <t>2052045</t>
  </si>
  <si>
    <t>8588006618150</t>
  </si>
  <si>
    <t>MaxSport Royal Protein 60g Creme de Cassis</t>
  </si>
  <si>
    <t>2051158</t>
  </si>
  <si>
    <t>2050850</t>
  </si>
  <si>
    <t>MaxSport Royal Protein 60g Malibu</t>
  </si>
  <si>
    <t>2050849</t>
  </si>
  <si>
    <t>MaxSport Royal Protein 60g Mango</t>
  </si>
  <si>
    <t>8588009572961</t>
  </si>
  <si>
    <t>MaxSport Royal Protein 60g Popcorn slaný karamel</t>
  </si>
  <si>
    <t>2052044</t>
  </si>
  <si>
    <t>8001585002115</t>
  </si>
  <si>
    <t>Balconi 250g roll nocciolla</t>
  </si>
  <si>
    <t>2010939</t>
  </si>
  <si>
    <t>2,7</t>
  </si>
  <si>
    <t>8001585002139</t>
  </si>
  <si>
    <t>Balconi roláda 250g ovocná</t>
  </si>
  <si>
    <t>4011655</t>
  </si>
  <si>
    <t>8594045606713</t>
  </si>
  <si>
    <t>Brick Trubičky 150g citrón</t>
  </si>
  <si>
    <t>2115401</t>
  </si>
  <si>
    <t>8594045603033</t>
  </si>
  <si>
    <t>Brick Trubičky 150g kokos</t>
  </si>
  <si>
    <t>2015429</t>
  </si>
  <si>
    <t>8594045603095</t>
  </si>
  <si>
    <t>Brick Trubičky 150g lískový oříšek</t>
  </si>
  <si>
    <t>2015432</t>
  </si>
  <si>
    <t>8594045606737</t>
  </si>
  <si>
    <t>Brick Trubičky 150g slaný karamel</t>
  </si>
  <si>
    <t>2115400</t>
  </si>
  <si>
    <t>8594045603071</t>
  </si>
  <si>
    <t>Brick Trubičky 150g vanilka</t>
  </si>
  <si>
    <t>2015431</t>
  </si>
  <si>
    <t>8595606210561</t>
  </si>
  <si>
    <t>Bohemia arašídy 135g extra pražené</t>
  </si>
  <si>
    <t>4031117</t>
  </si>
  <si>
    <t>8595606210608</t>
  </si>
  <si>
    <t>Bohemia arašídy 135g medové</t>
  </si>
  <si>
    <t>4031116</t>
  </si>
  <si>
    <t>8595606210035</t>
  </si>
  <si>
    <t>Bohemia Chips 60g delikátní paprika</t>
  </si>
  <si>
    <t>410043</t>
  </si>
  <si>
    <t>8595606210103</t>
  </si>
  <si>
    <t>Bohemia Chips 60g chalupářský špíz</t>
  </si>
  <si>
    <t>410048</t>
  </si>
  <si>
    <t>8595606210059</t>
  </si>
  <si>
    <t>Bohemia Chips 60g moravská slanina</t>
  </si>
  <si>
    <t>410044</t>
  </si>
  <si>
    <t>8595606210080</t>
  </si>
  <si>
    <t>Bohemia Chips 60g smetana s cibulí</t>
  </si>
  <si>
    <t>4100523</t>
  </si>
  <si>
    <t>8595606210127</t>
  </si>
  <si>
    <t>Bohemia Vroubkované 55g mořská sůl</t>
  </si>
  <si>
    <t>4100191</t>
  </si>
  <si>
    <t>5997312702065</t>
  </si>
  <si>
    <t>Chio 65g big pep</t>
  </si>
  <si>
    <t>4100362</t>
  </si>
  <si>
    <t>5941445668668</t>
  </si>
  <si>
    <t>Chio 65g cornados paprika</t>
  </si>
  <si>
    <t>4100732</t>
  </si>
  <si>
    <t>8595606207455</t>
  </si>
  <si>
    <t>Chio microwave popcorn 80g butter</t>
  </si>
  <si>
    <t>4101009</t>
  </si>
  <si>
    <t>8595606207448</t>
  </si>
  <si>
    <t>Chio microwave popcorn 80g salted</t>
  </si>
  <si>
    <t>4101010</t>
  </si>
  <si>
    <t>7340131602647</t>
  </si>
  <si>
    <t>NOCCO Nápoj 330ml Blood orange del sol</t>
  </si>
  <si>
    <t>1014874</t>
  </si>
  <si>
    <t>7340131603736</t>
  </si>
  <si>
    <t>NOCCO Nápoj 330ml Caribbean+</t>
  </si>
  <si>
    <t>1014877</t>
  </si>
  <si>
    <t>7340131600872</t>
  </si>
  <si>
    <t>NOCCO Nápoj 330ml Caribean</t>
  </si>
  <si>
    <t>1014875</t>
  </si>
  <si>
    <t>7340131603064</t>
  </si>
  <si>
    <t>NOCCO Nápoj 330ml Citrus elderflower+</t>
  </si>
  <si>
    <t>1014878</t>
  </si>
  <si>
    <t>7340131603538</t>
  </si>
  <si>
    <t>NOCCO Nápoj 330ml Juicy Melba</t>
  </si>
  <si>
    <t>1014876</t>
  </si>
  <si>
    <t>7340131601947</t>
  </si>
  <si>
    <t>NOCCO Nápoj 330ml Limon de sol</t>
  </si>
  <si>
    <t>1014879</t>
  </si>
  <si>
    <t>7340131601558</t>
  </si>
  <si>
    <t>NOCCO Nápoj 330ml Miami</t>
  </si>
  <si>
    <t>1014873</t>
  </si>
  <si>
    <t>8595568525222</t>
  </si>
  <si>
    <t>Rosické těstoviny 500g abeceda</t>
  </si>
  <si>
    <t>Europasta a.s</t>
  </si>
  <si>
    <t>4052485</t>
  </si>
  <si>
    <t>8595568525086</t>
  </si>
  <si>
    <t>Rosické těstoviny 500g fleky velké</t>
  </si>
  <si>
    <t>4052486</t>
  </si>
  <si>
    <t>8595568525123</t>
  </si>
  <si>
    <t>Rosické těstoviny 500g fleky zvlněné</t>
  </si>
  <si>
    <t>4052482</t>
  </si>
  <si>
    <t>8595568525093</t>
  </si>
  <si>
    <t>Rosické těstoviny 500g fusilli</t>
  </si>
  <si>
    <t>4052487</t>
  </si>
  <si>
    <t>8595568525147</t>
  </si>
  <si>
    <t>Rosické těstoviny 500g kolínka střední</t>
  </si>
  <si>
    <t>4052484</t>
  </si>
  <si>
    <t>8595568525161</t>
  </si>
  <si>
    <t>Rosické těstoviny 500g penne</t>
  </si>
  <si>
    <t>4052489</t>
  </si>
  <si>
    <t>8595568525178</t>
  </si>
  <si>
    <t>Rosické těstoviny 500g široké nudle</t>
  </si>
  <si>
    <t>4052490</t>
  </si>
  <si>
    <t>8595568525215</t>
  </si>
  <si>
    <t>Rosické těstoviny 500g vlas nudle</t>
  </si>
  <si>
    <t>4052491</t>
  </si>
  <si>
    <t>8595568525130</t>
  </si>
  <si>
    <t>Rosické těstoviny 500g vřetena malá</t>
  </si>
  <si>
    <t>4052483</t>
  </si>
  <si>
    <t>8595568525116</t>
  </si>
  <si>
    <t>Rosické těstoviny 500g vývrtky</t>
  </si>
  <si>
    <t>4052492</t>
  </si>
  <si>
    <t>8595003419499</t>
  </si>
  <si>
    <t>Spak omáčka 320ml Barbecue</t>
  </si>
  <si>
    <t>4053985</t>
  </si>
  <si>
    <t>8595003419536</t>
  </si>
  <si>
    <t>Spak omáčka 320ml Burger</t>
  </si>
  <si>
    <t>4053987</t>
  </si>
  <si>
    <t>8595003419512</t>
  </si>
  <si>
    <t>Spak omáčka 320ml Hot Dog</t>
  </si>
  <si>
    <t>4053986</t>
  </si>
  <si>
    <t>8595003419642</t>
  </si>
  <si>
    <t>Spak omáčka 320ml Mango</t>
  </si>
  <si>
    <t>4053989</t>
  </si>
  <si>
    <t>8593837244010</t>
  </si>
  <si>
    <t>Vitana Polévka Do hrnečku 14g kuřecí</t>
  </si>
  <si>
    <t>4050049</t>
  </si>
  <si>
    <t>8593837244065</t>
  </si>
  <si>
    <t>Vitana Polévka Do hrnečku 14g s játrovými knedlíčky</t>
  </si>
  <si>
    <t>4051062</t>
  </si>
  <si>
    <t>6,3</t>
  </si>
  <si>
    <t>8593837244058</t>
  </si>
  <si>
    <t>Vitana Polévka Do hrnečku 15g Francouzská</t>
  </si>
  <si>
    <t>4054317</t>
  </si>
  <si>
    <t>8593837259939</t>
  </si>
  <si>
    <t>Vitana Polévka Do hrnečku 17g hříbková</t>
  </si>
  <si>
    <t>4052246</t>
  </si>
  <si>
    <t>8593837243792</t>
  </si>
  <si>
    <t>Vitana Polévka Do hrnečku 18g gulášová</t>
  </si>
  <si>
    <t>4050044</t>
  </si>
  <si>
    <t>8593837244003</t>
  </si>
  <si>
    <t>Vitana Polévka Do hrnečku 20g hovězí s celestýnskámi nudlemi</t>
  </si>
  <si>
    <t>4050045</t>
  </si>
  <si>
    <t>8593837243976</t>
  </si>
  <si>
    <t>Vitana Polévka Do hrnečku 21g brokolice</t>
  </si>
  <si>
    <t>4051042</t>
  </si>
  <si>
    <t>8593837271603</t>
  </si>
  <si>
    <t>Vitana Polévka Do hrnečku 21g Cibulačka</t>
  </si>
  <si>
    <t>4031136</t>
  </si>
  <si>
    <t>8593837244027</t>
  </si>
  <si>
    <t>Vitana Polévka Do hrnečku 22g rajská</t>
  </si>
  <si>
    <t>4050046</t>
  </si>
  <si>
    <t>8593837253678</t>
  </si>
  <si>
    <t>Vitana Polévka Do hrnečku 22g sýrová</t>
  </si>
  <si>
    <t>4051032</t>
  </si>
  <si>
    <t>8593837243983</t>
  </si>
  <si>
    <t>Vitana Polévka Do hrnečku 27g hrášková</t>
  </si>
  <si>
    <t>4050048</t>
  </si>
  <si>
    <t>8590132013013</t>
  </si>
  <si>
    <t>Orient gril 40g</t>
  </si>
  <si>
    <t>4050140</t>
  </si>
  <si>
    <t>8590132013204</t>
  </si>
  <si>
    <t>Orient Chilli mleté 25g</t>
  </si>
  <si>
    <t>4050143</t>
  </si>
  <si>
    <t>8590132013280</t>
  </si>
  <si>
    <t>Orient Kari 30g</t>
  </si>
  <si>
    <t>4050144</t>
  </si>
  <si>
    <t>8590132013150</t>
  </si>
  <si>
    <t>Orient kuře pečené 30g</t>
  </si>
  <si>
    <t>4050148</t>
  </si>
  <si>
    <t>8590132013273</t>
  </si>
  <si>
    <t>Orient mletá masa 30g</t>
  </si>
  <si>
    <t>4050150</t>
  </si>
  <si>
    <t>8594012795396</t>
  </si>
  <si>
    <t>Olivy 195g zelené plněné papr. pastou Giana sáček</t>
  </si>
  <si>
    <t>4040346</t>
  </si>
  <si>
    <t>8595241505176</t>
  </si>
  <si>
    <t>Tuňákový salát 185g Exotic Giana</t>
  </si>
  <si>
    <t>4040370</t>
  </si>
  <si>
    <t>8594012793378</t>
  </si>
  <si>
    <t>Tuňákový salát 185g Mexico Giana</t>
  </si>
  <si>
    <t>4040368</t>
  </si>
  <si>
    <t>8595241502731</t>
  </si>
  <si>
    <t>Tuňákový salát 185g Texas Giana</t>
  </si>
  <si>
    <t>4040449</t>
  </si>
  <si>
    <t>8595241502717</t>
  </si>
  <si>
    <t>Tuňákový salát 185g Western Giana</t>
  </si>
  <si>
    <t>4040405</t>
  </si>
  <si>
    <t>8595072635660</t>
  </si>
  <si>
    <t>Dr.Oetker Gustin 400g</t>
  </si>
  <si>
    <t>4054115</t>
  </si>
  <si>
    <t>8595012035109</t>
  </si>
  <si>
    <t>Avokádo 7g majoránka</t>
  </si>
  <si>
    <t>4050619</t>
  </si>
  <si>
    <t>6,50</t>
  </si>
  <si>
    <t>8595012035055</t>
  </si>
  <si>
    <t>Avokádo 30g kmín celý</t>
  </si>
  <si>
    <t>4050631</t>
  </si>
  <si>
    <t>7,90</t>
  </si>
  <si>
    <t>8595012035307</t>
  </si>
  <si>
    <t>Avokádo 25g paprika mletá sladká</t>
  </si>
  <si>
    <t>4050635</t>
  </si>
  <si>
    <t>8595012002200</t>
  </si>
  <si>
    <t>Avokádo 30g kmín drcený</t>
  </si>
  <si>
    <t>4050630</t>
  </si>
  <si>
    <t>8595012035352</t>
  </si>
  <si>
    <t>Avokádo 25g skořice mletá</t>
  </si>
  <si>
    <t>4050629</t>
  </si>
  <si>
    <t>8595019529212</t>
  </si>
  <si>
    <t>Avokádo kurkuma 30g</t>
  </si>
  <si>
    <t>4051422</t>
  </si>
  <si>
    <t>8595019533981</t>
  </si>
  <si>
    <t>Avokádo libeček 10g</t>
  </si>
  <si>
    <t>4052425</t>
  </si>
  <si>
    <t>8595012002453</t>
  </si>
  <si>
    <t>Avokádo 32g Paprika pálivá</t>
  </si>
  <si>
    <t>4054097</t>
  </si>
  <si>
    <t>8595019531857</t>
  </si>
  <si>
    <t>Avokádo rozmarýn 15g</t>
  </si>
  <si>
    <t>4051777</t>
  </si>
  <si>
    <t>8595012035208</t>
  </si>
  <si>
    <t>Avokádo 20g pepř černý celý</t>
  </si>
  <si>
    <t>4050621</t>
  </si>
  <si>
    <t>11,50</t>
  </si>
  <si>
    <t>8595019534001</t>
  </si>
  <si>
    <t>Avokádo pepř 15g černý hrubě mletý</t>
  </si>
  <si>
    <t>4052426</t>
  </si>
  <si>
    <t>8595012000107</t>
  </si>
  <si>
    <t>Avokádo bazalka 12g</t>
  </si>
  <si>
    <t>4051421</t>
  </si>
  <si>
    <t>8595019532199</t>
  </si>
  <si>
    <t>Avokádo Paprika 20g uzená</t>
  </si>
  <si>
    <t>4052082</t>
  </si>
  <si>
    <t>8595012001609</t>
  </si>
  <si>
    <t>Avokádo tymián 12g</t>
  </si>
  <si>
    <t>4051571</t>
  </si>
  <si>
    <t>8595012035253</t>
  </si>
  <si>
    <t>Avokádo 20g pepř černý mletý</t>
  </si>
  <si>
    <t>4050633</t>
  </si>
  <si>
    <t>8595012002156</t>
  </si>
  <si>
    <t>Avokádo chilli 28g mleté</t>
  </si>
  <si>
    <t>1050649</t>
  </si>
  <si>
    <t>8595012035604</t>
  </si>
  <si>
    <t>Avokádo paprika 25g mletá lahůdková</t>
  </si>
  <si>
    <t>1050650</t>
  </si>
  <si>
    <t>8595019537736</t>
  </si>
  <si>
    <t>Avokádo Pepř bílý 18g mletý</t>
  </si>
  <si>
    <t>4054361</t>
  </si>
  <si>
    <t>8595012035505</t>
  </si>
  <si>
    <t>Avokádo Paprika 25g mletá sladká maďarská</t>
  </si>
  <si>
    <t>4030459</t>
  </si>
  <si>
    <t>8595019534667</t>
  </si>
  <si>
    <t>Avokádo hřebíček 18g celý</t>
  </si>
  <si>
    <t>4052393</t>
  </si>
  <si>
    <t>5410076067626</t>
  </si>
  <si>
    <t>Pringles 40g Hot and Spicy</t>
  </si>
  <si>
    <t>4100262</t>
  </si>
  <si>
    <t>5053990161607</t>
  </si>
  <si>
    <t>Pringles 40g paprika</t>
  </si>
  <si>
    <t>4100212</t>
  </si>
  <si>
    <t>5053990137800</t>
  </si>
  <si>
    <t>Pringles 40g smetana+cibule</t>
  </si>
  <si>
    <t>4100213</t>
  </si>
  <si>
    <t>8594057126414</t>
  </si>
  <si>
    <t>Dr. House prací prášek 1,5kg Fresh</t>
  </si>
  <si>
    <t>7124377</t>
  </si>
  <si>
    <t>8594057126391</t>
  </si>
  <si>
    <t>Dr. House prací prášek 1,5kg Orchidea</t>
  </si>
  <si>
    <t>7124378</t>
  </si>
  <si>
    <t>8594057125325</t>
  </si>
  <si>
    <t>Dr. House prací prášek 1,5kg Universal</t>
  </si>
  <si>
    <t>7120134</t>
  </si>
  <si>
    <t>8008970050447</t>
  </si>
  <si>
    <t>Tesori d'Oriente difuzér 200ml Hammam</t>
  </si>
  <si>
    <t>7127854</t>
  </si>
  <si>
    <t>8008970050430</t>
  </si>
  <si>
    <t>Tesori d'Oriente difuzér 200ml White Musk</t>
  </si>
  <si>
    <t>7127853</t>
  </si>
  <si>
    <t>5029053582214</t>
  </si>
  <si>
    <t>Kleenex  vlhčený toaletní papír 38ks Pure</t>
  </si>
  <si>
    <t>7129666</t>
  </si>
  <si>
    <t>07.01.2025</t>
  </si>
  <si>
    <t>Bella Cotton obvazová vata bavlněná 100g</t>
  </si>
  <si>
    <t>30.11.2023</t>
  </si>
  <si>
    <t>22,50</t>
  </si>
  <si>
    <t>Bella Cotton obvazová vata bavněná 200g viskózní</t>
  </si>
  <si>
    <t>30,90</t>
  </si>
  <si>
    <t>Bella Cotton obvazová vata bavlněná 200g</t>
  </si>
  <si>
    <t>7122772</t>
  </si>
  <si>
    <t>28.01.2024</t>
  </si>
  <si>
    <t>Mokate Cappuccino 40g Jablečný koláč</t>
  </si>
  <si>
    <t>Mokate Cappuccino 40g Malinový dort</t>
  </si>
  <si>
    <t>Mokate Cappuccino 40g Mango Marakuja</t>
  </si>
  <si>
    <t>Mokate Cappuccino 40g Piňa Colada</t>
  </si>
  <si>
    <t>Orion Granko 350g exclusive</t>
  </si>
  <si>
    <t>Orion Granko 350g natural</t>
  </si>
  <si>
    <t>Orion Granko 400g</t>
  </si>
  <si>
    <t>Nestlé tyčinka 25g Chocapic</t>
  </si>
  <si>
    <t>Nestlé tyčinka 25g Cini-Minis</t>
  </si>
  <si>
    <t>Nestlé tyčinka 25g Lion</t>
  </si>
  <si>
    <t>Nestlé tyčinka 22g Corn flakes</t>
  </si>
  <si>
    <t>KitKat 4Finger 41,5g dark</t>
  </si>
  <si>
    <t>KitKat 4Finger 41,5g white</t>
  </si>
  <si>
    <t>KitKat Chunky 40g funky</t>
  </si>
  <si>
    <t>KitKat Chunky 40g mléčný</t>
  </si>
  <si>
    <t>KitKat Chunky 40g white</t>
  </si>
  <si>
    <t>KitKat Chunky 42g peanut butter</t>
  </si>
  <si>
    <t>KitKat 4Finger 41,5g cookie dough</t>
  </si>
  <si>
    <t>Orion Delissa 30g dark chocolate</t>
  </si>
  <si>
    <t>Orion Delissa 30g hazelnut</t>
  </si>
  <si>
    <t>Orion Delissa 30g milk</t>
  </si>
  <si>
    <t>Orion Delissa 30g vanilla</t>
  </si>
  <si>
    <t>MaitreTruffout čokoláda 100g Katzen bílá</t>
  </si>
  <si>
    <t>MaitreTruffout čokoláda 100g Katzen čoko</t>
  </si>
  <si>
    <t>Kolonáda Lázeňské oplatky 195g vanilkové</t>
  </si>
  <si>
    <t>Kolonáda Lázeňské oplatky 200g Grand čokoládové</t>
  </si>
  <si>
    <t>Kolonáda Lázeňské oplatky 200g čokoládové</t>
  </si>
  <si>
    <t>Merci 185g Lovelies Creamy</t>
  </si>
  <si>
    <t>Merci 185g Lovelies White</t>
  </si>
  <si>
    <t>Knoppers 120g NutBar</t>
  </si>
  <si>
    <t>ChupaChups popcorn 90g caramel</t>
  </si>
  <si>
    <t>ChupaChups popcorn 90g cola</t>
  </si>
  <si>
    <t>ChupaChups popcorn 90g strawberry</t>
  </si>
  <si>
    <t>Fini žvýkačky @50ks 750g Mega Watermelon</t>
  </si>
  <si>
    <t>Fini žvýkačky @50ks 800g megatenisák</t>
  </si>
  <si>
    <t>Fini žvýkačky @50ks 1kg meloun</t>
  </si>
  <si>
    <t>Fini žvýkačky @50ks 1kg Fizzy mix ovoce</t>
  </si>
  <si>
    <t>Victor Schmidt Mozartovy koule 118g box</t>
  </si>
  <si>
    <t>Victor Schmidt Mozartovy koule 148g sáček</t>
  </si>
  <si>
    <t>Victor Schmidt Mozartovy koule 264g sáček</t>
  </si>
  <si>
    <t>Victor Schmidt Mozartovy koule 297g box</t>
  </si>
  <si>
    <t>Hazal petit beurre 150g</t>
  </si>
  <si>
    <t>Elvan Truffle 1kg karamel</t>
  </si>
  <si>
    <t>Elvan Truffle 1kg kokos</t>
  </si>
  <si>
    <t>Elvan Truffle 1kg mix</t>
  </si>
  <si>
    <t>Elvan Truffle 1kg oříšek</t>
  </si>
  <si>
    <t>Snickers 36,5g Creamy</t>
  </si>
  <si>
    <t>Twix 50g twin</t>
  </si>
  <si>
    <t>Twix 46g white</t>
  </si>
  <si>
    <t>Mars 51g standard</t>
  </si>
  <si>
    <t>Twix 46g Salted Caramel LE</t>
  </si>
  <si>
    <t>Figaro Doxy Roksy 90g kyselé</t>
  </si>
  <si>
    <t>Figaro Doxy Roksy 90g tropic</t>
  </si>
  <si>
    <t>Sojový suk tyčinka 50g klasik</t>
  </si>
  <si>
    <t>Sojový suk tyčinka 50g v tmavé polevě</t>
  </si>
  <si>
    <t>Sojový suk tyčinky 200g klasik + Duo</t>
  </si>
  <si>
    <t>Bananko tyčinka 30g</t>
  </si>
  <si>
    <t>Takis snack 100g Volcano ESP</t>
  </si>
  <si>
    <t>Takis snack 100g Fuego ESP</t>
  </si>
  <si>
    <t>Takis snack 100g Intense Nacho ESP</t>
  </si>
  <si>
    <t>Takis snack 100g Blue Heat ESP</t>
  </si>
  <si>
    <t>CinemaTime popcorn 90g butter</t>
  </si>
  <si>
    <t>CinemaTime popcorn 90g cheese</t>
  </si>
  <si>
    <t>CinemaTime popcorn 90g ham-cheese</t>
  </si>
  <si>
    <t>McRobin Opss hranolky 30g s příchutí chilli a limetka</t>
  </si>
  <si>
    <t>McRobin Opss hranolky 30g sweet corn milk flavour</t>
  </si>
  <si>
    <t>McRobin Opss chipsy 35g s příchutí barbecue</t>
  </si>
  <si>
    <t>McRobin Opss chipsy 35g s příchutí chilli</t>
  </si>
  <si>
    <t>McRobin Opss kukuřičné křupky 30g</t>
  </si>
  <si>
    <t>McRobin Opss kukuřičné křupky 40g s arašídy</t>
  </si>
  <si>
    <t>McRobin snacks 40g hranolky grilované kuře</t>
  </si>
  <si>
    <t>McRobin snacks 40g hranolky kečup</t>
  </si>
  <si>
    <t>McRobin snacks 40g kornoutky grilované kuře</t>
  </si>
  <si>
    <t>McRobin snacks 40g kornoutky tzatziki</t>
  </si>
  <si>
    <t>McRobin snacks 40g rybičky sýr</t>
  </si>
  <si>
    <t>McRobin Opss kukuřičné křupky 30g s hračkou pro holky</t>
  </si>
  <si>
    <t>McRobin Opss kukuřičné křupky 30g s hračkou pro kluky</t>
  </si>
  <si>
    <t>Maggi AmoreMio 140g šunka+sýr</t>
  </si>
  <si>
    <t>Maggi AmoreMio 145g Bolognese</t>
  </si>
  <si>
    <t>Maggi AmoreMio 146g 4 sýry</t>
  </si>
  <si>
    <t>Maggi AmoreMio 152g špenát sýr</t>
  </si>
  <si>
    <t>Maggi DobrýHostinec 142g kuře na smetaně</t>
  </si>
  <si>
    <t>Maggi DobrýHostinec 143g guláš</t>
  </si>
  <si>
    <t>Maggi DobrýHostinec 144g houbový</t>
  </si>
  <si>
    <t>Maggi DobrýHostinec 146g kuře na paprice pikantní</t>
  </si>
  <si>
    <t>Maggi DobrýHostinec 153g kuře na paprice</t>
  </si>
  <si>
    <t>Maggi DobrýHostinec 153g svíčková</t>
  </si>
  <si>
    <t>Maggi MagicAsia 118g smažené nudle indie</t>
  </si>
  <si>
    <t>Maggi MagicAsia 119g duck</t>
  </si>
  <si>
    <t>Maggi MagicAsia 121g chicken</t>
  </si>
  <si>
    <t>Maggi MagicAsia 128g thai curry</t>
  </si>
  <si>
    <t>Maggi Nápady 97g Inspirováno Čínou</t>
  </si>
  <si>
    <t>Friskies kapsička 85g Adult s kuřetem a mrkví ve šťávě P</t>
  </si>
  <si>
    <t>Friskies kapsička 85g Adult s jehněčím a mrkví ve šťávě P</t>
  </si>
  <si>
    <t>Friskies kapsička MP @4x85g Junior s kuřetem a mrkví ve šťávě P</t>
  </si>
  <si>
    <t>Friskies kapsička MP @4x85g Adult hovězí/kuře/jehněčí ve šťávě P</t>
  </si>
  <si>
    <t>Friskies kapsička MP @4x85g Adult hovězí/kuře/jehněčí v želé P</t>
  </si>
  <si>
    <t>PreVital granule 300g Adult hovězí K</t>
  </si>
  <si>
    <t>PreVital granule 300g Adult tuňák K</t>
  </si>
  <si>
    <t>PreVital granule 1400g Adult kuřecí K</t>
  </si>
  <si>
    <t>PreVital granule 1400g Adult hovězí K</t>
  </si>
  <si>
    <t>PreVital granule 1400g Senior losos K</t>
  </si>
  <si>
    <t>PreVital granule 1400g Adult tuňák K</t>
  </si>
  <si>
    <t>PreVital granule 950g Junior kuřecí K</t>
  </si>
  <si>
    <t>First Class vanička 150g hovězí P</t>
  </si>
  <si>
    <t>First Class vanička 150g junior P</t>
  </si>
  <si>
    <t>First Class vanička 150g králičí P</t>
  </si>
  <si>
    <t>First Class vanička 300g drůběží P</t>
  </si>
  <si>
    <t>First Class vanička 300g hovězí P</t>
  </si>
  <si>
    <t>Milka dezerty 44g ILM nut nougat</t>
  </si>
  <si>
    <t>Milka dezerty 110g ILM Hazelnut creme</t>
  </si>
  <si>
    <t>Milka dezerty 110g Just for You gift box</t>
  </si>
  <si>
    <t>Milka dezerty 110g ILM Thank You Mousse au Choc</t>
  </si>
  <si>
    <t>Vobro Ego pralines 92g Plum Passion</t>
  </si>
  <si>
    <t>Vobro Ego pralines 87g Hazelnut Passion</t>
  </si>
  <si>
    <t>Vobro Ego pralines 91g Cherry Passion</t>
  </si>
  <si>
    <t>Vobro Ego pralines 88g Pistachio Passion</t>
  </si>
  <si>
    <t>Davidoff káva 100g fine aroma</t>
  </si>
  <si>
    <t>Davidoff káva 100g rich aroma</t>
  </si>
  <si>
    <t>Davidoff káva 90g crema intense</t>
  </si>
  <si>
    <t>Lexus srdce 110g strawberry cream</t>
  </si>
  <si>
    <t>Lexus bonboniéra 150g hazelnut cream</t>
  </si>
  <si>
    <t>Lexus bonboniéra 150g peanut cream</t>
  </si>
  <si>
    <t>Minges káva 1kg Espresso Tradition 1932 zrno</t>
  </si>
  <si>
    <t>MoccaFix 500g Melange mletá káva</t>
  </si>
  <si>
    <t>Herbex Šuměnka 10g malina /50/</t>
  </si>
  <si>
    <t>Herbex Šuměnka 10g mandarinka /50/</t>
  </si>
  <si>
    <t>Herbex Šuměnka 10g pomeranč /50/</t>
  </si>
  <si>
    <t>Nestlé Fitness tyčinka 23,5g cappucino</t>
  </si>
  <si>
    <t>Nestlé Fitness tyčinka 23,5g cookie</t>
  </si>
  <si>
    <t>Nestlé Fitness tyčinka 23,5g red berries</t>
  </si>
  <si>
    <t>Nestlé Musli tyčinka 35g cherry</t>
  </si>
  <si>
    <t>Nestlé Musli tyčinka 35g choco banana</t>
  </si>
  <si>
    <t>Nestlé Musli tyčinka 35g chocolate</t>
  </si>
  <si>
    <t>9000101744200</t>
  </si>
  <si>
    <t>Taft lak na vlasy 250ml Aloe Boost 4</t>
  </si>
  <si>
    <t>7220299</t>
  </si>
  <si>
    <t>10 / 32 / 128</t>
  </si>
  <si>
    <t xml:space="preserve"> 1 796</t>
  </si>
  <si>
    <t>9000100477512</t>
  </si>
  <si>
    <t>Taft Lak na vlasy 250ml Power Cashmere Touch mega silný 5 (DEN TIM)</t>
  </si>
  <si>
    <t>7011841</t>
  </si>
  <si>
    <t>2917186</t>
  </si>
  <si>
    <t>9000101618709</t>
  </si>
  <si>
    <t>Taft Lak na vlasy 250ml Power&amp;Fullness mega silný 5 (DEN VANG)</t>
  </si>
  <si>
    <t>7015025</t>
  </si>
  <si>
    <t>2917253</t>
  </si>
  <si>
    <t xml:space="preserve"> 1 387</t>
  </si>
  <si>
    <t>9000100876544</t>
  </si>
  <si>
    <t>Taft Lak na vlasy 250ml Invisible Power mega strong 5 ( DEN TRANG )</t>
  </si>
  <si>
    <t>7019438</t>
  </si>
  <si>
    <t>2917238</t>
  </si>
  <si>
    <t>9000100909792</t>
  </si>
  <si>
    <t>Taft Lak na vlasy 250ml Perfect Flex 4</t>
  </si>
  <si>
    <t>7020317</t>
  </si>
  <si>
    <t>2068865</t>
  </si>
  <si>
    <t xml:space="preserve"> 1 076</t>
  </si>
  <si>
    <t>9000100454070</t>
  </si>
  <si>
    <t>Taft Lak na vlasy 250ml Ultra ultra silný 4</t>
  </si>
  <si>
    <t>7011816</t>
  </si>
  <si>
    <t>2917246</t>
  </si>
  <si>
    <t xml:space="preserve"> 1 008</t>
  </si>
  <si>
    <t>9000100454407</t>
  </si>
  <si>
    <t>Taft Lak na vlasy 250ml Shine ultra silný 4 (DO HONG )</t>
  </si>
  <si>
    <t>7011843</t>
  </si>
  <si>
    <t>2068830</t>
  </si>
  <si>
    <t xml:space="preserve"> 1 321</t>
  </si>
  <si>
    <t>9000100454438</t>
  </si>
  <si>
    <t>Taft Lak na vlasy 250ml Double Volume Ultra Strong 4 (XLC HONG)</t>
  </si>
  <si>
    <t>7011817</t>
  </si>
  <si>
    <t>2069047</t>
  </si>
  <si>
    <t xml:space="preserve"> 1 599</t>
  </si>
  <si>
    <t>9000100728225</t>
  </si>
  <si>
    <t>Taft Lak na vlasy 250ml Double Volume Mega silný 5 (XLC DO)</t>
  </si>
  <si>
    <t>7015023</t>
  </si>
  <si>
    <t>2987324</t>
  </si>
  <si>
    <t xml:space="preserve"> 1 086</t>
  </si>
  <si>
    <t>9000100454032</t>
  </si>
  <si>
    <t>Taft Lak na vlasy 250ml Complete 4</t>
  </si>
  <si>
    <t>7011911</t>
  </si>
  <si>
    <t>2917259</t>
  </si>
  <si>
    <t xml:space="preserve"> 1 754</t>
  </si>
  <si>
    <t>9000100923095</t>
  </si>
  <si>
    <t>Taft Lak na vlasy 250ml Ultimate 5+</t>
  </si>
  <si>
    <t>7020926</t>
  </si>
  <si>
    <t>2917233</t>
  </si>
  <si>
    <t>8590338906454</t>
  </si>
  <si>
    <t>Rebi Dental dentální nit 50m</t>
  </si>
  <si>
    <t>7126508</t>
  </si>
  <si>
    <t>93002</t>
  </si>
  <si>
    <t>24 / 23 / 253</t>
  </si>
  <si>
    <t>27.04.2023</t>
  </si>
  <si>
    <t>8590338912691</t>
  </si>
  <si>
    <t>Rebi Dental dentální párátka 64ks</t>
  </si>
  <si>
    <t>7126510</t>
  </si>
  <si>
    <t>93016</t>
  </si>
  <si>
    <t>12 / 31 / 310</t>
  </si>
  <si>
    <t>40,50</t>
  </si>
  <si>
    <t>8590338913193</t>
  </si>
  <si>
    <t>Rebi Dental mezizubní kartáčky 0,4mm 8ks</t>
  </si>
  <si>
    <t>7126505</t>
  </si>
  <si>
    <t>93017</t>
  </si>
  <si>
    <t>12 / 72 / 720</t>
  </si>
  <si>
    <t>8590338913209</t>
  </si>
  <si>
    <t>Rebi Dental mezizubní kartáčky 0,5mm 8ks</t>
  </si>
  <si>
    <t>7126506</t>
  </si>
  <si>
    <t>93018</t>
  </si>
  <si>
    <t>8590338913216</t>
  </si>
  <si>
    <t>Rebi Dental mezizubní kartáčky 0,6mm 8ks</t>
  </si>
  <si>
    <t>7126507</t>
  </si>
  <si>
    <t>93019</t>
  </si>
  <si>
    <t>9000101583182</t>
  </si>
  <si>
    <t>Silan Aviváž 770ml 35WL AT Fascinating Frangipani</t>
  </si>
  <si>
    <t>7126829</t>
  </si>
  <si>
    <t>3045370/7126829</t>
  </si>
  <si>
    <t>9000101583335</t>
  </si>
  <si>
    <t>Silan Aviváž 770ml 35WL AT Fascinating Jungle</t>
  </si>
  <si>
    <t>7126830</t>
  </si>
  <si>
    <t>3053664</t>
  </si>
  <si>
    <t>9000101581423</t>
  </si>
  <si>
    <t>Silan Aviváž 770ml 35WL AT Magic Magnolia</t>
  </si>
  <si>
    <t>7126828</t>
  </si>
  <si>
    <t>3041094/7126828</t>
  </si>
  <si>
    <t>8594004302380</t>
  </si>
  <si>
    <t>Ria Classic vložky 10ks Normal Plus</t>
  </si>
  <si>
    <t>7221856</t>
  </si>
  <si>
    <t>7030430</t>
  </si>
  <si>
    <t>9005801204160</t>
  </si>
  <si>
    <t>Nivea hydratační krém 75ml Soft</t>
  </si>
  <si>
    <t>7029825</t>
  </si>
  <si>
    <t>89057</t>
  </si>
  <si>
    <t>24 / 18 / 108</t>
  </si>
  <si>
    <t>4005808751419</t>
  </si>
  <si>
    <t>Nivea hydratační krém 100ml Soft</t>
  </si>
  <si>
    <t>7020243</t>
  </si>
  <si>
    <t>89059</t>
  </si>
  <si>
    <t>24 / 19 / 133</t>
  </si>
  <si>
    <t>72,90</t>
  </si>
  <si>
    <t>4005808751952</t>
  </si>
  <si>
    <t>Nivea hydratační krém 200ml Soft</t>
  </si>
  <si>
    <t>7011031</t>
  </si>
  <si>
    <t>4005808751938</t>
  </si>
  <si>
    <t>24 / 12 / 72</t>
  </si>
  <si>
    <t>79,90</t>
  </si>
  <si>
    <t>4005808751440</t>
  </si>
  <si>
    <t>Nivea hydratační krém 300ml Soft</t>
  </si>
  <si>
    <t>7017452</t>
  </si>
  <si>
    <t>89063</t>
  </si>
  <si>
    <t>12 / 20 / 100</t>
  </si>
  <si>
    <t>89,90</t>
  </si>
  <si>
    <t>9005801261033</t>
  </si>
  <si>
    <t>Nivea hydratační krém 500ml Soft</t>
  </si>
  <si>
    <t>7220022</t>
  </si>
  <si>
    <t>9005800380643</t>
  </si>
  <si>
    <t>8 / 20 / 80</t>
  </si>
  <si>
    <t>139,90</t>
  </si>
  <si>
    <t>Fresh Air náplň do osvěžovače 19ml Anti Tobacco</t>
  </si>
  <si>
    <t>7220763</t>
  </si>
  <si>
    <t>11901</t>
  </si>
  <si>
    <t>24.04.2025</t>
  </si>
  <si>
    <t>Fresh Air náplň do osvěžovače 19ml Aroma Therapy</t>
  </si>
  <si>
    <t>7220765</t>
  </si>
  <si>
    <t>11906</t>
  </si>
  <si>
    <t>Fresh Air náplň do osvěžovače 19ml Cappuccino</t>
  </si>
  <si>
    <t>7220764</t>
  </si>
  <si>
    <t>11905</t>
  </si>
  <si>
    <t>8699444266534</t>
  </si>
  <si>
    <t>Fresh Air náplň do osvěžovače 19ml Energy</t>
  </si>
  <si>
    <t>7220773</t>
  </si>
  <si>
    <t>11916</t>
  </si>
  <si>
    <t>Fresh Air náplň do osvěžovače 19ml Exotic Heaven</t>
  </si>
  <si>
    <t>7121680</t>
  </si>
  <si>
    <t>11902</t>
  </si>
  <si>
    <t>Fresh Air náplň do osvěžovače 19ml Forest Fruits</t>
  </si>
  <si>
    <t>7121690</t>
  </si>
  <si>
    <t>11912</t>
  </si>
  <si>
    <t>8699444266527</t>
  </si>
  <si>
    <t>Fresh Air náplň do osvěžovače 19ml Fresh Linen</t>
  </si>
  <si>
    <t>7220774</t>
  </si>
  <si>
    <t>11917</t>
  </si>
  <si>
    <t>Fresh Air náplň do osvěžovače 19ml Fruit Coctail</t>
  </si>
  <si>
    <t>7121681</t>
  </si>
  <si>
    <t>11903</t>
  </si>
  <si>
    <t>8699444266558</t>
  </si>
  <si>
    <t>Fresh Air náplň do osvěžovače 19ml Good Night</t>
  </si>
  <si>
    <t>7220777</t>
  </si>
  <si>
    <t>11920</t>
  </si>
  <si>
    <t>Fresh Air náplň do osvěžovače 19ml Grandmamma Pie</t>
  </si>
  <si>
    <t>7220769</t>
  </si>
  <si>
    <t>11911</t>
  </si>
  <si>
    <t>8699444266589</t>
  </si>
  <si>
    <t>Fresh Air náplň do osvěžovače 19ml Hawaii</t>
  </si>
  <si>
    <t>7220776</t>
  </si>
  <si>
    <t>11919</t>
  </si>
  <si>
    <t>8699444266596</t>
  </si>
  <si>
    <t>Fresh Air náplň do osvěžovače 19ml Jasmine&amp;Santal</t>
  </si>
  <si>
    <t>7220771</t>
  </si>
  <si>
    <t>11914</t>
  </si>
  <si>
    <t>8699444266565</t>
  </si>
  <si>
    <t>Fresh Air náplň do osvěžovače 19ml Lavender</t>
  </si>
  <si>
    <t>7220772</t>
  </si>
  <si>
    <t>11915</t>
  </si>
  <si>
    <t>Fresh Air náplň do osvěžovače 19ml Lemon&amp;Mint</t>
  </si>
  <si>
    <t>7121685</t>
  </si>
  <si>
    <t>11907</t>
  </si>
  <si>
    <t>Fresh Air náplň do osvěžovače 19ml Mango&amp;Cherry Blossom</t>
  </si>
  <si>
    <t>7220767</t>
  </si>
  <si>
    <t>11909</t>
  </si>
  <si>
    <t>Fresh Air náplň do osvěžovače 19ml Mix of Spices</t>
  </si>
  <si>
    <t>7121682</t>
  </si>
  <si>
    <t>11904</t>
  </si>
  <si>
    <t>Fresh Air náplň do osvěžovače 19ml Ocean Breeze</t>
  </si>
  <si>
    <t>7220768</t>
  </si>
  <si>
    <t>11910</t>
  </si>
  <si>
    <t>Fresh Air náplň do osvěžovače 19ml Sweets</t>
  </si>
  <si>
    <t>7220766</t>
  </si>
  <si>
    <t>11908</t>
  </si>
  <si>
    <t>8699444266572</t>
  </si>
  <si>
    <t>Fresh Air náplň do osvěžovače 19ml Vanilla</t>
  </si>
  <si>
    <t>7220775</t>
  </si>
  <si>
    <t>11918</t>
  </si>
  <si>
    <t>Fresh Air osvěžovač vzduchu 260ml Anti Tobacco</t>
  </si>
  <si>
    <t>7120178</t>
  </si>
  <si>
    <t>01.09.2024</t>
  </si>
  <si>
    <t>Fresh Air osvěžovač vzduchu 260ml Apple Cinnamon</t>
  </si>
  <si>
    <t>7027302</t>
  </si>
  <si>
    <t>48 / 9 / 108</t>
  </si>
  <si>
    <t>Fresh Air osvěžovač vzduchu 260ml Bouquet</t>
  </si>
  <si>
    <t>7123827</t>
  </si>
  <si>
    <t>Fresh Air osvěžovač vzduchu 260ml Bourbon</t>
  </si>
  <si>
    <t>7122927</t>
  </si>
  <si>
    <t>Fresh Air osvěžovač vzduchu 260ml Bubble Gum</t>
  </si>
  <si>
    <t>7128903</t>
  </si>
  <si>
    <t>25.08.2024</t>
  </si>
  <si>
    <t>Fresh Air osvěžovač vzduchu 260ml Cookies</t>
  </si>
  <si>
    <t>7128906</t>
  </si>
  <si>
    <t>Fresh Air osvěžovač vzduchu 260ml Cool ocean</t>
  </si>
  <si>
    <t>7120198</t>
  </si>
  <si>
    <t>008443</t>
  </si>
  <si>
    <t>Fresh Air osvěžovač vzduchu 260ml Forest</t>
  </si>
  <si>
    <t>7128904</t>
  </si>
  <si>
    <t>Fresh Air osvěžovač vzduchu 260ml Fresh Linen</t>
  </si>
  <si>
    <t>7121545</t>
  </si>
  <si>
    <t>11664</t>
  </si>
  <si>
    <t>Fresh Air osvěžovač vzduchu 260ml Good night</t>
  </si>
  <si>
    <t>7121543</t>
  </si>
  <si>
    <t>Fresh Air osvěžovač vzduchu 260ml Chocolate</t>
  </si>
  <si>
    <t>7128902</t>
  </si>
  <si>
    <t>Fresh Air osvěžovač vzduchu 260ml Indian Dream</t>
  </si>
  <si>
    <t>7028629</t>
  </si>
  <si>
    <t>Fresh Air osvěžovač vzduchu 260ml Jasmine</t>
  </si>
  <si>
    <t>7027304</t>
  </si>
  <si>
    <t>3042</t>
  </si>
  <si>
    <t>Fresh Air osvěžovač vzduchu 260ml Lavender</t>
  </si>
  <si>
    <t>7120177</t>
  </si>
  <si>
    <t>008436</t>
  </si>
  <si>
    <t>Fresh Air osvěžovač vzduchu 260ml Lemon</t>
  </si>
  <si>
    <t>7120180</t>
  </si>
  <si>
    <t>Fresh Air osvěžovač vzduchu 260ml Lilac</t>
  </si>
  <si>
    <t>7120378</t>
  </si>
  <si>
    <t>Fresh Air osvěžovač vzduchu 260ml Lliy of the Valley</t>
  </si>
  <si>
    <t>7027308</t>
  </si>
  <si>
    <t>Fresh Air osvěžovač vzduchu 260ml Mango</t>
  </si>
  <si>
    <t>7122926</t>
  </si>
  <si>
    <t>Fresh Air osvěžovač vzduchu 260ml Maracuja</t>
  </si>
  <si>
    <t>7128908</t>
  </si>
  <si>
    <t>Fresh Air osvěžovač vzduchu 260ml Marseille Soap</t>
  </si>
  <si>
    <t>7121541</t>
  </si>
  <si>
    <t>Fresh Air osvěžovač vzduchu 260ml Mediterranean</t>
  </si>
  <si>
    <t>7120202</t>
  </si>
  <si>
    <t>Fresh Air osvěžovač vzduchu 260ml Meloun</t>
  </si>
  <si>
    <t>7120179</t>
  </si>
  <si>
    <t>Fresh Air osvěžovač vzduchu 260ml Money</t>
  </si>
  <si>
    <t>7122928</t>
  </si>
  <si>
    <t>Fresh Air osvěžovač vzduchu 260ml New Aroma Therapy</t>
  </si>
  <si>
    <t>7121544</t>
  </si>
  <si>
    <t>Fresh Air osvěžovač vzduchu 260ml Patchouli</t>
  </si>
  <si>
    <t>7128907</t>
  </si>
  <si>
    <t>Fresh Air osvěžovač vzduchu 260ml Peach</t>
  </si>
  <si>
    <t>7128905</t>
  </si>
  <si>
    <t>Fresh Air osvěžovač vzduchu 260ml Pomegranate</t>
  </si>
  <si>
    <t>7123829</t>
  </si>
  <si>
    <t>Fresh Air osvěžovač vzduchu 260ml Raspberry</t>
  </si>
  <si>
    <t>7123831</t>
  </si>
  <si>
    <t>Fresh Air osvěžovač vzduchu 260ml Red Rose</t>
  </si>
  <si>
    <t>7120197</t>
  </si>
  <si>
    <t>7986</t>
  </si>
  <si>
    <t>Fresh Air osvěžovač vzduchu 260ml Strawberry</t>
  </si>
  <si>
    <t>7123830</t>
  </si>
  <si>
    <t>Fresh Air osvěžovač vzduchu 260ml Vanila Grass</t>
  </si>
  <si>
    <t>7123826</t>
  </si>
  <si>
    <t>Fresh Air osvěžovač vzduchu 260ml Violet</t>
  </si>
  <si>
    <t>7123828</t>
  </si>
  <si>
    <t>Fresh Air osvěžovač vzduchu 300ml Apple &amp; Cinnamon</t>
  </si>
  <si>
    <t>7028127</t>
  </si>
  <si>
    <t>Fresh Air osvěžovač vzduchu 300ml Aroma Therapy</t>
  </si>
  <si>
    <t>7122047</t>
  </si>
  <si>
    <t>Fresh Air osvěžovač vzduchu 300ml Bouquet</t>
  </si>
  <si>
    <t>7028128</t>
  </si>
  <si>
    <t>Fresh Air osvěžovač vzduchu 300ml Bourbon</t>
  </si>
  <si>
    <t>7122925</t>
  </si>
  <si>
    <t>Fresh Air osvěžovač vzduchu 300ml Buddble Gum</t>
  </si>
  <si>
    <t>7128909</t>
  </si>
  <si>
    <t>24 / 7 / 77</t>
  </si>
  <si>
    <t>Fresh Air osvěžovač vzduchu 300ml Cafe Latte</t>
  </si>
  <si>
    <t>7128910</t>
  </si>
  <si>
    <t>Fresh Air osvěžovač vzduchu 300ml Coctail</t>
  </si>
  <si>
    <t>7123823</t>
  </si>
  <si>
    <t>Fresh Air osvěžovač vzduchu 300ml Forest</t>
  </si>
  <si>
    <t>7122924</t>
  </si>
  <si>
    <t>Fresh Air osvěžovač vzduchu 300ml Fresh Linen</t>
  </si>
  <si>
    <t>7122048</t>
  </si>
  <si>
    <t>Fresh Air osvěžovač vzduchu 300ml Indian Dream</t>
  </si>
  <si>
    <t>7122922</t>
  </si>
  <si>
    <t>Fresh Air osvěžovač vzduchu 300ml Jasmine</t>
  </si>
  <si>
    <t>7028129</t>
  </si>
  <si>
    <t>Fresh Air osvěžovač vzduchu 300ml Lavender</t>
  </si>
  <si>
    <t>7028130</t>
  </si>
  <si>
    <t>Fresh Air osvěžovač vzduchu 300ml Lemon</t>
  </si>
  <si>
    <t>7028131</t>
  </si>
  <si>
    <t>Fresh Air osvěžovač vzduchu 300ml Lilac</t>
  </si>
  <si>
    <t>7028201</t>
  </si>
  <si>
    <t>24 / 11 / 77</t>
  </si>
  <si>
    <t>Fresh Air osvěžovač vzduchu 300ml Lily</t>
  </si>
  <si>
    <t>7123820</t>
  </si>
  <si>
    <t>Fresh Air osvěžovač vzduchu 300ml Mango</t>
  </si>
  <si>
    <t>7122923</t>
  </si>
  <si>
    <t>Fresh Air osvěžovač vzduchu 300ml Mix Berries</t>
  </si>
  <si>
    <t>7123825</t>
  </si>
  <si>
    <t>Fresh Air osvěžovač vzduchu 300ml Money</t>
  </si>
  <si>
    <t>7128912</t>
  </si>
  <si>
    <t>Fresh Air osvěžovač vzduchu 300ml Ocean</t>
  </si>
  <si>
    <t>7028133</t>
  </si>
  <si>
    <t>Fresh Air osvěžovač vzduchu 300ml Orange</t>
  </si>
  <si>
    <t>7123819</t>
  </si>
  <si>
    <t>Fresh Air osvěžovač vzduchu 300ml Orchid</t>
  </si>
  <si>
    <t>7123824</t>
  </si>
  <si>
    <t>Fresh Air osvěžovač vzduchu 300ml Rose</t>
  </si>
  <si>
    <t>7028134</t>
  </si>
  <si>
    <t>Fresh Air osvěžovač vzduchu 300ml Strawberry</t>
  </si>
  <si>
    <t>7123821</t>
  </si>
  <si>
    <t>Fresh Air osvěžovač vzduchu 300ml Tropica Beach</t>
  </si>
  <si>
    <t>7122049</t>
  </si>
  <si>
    <t>Fresh Air osvěžovač vzduchu 300ml Tutti Frutti</t>
  </si>
  <si>
    <t>7123822</t>
  </si>
  <si>
    <t>Fresh Air osvěžovač vzduchu 300ml Vanilla</t>
  </si>
  <si>
    <t>7028135</t>
  </si>
  <si>
    <t>Fresh Air osvěžovač vzduchu 300ml Violet</t>
  </si>
  <si>
    <t>7128911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</si>
</sst>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charset val="238"/>
      <scheme val="minor"/>
    </font>
    <font>
      <b/>
      <sz val="14"/>
      <color indexed="12"/>
      <name val="Arial CE"/>
      <family val="2"/>
      <charset val="238"/>
    </font>
    <font>
      <b/>
      <sz val="10"/>
      <color indexed="12"/>
      <name val="Arial CE"/>
      <family val="2"/>
      <charset val="238"/>
    </font>
    <font>
      <sz val="10"/>
      <name val="Arial CE"/>
      <family val="2"/>
      <charset val="238"/>
    </font>
    <font>
      <sz val="14"/>
      <name val="Arial CE"/>
      <family val="2"/>
      <charset val="238"/>
    </font>
    <font>
      <b/>
      <sz val="30"/>
      <color indexed="16"/>
      <name val="Arial CE"/>
      <family val="2"/>
      <charset val="238"/>
    </font>
    <font>
      <sz val="14"/>
      <name val="Arial CE"/>
      <charset val="238"/>
    </font>
    <font>
      <b/>
      <sz val="14"/>
      <name val="Arial CE"/>
      <family val="2"/>
      <charset val="238"/>
    </font>
    <font>
      <sz val="9"/>
      <name val="Arial CE"/>
      <family val="2"/>
      <charset val="238"/>
    </font>
    <font>
      <b/>
      <sz val="10"/>
      <name val="Arial CE"/>
      <family val="2"/>
      <charset val="238"/>
    </font>
    <font>
      <sz val="10"/>
      <name val="Arial CE"/>
      <charset val="238"/>
    </font>
    <font>
      <sz val="8"/>
      <name val="Arial CE"/>
      <charset val="238"/>
    </font>
    <font>
      <sz val="10"/>
      <color indexed="16"/>
      <name val="Arial CE"/>
      <family val="2"/>
      <charset val="238"/>
    </font>
    <font>
      <b/>
      <sz val="9"/>
      <name val="Arial CE"/>
      <charset val="238"/>
    </font>
    <font>
      <sz val="10"/>
      <name val="Arial"/>
      <family val="2"/>
      <charset val="238"/>
    </font>
    <font>
      <b/>
      <sz val="10"/>
      <name val="Arial"/>
      <family val="2"/>
      <charset val="238"/>
    </font>
    <font>
      <b/>
      <sz val="9"/>
      <name val="Arial CE"/>
      <family val="2"/>
      <charset val="238"/>
    </font>
    <font>
      <b/>
      <sz val="10"/>
      <name val="Arial CE"/>
      <charset val="238"/>
    </font>
    <font>
      <b/>
      <sz val="10"/>
      <color indexed="10"/>
      <name val="Arial CE"/>
      <family val="2"/>
      <charset val="238"/>
    </font>
    <font>
      <sz val="10"/>
      <color indexed="10"/>
      <name val="Arial CE"/>
      <family val="2"/>
      <charset val="238"/>
    </font>
    <font>
      <b/>
      <sz val="12"/>
      <name val="Arial CE"/>
      <family val="2"/>
      <charset val="238"/>
    </font>
    <font>
      <b/>
      <sz val="14"/>
      <color indexed="8"/>
      <name val="Arial CE"/>
      <family val="2"/>
      <charset val="238"/>
    </font>
    <font>
      <b/>
      <sz val="9"/>
      <color indexed="81"/>
      <name val="Tahoma"/>
      <family val="2"/>
      <charset val="238"/>
    </font>
  </fonts>
  <fills count="23">
    <fill>
      <patternFill patternType="none"/>
    </fill>
    <fill>
      <patternFill patternType="gray125"/>
    </fill>
    <fill>
      <patternFill patternType="solid">
        <fgColor indexed="22"/>
        <bgColor indexed="31"/>
      </patternFill>
    </fill>
    <fill>
      <patternFill patternType="solid">
        <fgColor indexed="22"/>
        <bgColor indexed="64"/>
      </patternFill>
    </fill>
    <fill>
      <patternFill patternType="solid">
        <fgColor indexed="45"/>
        <bgColor indexed="64"/>
      </patternFill>
    </fill>
    <fill>
      <patternFill patternType="solid">
        <fgColor indexed="14"/>
        <bgColor indexed="33"/>
      </patternFill>
    </fill>
    <fill>
      <patternFill patternType="solid">
        <fgColor indexed="27"/>
        <bgColor indexed="64"/>
      </patternFill>
    </fill>
    <fill>
      <patternFill patternType="solid">
        <fgColor indexed="42"/>
        <bgColor indexed="64"/>
      </patternFill>
    </fill>
    <fill>
      <patternFill patternType="solid">
        <fgColor indexed="13"/>
        <bgColor indexed="64"/>
      </patternFill>
    </fill>
    <fill>
      <patternFill patternType="solid">
        <fgColor indexed="11"/>
        <bgColor indexed="34"/>
      </patternFill>
    </fill>
    <fill>
      <patternFill patternType="solid">
        <fgColor indexed="44"/>
        <bgColor indexed="34"/>
      </patternFill>
    </fill>
    <fill>
      <patternFill patternType="solid">
        <fgColor indexed="13"/>
        <bgColor indexed="34"/>
      </patternFill>
    </fill>
    <fill>
      <patternFill patternType="solid">
        <fgColor indexed="50"/>
        <bgColor indexed="64"/>
      </patternFill>
    </fill>
    <fill>
      <patternFill patternType="solid">
        <fgColor indexed="13"/>
        <bgColor indexed="31"/>
      </patternFill>
    </fill>
    <fill>
      <patternFill patternType="solid">
        <fgColor indexed="15"/>
        <bgColor indexed="35"/>
      </patternFill>
    </fill>
    <fill>
      <patternFill patternType="solid">
        <fgColor indexed="46"/>
        <bgColor indexed="31"/>
      </patternFill>
    </fill>
    <fill>
      <patternFill patternType="solid">
        <fgColor indexed="44"/>
        <bgColor indexed="31"/>
      </patternFill>
    </fill>
    <fill>
      <patternFill patternType="solid">
        <fgColor indexed="44"/>
        <bgColor indexed="64"/>
      </patternFill>
    </fill>
    <fill>
      <patternFill patternType="solid">
        <fgColor indexed="15"/>
        <bgColor indexed="64"/>
      </patternFill>
    </fill>
    <fill>
      <patternFill patternType="solid">
        <fgColor indexed="47"/>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top style="thin">
        <color indexed="8"/>
      </top>
      <bottom style="medium">
        <color indexed="8"/>
      </bottom>
      <diagonal/>
    </border>
    <border>
      <left style="medium">
        <color indexed="64"/>
      </left>
      <right/>
      <top/>
      <bottom/>
      <diagonal/>
    </border>
    <border>
      <left style="thick">
        <color indexed="8"/>
      </left>
      <right style="thick">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style="thick">
        <color indexed="8"/>
      </left>
      <right style="thick">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right/>
      <top/>
      <bottom style="thin">
        <color indexed="64"/>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style="medium">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64"/>
      </bottom>
      <diagonal/>
    </border>
    <border>
      <left style="thin">
        <color indexed="8"/>
      </left>
      <right/>
      <top style="thin">
        <color indexed="8"/>
      </top>
      <bottom/>
      <diagonal/>
    </border>
    <border>
      <left style="thin">
        <color indexed="64"/>
      </left>
      <right style="thin">
        <color indexed="8"/>
      </right>
      <top style="thin">
        <color indexed="64"/>
      </top>
      <bottom style="medium">
        <color indexed="64"/>
      </bottom>
      <diagonal/>
    </border>
    <border>
      <left style="medium">
        <color indexed="64"/>
      </left>
      <right/>
      <top style="medium">
        <color indexed="64"/>
      </top>
      <bottom/>
      <diagonal/>
    </border>
    <border>
      <left style="thick">
        <color indexed="8"/>
      </left>
      <right style="thick">
        <color indexed="8"/>
      </right>
      <top style="medium">
        <color indexed="8"/>
      </top>
      <bottom style="double">
        <color indexed="8"/>
      </bottom>
      <diagonal/>
    </border>
    <border>
      <left/>
      <right/>
      <top style="double">
        <color indexed="64"/>
      </top>
      <bottom style="double">
        <color indexed="64"/>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8"/>
      </bottom>
      <diagonal/>
    </border>
    <border>
      <left style="thick">
        <color indexed="64"/>
      </left>
      <right style="thick">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8"/>
      </right>
      <top style="medium">
        <color indexed="8"/>
      </top>
      <bottom style="medium">
        <color indexed="64"/>
      </bottom>
      <diagonal/>
    </border>
    <border>
      <left style="thin">
        <color indexed="64"/>
      </left>
      <right style="thin">
        <color indexed="64"/>
      </right>
      <top style="thin">
        <color indexed="64"/>
      </top>
      <bottom style="medium">
        <color indexed="8"/>
      </bottom>
      <diagonal/>
    </border>
    <border>
      <left style="thick">
        <color indexed="64"/>
      </left>
      <right style="thick">
        <color indexed="64"/>
      </right>
      <top style="medium">
        <color indexed="64"/>
      </top>
      <bottom style="medium">
        <color indexed="8"/>
      </bottom>
      <diagonal/>
    </border>
    <border>
      <left/>
      <right style="thin">
        <color indexed="64"/>
      </right>
      <top style="thin">
        <color indexed="64"/>
      </top>
      <bottom style="medium">
        <color indexed="8"/>
      </bottom>
      <diagonal/>
    </border>
    <border>
      <left style="thin">
        <color indexed="64"/>
      </left>
      <right style="thin">
        <color indexed="8"/>
      </right>
      <top style="thin">
        <color indexed="64"/>
      </top>
      <bottom style="medium">
        <color indexed="8"/>
      </bottom>
      <diagonal/>
    </border>
    <border>
      <left style="thick">
        <color indexed="64"/>
      </left>
      <right style="thick">
        <color indexed="64"/>
      </right>
      <top/>
      <bottom style="medium">
        <color indexed="64"/>
      </bottom>
      <diagonal/>
    </border>
    <border>
      <left style="thick">
        <color indexed="8"/>
      </left>
      <right style="thick">
        <color indexed="8"/>
      </right>
      <top style="medium">
        <color indexed="8"/>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top style="medium">
        <color indexed="64"/>
      </top>
      <bottom style="medium">
        <color indexed="8"/>
      </bottom>
      <diagonal/>
    </border>
    <border>
      <left/>
      <right/>
      <top style="medium">
        <color indexed="8"/>
      </top>
      <bottom/>
      <diagonal/>
    </border>
    <border>
      <left style="thick">
        <color indexed="64"/>
      </left>
      <right style="thick">
        <color indexed="64"/>
      </right>
      <top style="medium">
        <color indexed="8"/>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8"/>
      </right>
      <top style="medium">
        <color indexed="8"/>
      </top>
      <bottom style="thin">
        <color indexed="64"/>
      </bottom>
      <diagonal/>
    </border>
    <border>
      <left/>
      <right style="thin">
        <color indexed="64"/>
      </right>
      <top style="thin">
        <color indexed="64"/>
      </top>
      <bottom/>
      <diagonal/>
    </border>
    <border>
      <left style="thin">
        <color indexed="64"/>
      </left>
      <right style="thin">
        <color indexed="64"/>
      </right>
      <top style="medium">
        <color indexed="8"/>
      </top>
      <bottom/>
      <diagonal/>
    </border>
    <border>
      <left style="thin">
        <color indexed="64"/>
      </left>
      <right style="thin">
        <color indexed="8"/>
      </right>
      <top style="medium">
        <color indexed="8"/>
      </top>
      <bottom/>
      <diagonal/>
    </border>
    <border>
      <left style="thin">
        <color indexed="8"/>
      </left>
      <right style="thin">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thin">
        <color indexed="8"/>
      </right>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diagonal/>
    </border>
    <border>
      <left/>
      <right/>
      <top style="medium">
        <color indexed="8"/>
      </top>
      <bottom style="medium">
        <color indexed="8"/>
      </bottom>
      <diagonal/>
    </border>
    <border>
      <left style="thick">
        <color indexed="64"/>
      </left>
      <right style="thick">
        <color indexed="64"/>
      </right>
      <top/>
      <bottom/>
      <diagonal/>
    </border>
  </borders>
  <cellStyleXfs count="3">
    <xf numFmtId="0" fontId="0" fillId="0" borderId="0"/>
    <xf numFmtId="0" fontId="3" fillId="0" borderId="0"/>
    <xf numFmtId="0" fontId="14" fillId="0" borderId="0"/>
  </cellStyleXfs>
  <cellXfs count="352">
    <xf numFmtId="0" fontId="0" fillId="0" borderId="0" xfId="0"/>
    <xf numFmtId="49" fontId="4" fillId="0" borderId="0" xfId="1" applyNumberFormat="1" applyFont="1" applyAlignment="1">
      <alignment horizontal="center" vertical="center"/>
    </xf>
    <xf numFmtId="1" fontId="5" fillId="2" borderId="0" xfId="1" applyNumberFormat="1" applyFont="1" applyFill="1" applyAlignment="1">
      <alignment horizontal="left" vertical="center"/>
    </xf>
    <xf numFmtId="0" fontId="6" fillId="2" borderId="0" xfId="1" applyFont="1" applyFill="1" applyAlignment="1">
      <alignment horizontal="center" vertical="center"/>
    </xf>
    <xf numFmtId="0" fontId="4" fillId="2" borderId="0" xfId="1" applyFont="1" applyFill="1" applyAlignment="1">
      <alignment horizontal="left" vertical="center"/>
    </xf>
    <xf numFmtId="0" fontId="6" fillId="2" borderId="0" xfId="1" applyFont="1" applyFill="1" applyAlignment="1">
      <alignment horizontal="left" vertical="center"/>
    </xf>
    <xf numFmtId="0" fontId="4" fillId="2" borderId="0" xfId="1" applyFont="1" applyFill="1" applyAlignment="1">
      <alignment horizontal="center" vertical="center"/>
    </xf>
    <xf numFmtId="2" fontId="7" fillId="3" borderId="0" xfId="1" applyNumberFormat="1" applyFont="1" applyFill="1" applyAlignment="1">
      <alignment horizontal="center" vertical="center"/>
    </xf>
    <xf numFmtId="49" fontId="3" fillId="3" borderId="0" xfId="1" applyNumberFormat="1" applyFill="1" applyAlignment="1">
      <alignment horizontal="center" vertical="center"/>
    </xf>
    <xf numFmtId="0" fontId="3" fillId="3" borderId="0" xfId="1" applyFill="1" applyAlignment="1">
      <alignment horizontal="left" vertical="center" wrapText="1"/>
    </xf>
    <xf numFmtId="49" fontId="3" fillId="3" borderId="0" xfId="1" applyNumberFormat="1" applyFill="1" applyAlignment="1">
      <alignment horizontal="center" vertical="center" wrapText="1"/>
    </xf>
    <xf numFmtId="0" fontId="3" fillId="3" borderId="0" xfId="1" applyFill="1" applyAlignment="1">
      <alignment horizontal="center" vertical="center" wrapText="1"/>
    </xf>
    <xf numFmtId="1" fontId="3" fillId="3" borderId="0" xfId="1" applyNumberFormat="1" applyFill="1" applyAlignment="1">
      <alignment horizontal="center" vertical="center" wrapText="1"/>
    </xf>
    <xf numFmtId="1" fontId="3" fillId="3" borderId="0" xfId="1" applyNumberFormat="1" applyFill="1" applyAlignment="1">
      <alignment horizontal="center" vertical="center"/>
    </xf>
    <xf numFmtId="2" fontId="3" fillId="3" borderId="0" xfId="1" applyNumberFormat="1" applyFill="1" applyAlignment="1">
      <alignment horizontal="center" vertical="center"/>
    </xf>
    <xf numFmtId="0" fontId="8" fillId="3" borderId="0" xfId="1" applyFont="1" applyFill="1" applyAlignment="1">
      <alignment horizontal="center" vertical="center" wrapText="1"/>
    </xf>
    <xf numFmtId="0" fontId="3" fillId="3" borderId="0" xfId="1" applyFill="1" applyAlignment="1">
      <alignment horizontal="left" vertical="center"/>
    </xf>
    <xf numFmtId="0" fontId="9" fillId="3" borderId="0" xfId="1" applyFont="1" applyFill="1" applyAlignment="1">
      <alignment horizontal="center" vertical="center"/>
    </xf>
    <xf numFmtId="0" fontId="3" fillId="3" borderId="0" xfId="1" applyFill="1" applyAlignment="1">
      <alignment horizontal="center" vertical="center"/>
    </xf>
    <xf numFmtId="1" fontId="10" fillId="3" borderId="0" xfId="1" applyNumberFormat="1" applyFont="1" applyFill="1" applyAlignment="1">
      <alignment horizontal="center" vertical="center"/>
    </xf>
    <xf numFmtId="0" fontId="3" fillId="4" borderId="0" xfId="1" applyFill="1" applyAlignment="1">
      <alignment vertical="center"/>
    </xf>
    <xf numFmtId="0" fontId="3" fillId="0" borderId="0" xfId="1" applyAlignment="1">
      <alignment horizontal="center" vertical="center"/>
    </xf>
    <xf numFmtId="0" fontId="3" fillId="0" borderId="0" xfId="1" applyAlignment="1">
      <alignment vertical="center"/>
    </xf>
    <xf numFmtId="0" fontId="3" fillId="0" borderId="0" xfId="1" applyAlignment="1">
      <alignment horizontal="left" vertical="center"/>
    </xf>
    <xf numFmtId="0" fontId="3" fillId="3" borderId="0" xfId="1" applyFill="1" applyAlignment="1">
      <alignment vertical="center"/>
    </xf>
    <xf numFmtId="49" fontId="3" fillId="0" borderId="0" xfId="1" applyNumberFormat="1" applyAlignment="1">
      <alignment horizontal="center" vertical="center"/>
    </xf>
    <xf numFmtId="1" fontId="9" fillId="2" borderId="1" xfId="1" applyNumberFormat="1" applyFont="1" applyFill="1" applyBorder="1" applyAlignment="1">
      <alignment horizontal="left" vertical="center"/>
    </xf>
    <xf numFmtId="0" fontId="11" fillId="0" borderId="1" xfId="1" applyFont="1" applyBorder="1" applyAlignment="1">
      <alignment horizontal="center" vertical="center"/>
    </xf>
    <xf numFmtId="0" fontId="12" fillId="2" borderId="0" xfId="1" applyFont="1" applyFill="1" applyAlignment="1">
      <alignment horizontal="left" vertical="center"/>
    </xf>
    <xf numFmtId="0" fontId="3" fillId="2" borderId="0" xfId="1" applyFill="1" applyAlignment="1">
      <alignment horizontal="left" vertical="center"/>
    </xf>
    <xf numFmtId="0" fontId="10" fillId="2" borderId="0" xfId="1" applyFont="1" applyFill="1" applyAlignment="1">
      <alignment horizontal="left" vertical="center"/>
    </xf>
    <xf numFmtId="0" fontId="3" fillId="2" borderId="0" xfId="1" applyFill="1" applyAlignment="1">
      <alignment horizontal="center" vertical="center"/>
    </xf>
    <xf numFmtId="2" fontId="9" fillId="3" borderId="0" xfId="1" applyNumberFormat="1" applyFont="1" applyFill="1" applyAlignment="1">
      <alignment horizontal="center" vertical="center"/>
    </xf>
    <xf numFmtId="0" fontId="9" fillId="3" borderId="0" xfId="1" applyFont="1" applyFill="1" applyAlignment="1">
      <alignment horizontal="center" vertical="center" wrapText="1"/>
    </xf>
    <xf numFmtId="2" fontId="3" fillId="3" borderId="0" xfId="1" applyNumberFormat="1" applyFill="1" applyAlignment="1">
      <alignment horizontal="center" vertical="center" wrapText="1"/>
    </xf>
    <xf numFmtId="1" fontId="3" fillId="2" borderId="0" xfId="1" applyNumberFormat="1" applyFill="1" applyAlignment="1">
      <alignment horizontal="left" vertical="center"/>
    </xf>
    <xf numFmtId="0" fontId="10" fillId="2" borderId="0" xfId="1" applyFont="1" applyFill="1" applyAlignment="1">
      <alignment horizontal="center" vertical="center"/>
    </xf>
    <xf numFmtId="0" fontId="3" fillId="5" borderId="1" xfId="1" applyFill="1" applyBorder="1" applyAlignment="1">
      <alignment horizontal="left" vertical="center"/>
    </xf>
    <xf numFmtId="14" fontId="10" fillId="0" borderId="1" xfId="1" applyNumberFormat="1" applyFont="1" applyBorder="1" applyAlignment="1">
      <alignment horizontal="left" vertical="center"/>
    </xf>
    <xf numFmtId="0" fontId="13" fillId="6" borderId="1" xfId="1" applyFont="1" applyFill="1" applyBorder="1" applyAlignment="1">
      <alignment horizontal="center" vertical="center" wrapText="1"/>
    </xf>
    <xf numFmtId="0" fontId="9" fillId="6" borderId="2" xfId="1" applyFont="1" applyFill="1" applyBorder="1" applyAlignment="1">
      <alignment horizontal="center" vertical="center" shrinkToFit="1"/>
    </xf>
    <xf numFmtId="0" fontId="9" fillId="6" borderId="3" xfId="1" applyFont="1" applyFill="1" applyBorder="1" applyAlignment="1">
      <alignment horizontal="center" vertical="center" shrinkToFit="1"/>
    </xf>
    <xf numFmtId="0" fontId="15" fillId="3" borderId="0" xfId="2" applyFont="1" applyFill="1" applyAlignment="1">
      <alignment horizontal="center" vertical="center"/>
    </xf>
    <xf numFmtId="1" fontId="3" fillId="7" borderId="1" xfId="1" applyNumberFormat="1" applyFill="1" applyBorder="1" applyAlignment="1">
      <alignment horizontal="center" vertical="center" wrapText="1"/>
    </xf>
    <xf numFmtId="1" fontId="9" fillId="0" borderId="1" xfId="1" applyNumberFormat="1" applyFont="1" applyBorder="1" applyAlignment="1">
      <alignment horizontal="center" vertical="center" wrapText="1"/>
    </xf>
    <xf numFmtId="1" fontId="9" fillId="3" borderId="0" xfId="1" applyNumberFormat="1" applyFont="1" applyFill="1" applyAlignment="1">
      <alignment horizontal="center" vertical="center"/>
    </xf>
    <xf numFmtId="1" fontId="9" fillId="3" borderId="0" xfId="1" applyNumberFormat="1" applyFont="1" applyFill="1" applyAlignment="1">
      <alignment horizontal="center" vertical="center" wrapText="1"/>
    </xf>
    <xf numFmtId="0" fontId="16" fillId="6" borderId="1" xfId="1" applyFont="1" applyFill="1" applyBorder="1" applyAlignment="1">
      <alignment horizontal="center" vertical="center" wrapText="1"/>
    </xf>
    <xf numFmtId="0" fontId="17" fillId="6" borderId="2" xfId="1" applyFont="1" applyFill="1" applyBorder="1" applyAlignment="1">
      <alignment horizontal="center" vertical="center" shrinkToFit="1"/>
    </xf>
    <xf numFmtId="0" fontId="17" fillId="6" borderId="3" xfId="1" applyFont="1" applyFill="1" applyBorder="1" applyAlignment="1">
      <alignment horizontal="center" vertical="center" shrinkToFit="1"/>
    </xf>
    <xf numFmtId="49" fontId="18" fillId="8" borderId="1" xfId="1" applyNumberFormat="1" applyFont="1" applyFill="1" applyBorder="1" applyAlignment="1">
      <alignment horizontal="center" vertical="center" shrinkToFit="1"/>
    </xf>
    <xf numFmtId="1" fontId="3" fillId="0" borderId="1" xfId="1" applyNumberFormat="1" applyBorder="1" applyAlignment="1">
      <alignment horizontal="center" vertical="center" wrapText="1"/>
    </xf>
    <xf numFmtId="1" fontId="3" fillId="0" borderId="1" xfId="1" quotePrefix="1" applyNumberFormat="1" applyBorder="1" applyAlignment="1">
      <alignment horizontal="center" vertical="center" wrapText="1"/>
    </xf>
    <xf numFmtId="1" fontId="3" fillId="3" borderId="4" xfId="1" applyNumberFormat="1" applyFill="1" applyBorder="1" applyAlignment="1">
      <alignment horizontal="center" vertical="center" wrapText="1"/>
    </xf>
    <xf numFmtId="2" fontId="18" fillId="8" borderId="1" xfId="1" applyNumberFormat="1" applyFont="1" applyFill="1" applyBorder="1" applyAlignment="1">
      <alignment horizontal="center" vertical="center" shrinkToFit="1"/>
    </xf>
    <xf numFmtId="0" fontId="17" fillId="6" borderId="1" xfId="1" applyFont="1" applyFill="1" applyBorder="1" applyAlignment="1">
      <alignment horizontal="center" vertical="center" wrapText="1"/>
    </xf>
    <xf numFmtId="0" fontId="9" fillId="6" borderId="1" xfId="1" applyFont="1" applyFill="1" applyBorder="1" applyAlignment="1">
      <alignment horizontal="center" vertical="center" wrapText="1"/>
    </xf>
    <xf numFmtId="49" fontId="3" fillId="0" borderId="5" xfId="1" applyNumberFormat="1" applyBorder="1" applyAlignment="1">
      <alignment horizontal="center" vertical="center" wrapText="1"/>
    </xf>
    <xf numFmtId="1" fontId="3" fillId="9" borderId="5" xfId="1" applyNumberFormat="1" applyFill="1" applyBorder="1" applyAlignment="1">
      <alignment horizontal="left" vertical="center" wrapText="1"/>
    </xf>
    <xf numFmtId="0" fontId="10" fillId="10" borderId="5" xfId="1" applyFont="1" applyFill="1" applyBorder="1" applyAlignment="1">
      <alignment horizontal="center" vertical="center" wrapText="1"/>
    </xf>
    <xf numFmtId="0" fontId="3" fillId="9" borderId="5" xfId="1" applyFill="1" applyBorder="1" applyAlignment="1">
      <alignment horizontal="left" vertical="center" wrapText="1"/>
    </xf>
    <xf numFmtId="0" fontId="10" fillId="9" borderId="5" xfId="1" applyFont="1" applyFill="1" applyBorder="1" applyAlignment="1">
      <alignment horizontal="left" vertical="center" wrapText="1"/>
    </xf>
    <xf numFmtId="0" fontId="3" fillId="9" borderId="5" xfId="1" applyFill="1" applyBorder="1" applyAlignment="1">
      <alignment horizontal="center" vertical="center" wrapText="1"/>
    </xf>
    <xf numFmtId="2" fontId="9" fillId="9" borderId="5" xfId="1" applyNumberFormat="1" applyFont="1" applyFill="1" applyBorder="1" applyAlignment="1">
      <alignment horizontal="center" vertical="center" wrapText="1"/>
    </xf>
    <xf numFmtId="2" fontId="9" fillId="11" borderId="6" xfId="1" applyNumberFormat="1" applyFont="1" applyFill="1" applyBorder="1" applyAlignment="1">
      <alignment horizontal="center" vertical="center"/>
    </xf>
    <xf numFmtId="49" fontId="3" fillId="9" borderId="5" xfId="1" applyNumberFormat="1" applyFill="1" applyBorder="1" applyAlignment="1">
      <alignment horizontal="center" vertical="center" wrapText="1"/>
    </xf>
    <xf numFmtId="1" fontId="3" fillId="9" borderId="6" xfId="1" applyNumberFormat="1" applyFill="1" applyBorder="1" applyAlignment="1">
      <alignment horizontal="center" vertical="center" wrapText="1"/>
    </xf>
    <xf numFmtId="1" fontId="3" fillId="9" borderId="5" xfId="1" applyNumberFormat="1" applyFill="1" applyBorder="1" applyAlignment="1">
      <alignment horizontal="center" vertical="center" wrapText="1"/>
    </xf>
    <xf numFmtId="2" fontId="9" fillId="11" borderId="6" xfId="1" applyNumberFormat="1" applyFont="1" applyFill="1" applyBorder="1" applyAlignment="1">
      <alignment horizontal="center" vertical="center" wrapText="1"/>
    </xf>
    <xf numFmtId="14" fontId="8" fillId="9" borderId="6" xfId="1" applyNumberFormat="1" applyFont="1" applyFill="1" applyBorder="1" applyAlignment="1">
      <alignment horizontal="center" vertical="center" wrapText="1"/>
    </xf>
    <xf numFmtId="14" fontId="3" fillId="9" borderId="6" xfId="1" applyNumberFormat="1" applyFill="1" applyBorder="1" applyAlignment="1">
      <alignment horizontal="center" vertical="center" wrapText="1"/>
    </xf>
    <xf numFmtId="0" fontId="9" fillId="11" borderId="5" xfId="1" applyFont="1" applyFill="1" applyBorder="1" applyAlignment="1">
      <alignment horizontal="center" vertical="center" wrapText="1"/>
    </xf>
    <xf numFmtId="1" fontId="3" fillId="9" borderId="7" xfId="1" applyNumberFormat="1" applyFill="1" applyBorder="1" applyAlignment="1">
      <alignment horizontal="center" vertical="center" wrapText="1"/>
    </xf>
    <xf numFmtId="0" fontId="3" fillId="4" borderId="0" xfId="1" applyFill="1" applyAlignment="1">
      <alignment vertical="center" wrapText="1"/>
    </xf>
    <xf numFmtId="0" fontId="17" fillId="8" borderId="1" xfId="1" applyFont="1" applyFill="1" applyBorder="1" applyAlignment="1">
      <alignment horizontal="center" vertical="center" wrapText="1"/>
    </xf>
    <xf numFmtId="0" fontId="3" fillId="0" borderId="0" xfId="1" applyAlignment="1">
      <alignment vertical="center" wrapText="1"/>
    </xf>
    <xf numFmtId="0" fontId="9" fillId="12" borderId="0" xfId="1" applyFont="1" applyFill="1" applyAlignment="1">
      <alignment horizontal="left" vertical="center" wrapText="1"/>
    </xf>
    <xf numFmtId="0" fontId="3" fillId="0" borderId="0" xfId="1" applyAlignment="1">
      <alignment horizontal="center" vertical="center" wrapText="1"/>
    </xf>
    <xf numFmtId="0" fontId="19" fillId="13" borderId="0" xfId="1" applyFont="1" applyFill="1" applyAlignment="1">
      <alignment vertical="center" wrapText="1"/>
    </xf>
    <xf numFmtId="0" fontId="3" fillId="0" borderId="8" xfId="1" applyBorder="1" applyAlignment="1">
      <alignment horizontal="center" vertical="center"/>
    </xf>
    <xf numFmtId="1" fontId="3" fillId="0" borderId="0" xfId="1" quotePrefix="1" applyNumberFormat="1" applyAlignment="1">
      <alignment horizontal="left" vertical="center"/>
    </xf>
    <xf numFmtId="0" fontId="10" fillId="0" borderId="0" xfId="1" applyFont="1" applyAlignment="1">
      <alignment horizontal="center" vertical="center"/>
    </xf>
    <xf numFmtId="0" fontId="10" fillId="0" borderId="0" xfId="1" applyFont="1" applyAlignment="1">
      <alignment horizontal="left" vertical="center"/>
    </xf>
    <xf numFmtId="2" fontId="9" fillId="0" borderId="9" xfId="1" applyNumberFormat="1" applyFont="1" applyBorder="1" applyAlignment="1">
      <alignment horizontal="center" vertical="center"/>
    </xf>
    <xf numFmtId="2" fontId="3" fillId="0" borderId="0" xfId="1" applyNumberFormat="1" applyAlignment="1">
      <alignment horizontal="center" vertical="center"/>
    </xf>
    <xf numFmtId="0" fontId="3" fillId="0" borderId="0" xfId="1" quotePrefix="1" applyAlignment="1" applyProtection="1">
      <alignment horizontal="center" vertical="center"/>
      <protection locked="0"/>
    </xf>
    <xf numFmtId="0" fontId="3" fillId="0" borderId="0" xfId="1" quotePrefix="1" applyAlignment="1">
      <alignment horizontal="center" vertical="center"/>
    </xf>
    <xf numFmtId="1" fontId="3" fillId="0" borderId="0" xfId="1" applyNumberFormat="1" applyAlignment="1">
      <alignment horizontal="center" vertical="center"/>
    </xf>
    <xf numFmtId="1" fontId="3" fillId="14" borderId="10" xfId="1" applyNumberFormat="1" applyFill="1" applyBorder="1" applyAlignment="1">
      <alignment horizontal="center" vertical="center"/>
    </xf>
    <xf numFmtId="1" fontId="3" fillId="0" borderId="11" xfId="1" applyNumberFormat="1" applyBorder="1" applyAlignment="1">
      <alignment horizontal="center" vertical="center" wrapText="1"/>
    </xf>
    <xf numFmtId="1" fontId="3" fillId="0" borderId="10" xfId="1" applyNumberFormat="1" applyBorder="1" applyAlignment="1">
      <alignment horizontal="center" vertical="center"/>
    </xf>
    <xf numFmtId="2" fontId="3" fillId="0" borderId="11" xfId="1" applyNumberFormat="1" applyBorder="1" applyAlignment="1">
      <alignment horizontal="center" vertical="center"/>
    </xf>
    <xf numFmtId="0" fontId="8" fillId="15" borderId="12" xfId="1" applyFont="1" applyFill="1" applyBorder="1" applyAlignment="1">
      <alignment horizontal="center" vertical="center"/>
    </xf>
    <xf numFmtId="0" fontId="3" fillId="16" borderId="12" xfId="1" applyFill="1" applyBorder="1" applyAlignment="1">
      <alignment horizontal="center" vertical="center"/>
    </xf>
    <xf numFmtId="0" fontId="3" fillId="17" borderId="12" xfId="1" applyFill="1" applyBorder="1" applyAlignment="1">
      <alignment horizontal="center" vertical="center"/>
    </xf>
    <xf numFmtId="0" fontId="20" fillId="17" borderId="12" xfId="1" applyFont="1" applyFill="1" applyBorder="1" applyAlignment="1">
      <alignment horizontal="center" vertical="center"/>
    </xf>
    <xf numFmtId="0" fontId="3" fillId="2" borderId="10" xfId="1" applyFill="1" applyBorder="1" applyAlignment="1">
      <alignment horizontal="center" vertical="center"/>
    </xf>
    <xf numFmtId="1" fontId="10" fillId="2" borderId="10" xfId="1" applyNumberFormat="1" applyFont="1" applyFill="1" applyBorder="1" applyAlignment="1">
      <alignment horizontal="center" vertical="center"/>
    </xf>
    <xf numFmtId="2" fontId="3" fillId="0" borderId="0" xfId="1" applyNumberFormat="1" applyAlignment="1">
      <alignment vertical="center"/>
    </xf>
    <xf numFmtId="2" fontId="9" fillId="0" borderId="13" xfId="1" applyNumberFormat="1" applyFont="1" applyBorder="1" applyAlignment="1">
      <alignment horizontal="center" vertical="center"/>
    </xf>
    <xf numFmtId="1" fontId="3" fillId="14" borderId="14" xfId="1" applyNumberFormat="1" applyFill="1" applyBorder="1" applyAlignment="1">
      <alignment horizontal="center" vertical="center"/>
    </xf>
    <xf numFmtId="1" fontId="3" fillId="0" borderId="15" xfId="1" applyNumberFormat="1" applyBorder="1" applyAlignment="1">
      <alignment horizontal="center" vertical="center" wrapText="1"/>
    </xf>
    <xf numFmtId="1" fontId="3" fillId="0" borderId="14" xfId="1" applyNumberFormat="1" applyBorder="1" applyAlignment="1">
      <alignment horizontal="center" vertical="center"/>
    </xf>
    <xf numFmtId="2" fontId="3" fillId="0" borderId="15" xfId="1" applyNumberFormat="1" applyBorder="1" applyAlignment="1">
      <alignment horizontal="center" vertical="center"/>
    </xf>
    <xf numFmtId="0" fontId="8" fillId="15" borderId="1" xfId="1" applyFont="1" applyFill="1" applyBorder="1" applyAlignment="1">
      <alignment horizontal="center" vertical="center"/>
    </xf>
    <xf numFmtId="0" fontId="3" fillId="16" borderId="1" xfId="1" applyFill="1" applyBorder="1" applyAlignment="1">
      <alignment horizontal="center" vertical="center"/>
    </xf>
    <xf numFmtId="0" fontId="3" fillId="17" borderId="1" xfId="1" applyFill="1" applyBorder="1" applyAlignment="1">
      <alignment horizontal="center" vertical="center"/>
    </xf>
    <xf numFmtId="0" fontId="20" fillId="17" borderId="1" xfId="1" applyFont="1" applyFill="1" applyBorder="1" applyAlignment="1">
      <alignment horizontal="center" vertical="center"/>
    </xf>
    <xf numFmtId="0" fontId="3" fillId="2" borderId="14" xfId="1" applyFill="1" applyBorder="1" applyAlignment="1">
      <alignment horizontal="center" vertical="center"/>
    </xf>
    <xf numFmtId="1" fontId="10" fillId="2" borderId="14" xfId="1" applyNumberFormat="1" applyFont="1" applyFill="1" applyBorder="1" applyAlignment="1">
      <alignment horizontal="center" vertical="center"/>
    </xf>
    <xf numFmtId="0" fontId="3" fillId="0" borderId="0" xfId="1" applyAlignment="1">
      <alignment horizontal="left" vertical="center" wrapText="1"/>
    </xf>
    <xf numFmtId="0" fontId="3" fillId="2" borderId="0" xfId="1" applyFill="1" applyAlignment="1">
      <alignment vertical="center" wrapText="1"/>
    </xf>
    <xf numFmtId="0" fontId="3" fillId="16" borderId="3" xfId="1" applyFill="1" applyBorder="1" applyAlignment="1">
      <alignment horizontal="center" vertical="center"/>
    </xf>
    <xf numFmtId="0" fontId="3" fillId="2" borderId="16" xfId="1" applyFill="1" applyBorder="1" applyAlignment="1">
      <alignment horizontal="center" vertical="center"/>
    </xf>
    <xf numFmtId="1" fontId="10" fillId="2" borderId="16" xfId="1" applyNumberFormat="1" applyFont="1" applyFill="1" applyBorder="1" applyAlignment="1">
      <alignment horizontal="center" vertical="center"/>
    </xf>
    <xf numFmtId="0" fontId="3" fillId="0" borderId="17" xfId="1" applyBorder="1" applyAlignment="1">
      <alignment vertical="center"/>
    </xf>
    <xf numFmtId="0" fontId="3" fillId="3" borderId="1" xfId="1" applyFill="1" applyBorder="1" applyAlignment="1">
      <alignment horizontal="center" vertical="center"/>
    </xf>
    <xf numFmtId="1" fontId="10" fillId="3" borderId="1" xfId="1" applyNumberFormat="1" applyFont="1" applyFill="1" applyBorder="1" applyAlignment="1">
      <alignment horizontal="center" vertical="center"/>
    </xf>
    <xf numFmtId="1" fontId="3" fillId="0" borderId="18" xfId="1" applyNumberFormat="1" applyBorder="1" applyAlignment="1">
      <alignment horizontal="center" vertical="center"/>
    </xf>
    <xf numFmtId="1" fontId="3" fillId="18" borderId="19" xfId="1" applyNumberFormat="1" applyFill="1" applyBorder="1" applyAlignment="1">
      <alignment horizontal="center" vertical="center"/>
    </xf>
    <xf numFmtId="1" fontId="3" fillId="0" borderId="20" xfId="1" applyNumberFormat="1" applyBorder="1" applyAlignment="1">
      <alignment horizontal="center" vertical="center"/>
    </xf>
    <xf numFmtId="1" fontId="3" fillId="0" borderId="21" xfId="1" applyNumberFormat="1" applyBorder="1" applyAlignment="1">
      <alignment horizontal="center" vertical="center"/>
    </xf>
    <xf numFmtId="2" fontId="3" fillId="0" borderId="22" xfId="1" applyNumberFormat="1" applyBorder="1" applyAlignment="1">
      <alignment horizontal="center" vertical="center"/>
    </xf>
    <xf numFmtId="0" fontId="8" fillId="15" borderId="23" xfId="1" applyFont="1" applyFill="1" applyBorder="1" applyAlignment="1">
      <alignment horizontal="center" vertical="center"/>
    </xf>
    <xf numFmtId="0" fontId="3" fillId="16" borderId="24" xfId="1" applyFill="1" applyBorder="1" applyAlignment="1">
      <alignment horizontal="center" vertical="center"/>
    </xf>
    <xf numFmtId="0" fontId="3" fillId="17" borderId="23" xfId="1" applyFill="1" applyBorder="1" applyAlignment="1">
      <alignment horizontal="center" vertical="center"/>
    </xf>
    <xf numFmtId="0" fontId="20" fillId="17" borderId="23" xfId="1" applyFont="1" applyFill="1" applyBorder="1" applyAlignment="1">
      <alignment horizontal="center" vertical="center"/>
    </xf>
    <xf numFmtId="1" fontId="3" fillId="0" borderId="25" xfId="1" quotePrefix="1" applyNumberFormat="1" applyBorder="1" applyAlignment="1">
      <alignment horizontal="left" vertical="center"/>
    </xf>
    <xf numFmtId="0" fontId="10" fillId="0" borderId="25" xfId="1" applyFont="1" applyBorder="1" applyAlignment="1">
      <alignment horizontal="center" vertical="center"/>
    </xf>
    <xf numFmtId="0" fontId="3" fillId="0" borderId="25" xfId="1" applyBorder="1" applyAlignment="1">
      <alignment horizontal="left" vertical="center"/>
    </xf>
    <xf numFmtId="0" fontId="10" fillId="0" borderId="25" xfId="1" applyFont="1" applyBorder="1" applyAlignment="1" applyProtection="1">
      <alignment horizontal="left" vertical="center"/>
      <protection locked="0"/>
    </xf>
    <xf numFmtId="0" fontId="3" fillId="0" borderId="25" xfId="1" applyBorder="1" applyAlignment="1" applyProtection="1">
      <alignment horizontal="center" vertical="center"/>
      <protection locked="0"/>
    </xf>
    <xf numFmtId="0" fontId="3" fillId="0" borderId="25" xfId="1" applyBorder="1" applyAlignment="1">
      <alignment horizontal="center" vertical="center"/>
    </xf>
    <xf numFmtId="0" fontId="3" fillId="0" borderId="25" xfId="1" quotePrefix="1" applyBorder="1" applyAlignment="1">
      <alignment horizontal="center" vertical="center"/>
    </xf>
    <xf numFmtId="1" fontId="3" fillId="0" borderId="25" xfId="1" applyNumberFormat="1" applyBorder="1" applyAlignment="1">
      <alignment horizontal="center" vertical="center"/>
    </xf>
    <xf numFmtId="1" fontId="3" fillId="14" borderId="26" xfId="1" applyNumberFormat="1" applyFill="1" applyBorder="1" applyAlignment="1">
      <alignment horizontal="center" vertical="center"/>
    </xf>
    <xf numFmtId="1" fontId="3" fillId="0" borderId="11" xfId="1" applyNumberFormat="1" applyBorder="1" applyAlignment="1">
      <alignment horizontal="center" vertical="center"/>
    </xf>
    <xf numFmtId="1" fontId="3" fillId="0" borderId="26" xfId="1" applyNumberFormat="1" applyBorder="1" applyAlignment="1">
      <alignment horizontal="center" vertical="center"/>
    </xf>
    <xf numFmtId="2" fontId="3" fillId="0" borderId="27" xfId="1" applyNumberFormat="1" applyBorder="1" applyAlignment="1">
      <alignment horizontal="center" vertical="center"/>
    </xf>
    <xf numFmtId="0" fontId="8" fillId="2" borderId="12" xfId="1" applyFont="1" applyFill="1" applyBorder="1" applyAlignment="1">
      <alignment horizontal="center" vertical="center"/>
    </xf>
    <xf numFmtId="0" fontId="3" fillId="16" borderId="28" xfId="1" applyFill="1" applyBorder="1" applyAlignment="1">
      <alignment horizontal="center" vertical="center"/>
    </xf>
    <xf numFmtId="0" fontId="10" fillId="0" borderId="0" xfId="1" applyFont="1" applyAlignment="1" applyProtection="1">
      <alignment horizontal="left" vertical="center"/>
      <protection locked="0"/>
    </xf>
    <xf numFmtId="49" fontId="3" fillId="0" borderId="0" xfId="1" quotePrefix="1" applyNumberFormat="1" applyAlignment="1">
      <alignment horizontal="center" vertical="center"/>
    </xf>
    <xf numFmtId="1" fontId="3" fillId="0" borderId="15" xfId="1" applyNumberFormat="1" applyBorder="1" applyAlignment="1">
      <alignment horizontal="center" vertical="center"/>
    </xf>
    <xf numFmtId="0" fontId="8" fillId="2" borderId="1" xfId="1" applyFont="1" applyFill="1" applyBorder="1" applyAlignment="1">
      <alignment horizontal="center" vertical="center"/>
    </xf>
    <xf numFmtId="2" fontId="3" fillId="0" borderId="29" xfId="1" applyNumberFormat="1" applyBorder="1" applyAlignment="1">
      <alignment horizontal="center" vertical="center"/>
    </xf>
    <xf numFmtId="2" fontId="3" fillId="0" borderId="30" xfId="1" applyNumberFormat="1" applyBorder="1" applyAlignment="1">
      <alignment horizontal="center" vertical="center"/>
    </xf>
    <xf numFmtId="1" fontId="10" fillId="0" borderId="0" xfId="1" applyNumberFormat="1" applyFont="1" applyAlignment="1">
      <alignment horizontal="center" vertical="center"/>
    </xf>
    <xf numFmtId="49" fontId="3" fillId="0" borderId="8" xfId="1" applyNumberFormat="1" applyBorder="1" applyAlignment="1" applyProtection="1">
      <alignment horizontal="center" vertical="center"/>
      <protection locked="0"/>
    </xf>
    <xf numFmtId="1" fontId="3" fillId="0" borderId="0" xfId="1" quotePrefix="1" applyNumberFormat="1" applyAlignment="1" applyProtection="1">
      <alignment horizontal="left" vertical="center"/>
      <protection locked="0"/>
    </xf>
    <xf numFmtId="0" fontId="10" fillId="0" borderId="0" xfId="1" applyFont="1" applyAlignment="1" applyProtection="1">
      <alignment horizontal="center" vertical="center"/>
      <protection locked="0"/>
    </xf>
    <xf numFmtId="0" fontId="3" fillId="0" borderId="0" xfId="1" applyAlignment="1" applyProtection="1">
      <alignment horizontal="left" vertical="center"/>
      <protection locked="0"/>
    </xf>
    <xf numFmtId="2" fontId="3" fillId="0" borderId="0" xfId="1" applyNumberFormat="1" applyAlignment="1" applyProtection="1">
      <alignment horizontal="center" vertical="center"/>
      <protection locked="0"/>
    </xf>
    <xf numFmtId="4" fontId="3" fillId="0" borderId="0" xfId="1" applyNumberFormat="1" applyAlignment="1" applyProtection="1">
      <alignment horizontal="left" vertical="center"/>
      <protection locked="0"/>
    </xf>
    <xf numFmtId="1" fontId="3" fillId="0" borderId="5" xfId="1" applyNumberFormat="1" applyBorder="1" applyAlignment="1">
      <alignment horizontal="center" vertical="center"/>
    </xf>
    <xf numFmtId="0" fontId="8" fillId="2" borderId="23" xfId="1" applyFont="1" applyFill="1" applyBorder="1" applyAlignment="1">
      <alignment horizontal="center" vertical="center"/>
    </xf>
    <xf numFmtId="0" fontId="20" fillId="17" borderId="31" xfId="1" applyFont="1" applyFill="1" applyBorder="1" applyAlignment="1">
      <alignment horizontal="center" vertical="center"/>
    </xf>
    <xf numFmtId="0" fontId="3" fillId="0" borderId="32" xfId="1" applyBorder="1" applyAlignment="1">
      <alignment horizontal="center" vertical="center"/>
    </xf>
    <xf numFmtId="2" fontId="3" fillId="0" borderId="25" xfId="1" applyNumberFormat="1" applyBorder="1" applyAlignment="1">
      <alignment horizontal="center" vertical="center"/>
    </xf>
    <xf numFmtId="49" fontId="3" fillId="0" borderId="25" xfId="1" quotePrefix="1" applyNumberFormat="1" applyBorder="1" applyAlignment="1">
      <alignment horizontal="center" vertical="center"/>
    </xf>
    <xf numFmtId="0" fontId="3" fillId="2" borderId="19" xfId="1" applyFill="1" applyBorder="1" applyAlignment="1">
      <alignment horizontal="center" vertical="center"/>
    </xf>
    <xf numFmtId="1" fontId="10" fillId="2" borderId="19" xfId="1" applyNumberFormat="1" applyFont="1" applyFill="1" applyBorder="1" applyAlignment="1">
      <alignment horizontal="center" vertical="center"/>
    </xf>
    <xf numFmtId="2" fontId="9" fillId="0" borderId="33" xfId="1" applyNumberFormat="1" applyFont="1" applyBorder="1" applyAlignment="1">
      <alignment horizontal="center" vertical="center"/>
    </xf>
    <xf numFmtId="1" fontId="3" fillId="0" borderId="34" xfId="1" quotePrefix="1" applyNumberFormat="1" applyBorder="1" applyAlignment="1">
      <alignment horizontal="left" vertical="center"/>
    </xf>
    <xf numFmtId="0" fontId="10" fillId="0" borderId="34" xfId="1" applyFont="1" applyBorder="1" applyAlignment="1">
      <alignment horizontal="center" vertical="center"/>
    </xf>
    <xf numFmtId="0" fontId="3" fillId="0" borderId="34" xfId="1" applyBorder="1" applyAlignment="1">
      <alignment horizontal="left" vertical="center"/>
    </xf>
    <xf numFmtId="0" fontId="10" fillId="0" borderId="34" xfId="1" applyFont="1" applyBorder="1" applyAlignment="1">
      <alignment horizontal="left" vertical="center"/>
    </xf>
    <xf numFmtId="0" fontId="3" fillId="0" borderId="34" xfId="1" applyBorder="1" applyAlignment="1">
      <alignment horizontal="center" vertical="center"/>
    </xf>
    <xf numFmtId="2" fontId="9" fillId="0" borderId="35" xfId="1" applyNumberFormat="1" applyFont="1" applyBorder="1" applyAlignment="1">
      <alignment horizontal="center" vertical="center"/>
    </xf>
    <xf numFmtId="0" fontId="3" fillId="0" borderId="34" xfId="1" quotePrefix="1" applyBorder="1" applyAlignment="1">
      <alignment horizontal="center" vertical="center"/>
    </xf>
    <xf numFmtId="1" fontId="3" fillId="0" borderId="34" xfId="1" applyNumberFormat="1" applyBorder="1" applyAlignment="1">
      <alignment horizontal="center" vertical="center"/>
    </xf>
    <xf numFmtId="2" fontId="3" fillId="0" borderId="34" xfId="1" applyNumberFormat="1" applyBorder="1" applyAlignment="1">
      <alignment horizontal="center" vertical="center"/>
    </xf>
    <xf numFmtId="0" fontId="8" fillId="0" borderId="34" xfId="1" applyFont="1" applyBorder="1" applyAlignment="1">
      <alignment horizontal="center" vertical="center"/>
    </xf>
    <xf numFmtId="2" fontId="20" fillId="0" borderId="34" xfId="1" applyNumberFormat="1" applyFont="1" applyBorder="1" applyAlignment="1">
      <alignment horizontal="center" vertical="center"/>
    </xf>
    <xf numFmtId="1" fontId="10" fillId="0" borderId="34" xfId="1" applyNumberFormat="1" applyFont="1" applyBorder="1" applyAlignment="1">
      <alignment horizontal="center" vertical="center"/>
    </xf>
    <xf numFmtId="1" fontId="3" fillId="19" borderId="0" xfId="1" applyNumberFormat="1" applyFill="1" applyAlignment="1">
      <alignment horizontal="left" vertical="center"/>
    </xf>
    <xf numFmtId="0" fontId="10" fillId="19" borderId="0" xfId="1" applyFont="1" applyFill="1" applyAlignment="1">
      <alignment horizontal="center" vertical="center"/>
    </xf>
    <xf numFmtId="1" fontId="21" fillId="19" borderId="0" xfId="1" applyNumberFormat="1" applyFont="1" applyFill="1" applyAlignment="1">
      <alignment horizontal="left" vertical="center"/>
    </xf>
    <xf numFmtId="0" fontId="3" fillId="19" borderId="0" xfId="1" applyFill="1" applyAlignment="1">
      <alignment horizontal="left" vertical="center"/>
    </xf>
    <xf numFmtId="0" fontId="10" fillId="19" borderId="0" xfId="1" applyFont="1" applyFill="1" applyAlignment="1">
      <alignment horizontal="left" vertical="center"/>
    </xf>
    <xf numFmtId="0" fontId="3" fillId="19" borderId="0" xfId="1" applyFill="1" applyAlignment="1">
      <alignment horizontal="center" vertical="center"/>
    </xf>
    <xf numFmtId="2" fontId="9" fillId="19" borderId="0" xfId="1" applyNumberFormat="1" applyFont="1" applyFill="1" applyAlignment="1">
      <alignment horizontal="center" vertical="center"/>
    </xf>
    <xf numFmtId="0" fontId="3" fillId="19" borderId="0" xfId="1" quotePrefix="1" applyFill="1" applyAlignment="1">
      <alignment horizontal="center" vertical="center"/>
    </xf>
    <xf numFmtId="1" fontId="3" fillId="19" borderId="0" xfId="1" applyNumberFormat="1" applyFill="1" applyAlignment="1">
      <alignment horizontal="center" vertical="center"/>
    </xf>
    <xf numFmtId="1" fontId="3" fillId="19" borderId="36" xfId="1" applyNumberFormat="1" applyFill="1" applyBorder="1" applyAlignment="1">
      <alignment horizontal="center" vertical="center"/>
    </xf>
    <xf numFmtId="2" fontId="3" fillId="19" borderId="36" xfId="1" applyNumberFormat="1" applyFill="1" applyBorder="1" applyAlignment="1">
      <alignment horizontal="center" vertical="center"/>
    </xf>
    <xf numFmtId="0" fontId="8" fillId="19" borderId="36" xfId="1" applyFont="1" applyFill="1" applyBorder="1" applyAlignment="1">
      <alignment horizontal="center" vertical="center"/>
    </xf>
    <xf numFmtId="0" fontId="17" fillId="8" borderId="37" xfId="1" applyFont="1" applyFill="1" applyBorder="1" applyAlignment="1">
      <alignment horizontal="center" vertical="center"/>
    </xf>
    <xf numFmtId="0" fontId="3" fillId="19" borderId="36" xfId="1" applyFill="1" applyBorder="1" applyAlignment="1">
      <alignment horizontal="center" vertical="center"/>
    </xf>
    <xf numFmtId="2" fontId="20" fillId="19" borderId="36" xfId="1" applyNumberFormat="1" applyFont="1" applyFill="1" applyBorder="1" applyAlignment="1">
      <alignment horizontal="center" vertical="center"/>
    </xf>
    <xf numFmtId="1" fontId="10" fillId="19" borderId="36" xfId="1" applyNumberFormat="1" applyFont="1" applyFill="1" applyBorder="1" applyAlignment="1">
      <alignment horizontal="center" vertical="center"/>
    </xf>
    <xf numFmtId="2" fontId="9" fillId="0" borderId="38" xfId="1" applyNumberFormat="1" applyFont="1" applyBorder="1" applyAlignment="1">
      <alignment horizontal="center" vertical="center"/>
    </xf>
    <xf numFmtId="1" fontId="3" fillId="0" borderId="36" xfId="1" quotePrefix="1" applyNumberFormat="1" applyBorder="1" applyAlignment="1">
      <alignment horizontal="left" vertical="center"/>
    </xf>
    <xf numFmtId="0" fontId="10" fillId="0" borderId="36" xfId="1" applyFont="1" applyBorder="1" applyAlignment="1">
      <alignment horizontal="center" vertical="center"/>
    </xf>
    <xf numFmtId="0" fontId="3" fillId="0" borderId="36" xfId="1" applyBorder="1" applyAlignment="1">
      <alignment horizontal="left" vertical="center"/>
    </xf>
    <xf numFmtId="0" fontId="10" fillId="0" borderId="36" xfId="1" applyFont="1" applyBorder="1" applyAlignment="1" applyProtection="1">
      <alignment horizontal="left" vertical="center"/>
      <protection locked="0"/>
    </xf>
    <xf numFmtId="0" fontId="3" fillId="0" borderId="36" xfId="1" applyBorder="1" applyAlignment="1">
      <alignment horizontal="center" vertical="center"/>
    </xf>
    <xf numFmtId="2" fontId="3" fillId="0" borderId="36" xfId="1" applyNumberFormat="1" applyBorder="1" applyAlignment="1">
      <alignment horizontal="center" vertical="center"/>
    </xf>
    <xf numFmtId="0" fontId="3" fillId="0" borderId="36" xfId="1" quotePrefix="1" applyBorder="1" applyAlignment="1">
      <alignment horizontal="center" vertical="center"/>
    </xf>
    <xf numFmtId="1" fontId="3" fillId="0" borderId="39" xfId="1" applyNumberFormat="1" applyBorder="1" applyAlignment="1">
      <alignment horizontal="center" vertical="center"/>
    </xf>
    <xf numFmtId="1" fontId="3" fillId="14" borderId="40" xfId="1" applyNumberFormat="1" applyFill="1" applyBorder="1" applyAlignment="1">
      <alignment horizontal="center" vertical="center"/>
    </xf>
    <xf numFmtId="1" fontId="3" fillId="0" borderId="41" xfId="1" applyNumberFormat="1" applyBorder="1" applyAlignment="1">
      <alignment horizontal="center" vertical="center"/>
    </xf>
    <xf numFmtId="1" fontId="3" fillId="0" borderId="40" xfId="1" applyNumberFormat="1" applyBorder="1" applyAlignment="1">
      <alignment horizontal="center" vertical="center"/>
    </xf>
    <xf numFmtId="2" fontId="3" fillId="0" borderId="41" xfId="1" applyNumberFormat="1" applyBorder="1" applyAlignment="1">
      <alignment horizontal="center" vertical="center"/>
    </xf>
    <xf numFmtId="2" fontId="9" fillId="0" borderId="42" xfId="1" applyNumberFormat="1" applyFont="1" applyBorder="1" applyAlignment="1">
      <alignment horizontal="center" vertical="center"/>
    </xf>
    <xf numFmtId="1" fontId="3" fillId="18" borderId="28" xfId="1" applyNumberFormat="1" applyFill="1" applyBorder="1" applyAlignment="1">
      <alignment horizontal="center" vertical="center"/>
    </xf>
    <xf numFmtId="1" fontId="3" fillId="0" borderId="12" xfId="1" applyNumberFormat="1" applyBorder="1" applyAlignment="1">
      <alignment horizontal="center" vertical="center"/>
    </xf>
    <xf numFmtId="2" fontId="3" fillId="0" borderId="12" xfId="1" applyNumberFormat="1" applyBorder="1" applyAlignment="1">
      <alignment horizontal="center" vertical="center"/>
    </xf>
    <xf numFmtId="0" fontId="8" fillId="20" borderId="12" xfId="1" applyFont="1" applyFill="1" applyBorder="1" applyAlignment="1">
      <alignment horizontal="center" vertical="center" wrapText="1"/>
    </xf>
    <xf numFmtId="1" fontId="3" fillId="0" borderId="43" xfId="1" quotePrefix="1" applyNumberFormat="1" applyBorder="1" applyAlignment="1">
      <alignment horizontal="left" vertical="center"/>
    </xf>
    <xf numFmtId="0" fontId="10" fillId="0" borderId="43" xfId="1" applyFont="1" applyBorder="1" applyAlignment="1">
      <alignment horizontal="center" vertical="center"/>
    </xf>
    <xf numFmtId="0" fontId="3" fillId="0" borderId="43" xfId="1" applyBorder="1" applyAlignment="1">
      <alignment horizontal="left" vertical="center"/>
    </xf>
    <xf numFmtId="0" fontId="10" fillId="0" borderId="43" xfId="1" applyFont="1" applyBorder="1" applyAlignment="1">
      <alignment horizontal="left" vertical="center"/>
    </xf>
    <xf numFmtId="0" fontId="3" fillId="0" borderId="43" xfId="1" applyBorder="1" applyAlignment="1">
      <alignment horizontal="center" vertical="center"/>
    </xf>
    <xf numFmtId="2" fontId="9" fillId="0" borderId="44" xfId="1" applyNumberFormat="1" applyFont="1" applyBorder="1" applyAlignment="1">
      <alignment horizontal="center" vertical="center"/>
    </xf>
    <xf numFmtId="0" fontId="3" fillId="0" borderId="43" xfId="1" quotePrefix="1" applyBorder="1" applyAlignment="1">
      <alignment horizontal="center" vertical="center"/>
    </xf>
    <xf numFmtId="1" fontId="3" fillId="0" borderId="43" xfId="1" applyNumberFormat="1" applyBorder="1" applyAlignment="1">
      <alignment horizontal="center" vertical="center"/>
    </xf>
    <xf numFmtId="1" fontId="3" fillId="18" borderId="45" xfId="1" applyNumberFormat="1" applyFill="1" applyBorder="1" applyAlignment="1">
      <alignment horizontal="center" vertical="center"/>
    </xf>
    <xf numFmtId="1" fontId="3" fillId="0" borderId="45" xfId="1" applyNumberFormat="1" applyBorder="1" applyAlignment="1">
      <alignment horizontal="center" vertical="center"/>
    </xf>
    <xf numFmtId="2" fontId="3" fillId="0" borderId="45" xfId="1" applyNumberFormat="1" applyBorder="1" applyAlignment="1">
      <alignment horizontal="center" vertical="center"/>
    </xf>
    <xf numFmtId="0" fontId="8" fillId="20" borderId="46" xfId="1" applyFont="1" applyFill="1" applyBorder="1" applyAlignment="1">
      <alignment horizontal="center" vertical="center" wrapText="1"/>
    </xf>
    <xf numFmtId="0" fontId="3" fillId="17" borderId="46" xfId="1" applyFill="1" applyBorder="1" applyAlignment="1">
      <alignment horizontal="center" vertical="center"/>
    </xf>
    <xf numFmtId="0" fontId="20" fillId="17" borderId="47" xfId="1" applyFont="1" applyFill="1" applyBorder="1" applyAlignment="1">
      <alignment horizontal="center" vertical="center"/>
    </xf>
    <xf numFmtId="1" fontId="3" fillId="18" borderId="1" xfId="1" applyNumberFormat="1" applyFill="1" applyBorder="1" applyAlignment="1">
      <alignment horizontal="center" vertical="center"/>
    </xf>
    <xf numFmtId="1" fontId="3" fillId="0" borderId="1" xfId="1" applyNumberFormat="1" applyBorder="1" applyAlignment="1">
      <alignment horizontal="center" vertical="center"/>
    </xf>
    <xf numFmtId="2" fontId="3" fillId="0" borderId="1" xfId="1" applyNumberFormat="1" applyBorder="1" applyAlignment="1">
      <alignment horizontal="center" vertical="center"/>
    </xf>
    <xf numFmtId="0" fontId="8" fillId="20" borderId="1" xfId="1" applyFont="1" applyFill="1" applyBorder="1" applyAlignment="1">
      <alignment horizontal="center" vertical="center" wrapText="1"/>
    </xf>
    <xf numFmtId="0" fontId="10" fillId="0" borderId="36" xfId="1" applyFont="1" applyBorder="1" applyAlignment="1">
      <alignment horizontal="left" vertical="center"/>
    </xf>
    <xf numFmtId="1" fontId="3" fillId="0" borderId="36" xfId="1" applyNumberFormat="1" applyBorder="1" applyAlignment="1">
      <alignment horizontal="center" vertical="center"/>
    </xf>
    <xf numFmtId="1" fontId="3" fillId="18" borderId="23" xfId="1" applyNumberFormat="1" applyFill="1" applyBorder="1" applyAlignment="1">
      <alignment horizontal="center" vertical="center"/>
    </xf>
    <xf numFmtId="1" fontId="3" fillId="0" borderId="23" xfId="1" applyNumberFormat="1" applyBorder="1" applyAlignment="1">
      <alignment horizontal="center" vertical="center"/>
    </xf>
    <xf numFmtId="2" fontId="3" fillId="0" borderId="23" xfId="1" applyNumberFormat="1" applyBorder="1" applyAlignment="1">
      <alignment horizontal="center" vertical="center"/>
    </xf>
    <xf numFmtId="0" fontId="8" fillId="20" borderId="23" xfId="1" applyFont="1" applyFill="1" applyBorder="1" applyAlignment="1">
      <alignment horizontal="center" vertical="center" wrapText="1"/>
    </xf>
    <xf numFmtId="0" fontId="20" fillId="17" borderId="48" xfId="1" applyFont="1" applyFill="1" applyBorder="1" applyAlignment="1">
      <alignment horizontal="center" vertical="center"/>
    </xf>
    <xf numFmtId="0" fontId="10" fillId="0" borderId="25" xfId="1" applyFont="1" applyBorder="1" applyAlignment="1">
      <alignment horizontal="left" vertical="center"/>
    </xf>
    <xf numFmtId="1" fontId="3" fillId="18" borderId="12" xfId="1" applyNumberFormat="1" applyFill="1" applyBorder="1" applyAlignment="1">
      <alignment horizontal="center" vertical="center"/>
    </xf>
    <xf numFmtId="0" fontId="10" fillId="0" borderId="43" xfId="1" applyFont="1" applyBorder="1" applyAlignment="1" applyProtection="1">
      <alignment horizontal="left" vertical="center"/>
      <protection locked="0"/>
    </xf>
    <xf numFmtId="2" fontId="9" fillId="0" borderId="49" xfId="1" applyNumberFormat="1" applyFont="1" applyBorder="1" applyAlignment="1">
      <alignment horizontal="center" vertical="center"/>
    </xf>
    <xf numFmtId="2" fontId="3" fillId="0" borderId="43" xfId="1" applyNumberFormat="1" applyBorder="1" applyAlignment="1">
      <alignment horizontal="center" vertical="center"/>
    </xf>
    <xf numFmtId="1" fontId="3" fillId="14" borderId="5" xfId="1" applyNumberFormat="1" applyFill="1" applyBorder="1" applyAlignment="1">
      <alignment horizontal="center" vertical="center"/>
    </xf>
    <xf numFmtId="1" fontId="3" fillId="0" borderId="7" xfId="1" applyNumberFormat="1" applyBorder="1" applyAlignment="1">
      <alignment horizontal="center" vertical="center"/>
    </xf>
    <xf numFmtId="2" fontId="3" fillId="0" borderId="7" xfId="1" applyNumberFormat="1" applyBorder="1" applyAlignment="1">
      <alignment horizontal="center" vertical="center"/>
    </xf>
    <xf numFmtId="0" fontId="8" fillId="2" borderId="48" xfId="1" applyFont="1" applyFill="1" applyBorder="1" applyAlignment="1">
      <alignment horizontal="center" vertical="center"/>
    </xf>
    <xf numFmtId="0" fontId="3" fillId="16" borderId="50" xfId="1" applyFill="1" applyBorder="1" applyAlignment="1">
      <alignment horizontal="center" vertical="center"/>
    </xf>
    <xf numFmtId="0" fontId="3" fillId="17" borderId="48" xfId="1" applyFill="1" applyBorder="1" applyAlignment="1">
      <alignment horizontal="center" vertical="center"/>
    </xf>
    <xf numFmtId="0" fontId="20" fillId="17" borderId="51" xfId="1" applyFont="1" applyFill="1" applyBorder="1" applyAlignment="1">
      <alignment horizontal="center" vertical="center"/>
    </xf>
    <xf numFmtId="2" fontId="9" fillId="0" borderId="52" xfId="1" applyNumberFormat="1" applyFont="1" applyBorder="1" applyAlignment="1">
      <alignment horizontal="center" vertical="center"/>
    </xf>
    <xf numFmtId="1" fontId="3" fillId="18" borderId="48" xfId="1" applyNumberFormat="1" applyFill="1" applyBorder="1" applyAlignment="1">
      <alignment horizontal="center" vertical="center"/>
    </xf>
    <xf numFmtId="1" fontId="3" fillId="0" borderId="48" xfId="1" applyNumberFormat="1" applyBorder="1" applyAlignment="1">
      <alignment horizontal="center" vertical="center"/>
    </xf>
    <xf numFmtId="2" fontId="3" fillId="0" borderId="48" xfId="1" applyNumberFormat="1" applyBorder="1" applyAlignment="1">
      <alignment horizontal="center" vertical="center"/>
    </xf>
    <xf numFmtId="0" fontId="8" fillId="20" borderId="48" xfId="1" applyFont="1" applyFill="1" applyBorder="1" applyAlignment="1">
      <alignment horizontal="center" vertical="center" wrapText="1"/>
    </xf>
    <xf numFmtId="0" fontId="3" fillId="17" borderId="45" xfId="1" applyFill="1" applyBorder="1" applyAlignment="1">
      <alignment horizontal="center" vertical="center"/>
    </xf>
    <xf numFmtId="1" fontId="3" fillId="0" borderId="36" xfId="1" quotePrefix="1" applyNumberFormat="1" applyBorder="1" applyAlignment="1" applyProtection="1">
      <alignment horizontal="left" vertical="center"/>
      <protection locked="0"/>
    </xf>
    <xf numFmtId="0" fontId="10" fillId="0" borderId="36" xfId="1" applyFont="1" applyBorder="1" applyAlignment="1" applyProtection="1">
      <alignment horizontal="center" vertical="center"/>
      <protection locked="0"/>
    </xf>
    <xf numFmtId="0" fontId="3" fillId="0" borderId="36" xfId="1" applyBorder="1" applyAlignment="1" applyProtection="1">
      <alignment horizontal="left" vertical="center"/>
      <protection locked="0"/>
    </xf>
    <xf numFmtId="2" fontId="9" fillId="0" borderId="53" xfId="1" applyNumberFormat="1" applyFont="1" applyBorder="1" applyAlignment="1">
      <alignment horizontal="center" vertical="center"/>
    </xf>
    <xf numFmtId="2" fontId="3" fillId="0" borderId="36" xfId="1" applyNumberFormat="1" applyBorder="1" applyAlignment="1" applyProtection="1">
      <alignment horizontal="center" vertical="center"/>
      <protection locked="0"/>
    </xf>
    <xf numFmtId="4" fontId="3" fillId="0" borderId="36" xfId="1" applyNumberFormat="1" applyBorder="1" applyAlignment="1" applyProtection="1">
      <alignment horizontal="left" vertical="center"/>
      <protection locked="0"/>
    </xf>
    <xf numFmtId="0" fontId="3" fillId="0" borderId="36" xfId="1" quotePrefix="1" applyBorder="1" applyAlignment="1" applyProtection="1">
      <alignment horizontal="center" vertical="center"/>
      <protection locked="0"/>
    </xf>
    <xf numFmtId="1" fontId="3" fillId="0" borderId="54" xfId="1" applyNumberFormat="1" applyBorder="1" applyAlignment="1">
      <alignment horizontal="center" vertical="center"/>
    </xf>
    <xf numFmtId="2" fontId="3" fillId="0" borderId="55" xfId="1" applyNumberFormat="1" applyBorder="1" applyAlignment="1">
      <alignment horizontal="center" vertical="center"/>
    </xf>
    <xf numFmtId="0" fontId="3" fillId="2" borderId="40" xfId="1" applyFill="1" applyBorder="1" applyAlignment="1">
      <alignment horizontal="center" vertical="center"/>
    </xf>
    <xf numFmtId="1" fontId="10" fillId="2" borderId="40" xfId="1" applyNumberFormat="1" applyFont="1" applyFill="1" applyBorder="1" applyAlignment="1">
      <alignment horizontal="center" vertical="center"/>
    </xf>
    <xf numFmtId="1" fontId="3" fillId="19" borderId="37" xfId="1" applyNumberFormat="1" applyFill="1" applyBorder="1" applyAlignment="1">
      <alignment horizontal="left" vertical="center"/>
    </xf>
    <xf numFmtId="0" fontId="10" fillId="19" borderId="37" xfId="1" applyFont="1" applyFill="1" applyBorder="1" applyAlignment="1">
      <alignment horizontal="center" vertical="center"/>
    </xf>
    <xf numFmtId="1" fontId="21" fillId="19" borderId="37" xfId="1" applyNumberFormat="1" applyFont="1" applyFill="1" applyBorder="1" applyAlignment="1">
      <alignment horizontal="left" vertical="center"/>
    </xf>
    <xf numFmtId="0" fontId="3" fillId="19" borderId="37" xfId="1" applyFill="1" applyBorder="1" applyAlignment="1">
      <alignment horizontal="left" vertical="center"/>
    </xf>
    <xf numFmtId="0" fontId="10" fillId="19" borderId="37" xfId="1" applyFont="1" applyFill="1" applyBorder="1" applyAlignment="1">
      <alignment horizontal="left" vertical="center"/>
    </xf>
    <xf numFmtId="0" fontId="3" fillId="19" borderId="37" xfId="1" applyFill="1" applyBorder="1" applyAlignment="1">
      <alignment horizontal="center" vertical="center"/>
    </xf>
    <xf numFmtId="2" fontId="9" fillId="19" borderId="37" xfId="1" applyNumberFormat="1" applyFont="1" applyFill="1" applyBorder="1" applyAlignment="1">
      <alignment horizontal="center" vertical="center"/>
    </xf>
    <xf numFmtId="0" fontId="3" fillId="19" borderId="37" xfId="1" quotePrefix="1" applyFill="1" applyBorder="1" applyAlignment="1">
      <alignment horizontal="center" vertical="center"/>
    </xf>
    <xf numFmtId="1" fontId="3" fillId="19" borderId="37" xfId="1" applyNumberFormat="1" applyFill="1" applyBorder="1" applyAlignment="1">
      <alignment horizontal="center" vertical="center"/>
    </xf>
    <xf numFmtId="2" fontId="3" fillId="19" borderId="37" xfId="1" applyNumberFormat="1" applyFill="1" applyBorder="1" applyAlignment="1">
      <alignment horizontal="center" vertical="center"/>
    </xf>
    <xf numFmtId="2" fontId="20" fillId="19" borderId="37" xfId="1" applyNumberFormat="1" applyFont="1" applyFill="1" applyBorder="1" applyAlignment="1">
      <alignment horizontal="center" vertical="center"/>
    </xf>
    <xf numFmtId="1" fontId="10" fillId="19" borderId="37" xfId="1" applyNumberFormat="1" applyFont="1" applyFill="1" applyBorder="1" applyAlignment="1">
      <alignment horizontal="center" vertical="center"/>
    </xf>
    <xf numFmtId="1" fontId="3" fillId="0" borderId="25" xfId="1" applyNumberFormat="1" applyBorder="1" applyAlignment="1">
      <alignment horizontal="left" vertical="center"/>
    </xf>
    <xf numFmtId="1" fontId="3" fillId="0" borderId="0" xfId="1" applyNumberFormat="1" applyAlignment="1">
      <alignment horizontal="left" vertical="center"/>
    </xf>
    <xf numFmtId="2" fontId="9" fillId="21" borderId="38" xfId="1" applyNumberFormat="1" applyFont="1" applyFill="1" applyBorder="1" applyAlignment="1">
      <alignment horizontal="center" vertical="center"/>
    </xf>
    <xf numFmtId="1" fontId="3" fillId="0" borderId="43" xfId="1" applyNumberFormat="1" applyBorder="1" applyAlignment="1">
      <alignment horizontal="left" vertical="center"/>
    </xf>
    <xf numFmtId="0" fontId="10" fillId="0" borderId="56" xfId="1" applyFont="1" applyBorder="1" applyAlignment="1">
      <alignment horizontal="center" vertical="center"/>
    </xf>
    <xf numFmtId="0" fontId="3" fillId="0" borderId="56" xfId="1" applyBorder="1" applyAlignment="1">
      <alignment horizontal="left" vertical="center"/>
    </xf>
    <xf numFmtId="0" fontId="10" fillId="0" borderId="56" xfId="1" applyFont="1" applyBorder="1" applyAlignment="1">
      <alignment horizontal="left" vertical="center"/>
    </xf>
    <xf numFmtId="0" fontId="3" fillId="0" borderId="56" xfId="1" applyBorder="1" applyAlignment="1">
      <alignment horizontal="center" vertical="center"/>
    </xf>
    <xf numFmtId="0" fontId="3" fillId="0" borderId="56" xfId="1" quotePrefix="1" applyBorder="1" applyAlignment="1">
      <alignment horizontal="center" vertical="center"/>
    </xf>
    <xf numFmtId="1" fontId="3" fillId="0" borderId="56" xfId="1" applyNumberFormat="1" applyBorder="1" applyAlignment="1">
      <alignment horizontal="center" vertical="center"/>
    </xf>
    <xf numFmtId="1" fontId="3" fillId="0" borderId="57" xfId="1" quotePrefix="1" applyNumberFormat="1" applyBorder="1" applyAlignment="1">
      <alignment horizontal="left" vertical="center"/>
    </xf>
    <xf numFmtId="0" fontId="10" fillId="0" borderId="57" xfId="1" applyFont="1" applyBorder="1" applyAlignment="1">
      <alignment horizontal="center" vertical="center"/>
    </xf>
    <xf numFmtId="0" fontId="3" fillId="0" borderId="57" xfId="1" applyBorder="1" applyAlignment="1">
      <alignment horizontal="left" vertical="center"/>
    </xf>
    <xf numFmtId="0" fontId="10" fillId="0" borderId="57" xfId="1" applyFont="1" applyBorder="1" applyAlignment="1">
      <alignment horizontal="left" vertical="center"/>
    </xf>
    <xf numFmtId="0" fontId="3" fillId="0" borderId="57" xfId="1" applyBorder="1" applyAlignment="1">
      <alignment horizontal="center" vertical="center"/>
    </xf>
    <xf numFmtId="2" fontId="9" fillId="0" borderId="58" xfId="1" applyNumberFormat="1" applyFont="1" applyBorder="1" applyAlignment="1">
      <alignment horizontal="center" vertical="center"/>
    </xf>
    <xf numFmtId="0" fontId="3" fillId="0" borderId="57" xfId="1" quotePrefix="1" applyBorder="1" applyAlignment="1">
      <alignment horizontal="center" vertical="center"/>
    </xf>
    <xf numFmtId="1" fontId="3" fillId="0" borderId="57" xfId="1" applyNumberFormat="1" applyBorder="1" applyAlignment="1">
      <alignment horizontal="center" vertical="center"/>
    </xf>
    <xf numFmtId="1" fontId="3" fillId="18" borderId="59" xfId="1" applyNumberFormat="1" applyFill="1" applyBorder="1" applyAlignment="1">
      <alignment horizontal="center" vertical="center"/>
    </xf>
    <xf numFmtId="1" fontId="3" fillId="0" borderId="59" xfId="1" applyNumberFormat="1" applyBorder="1" applyAlignment="1">
      <alignment horizontal="center" vertical="center"/>
    </xf>
    <xf numFmtId="2" fontId="3" fillId="0" borderId="59" xfId="1" applyNumberFormat="1" applyBorder="1" applyAlignment="1">
      <alignment horizontal="center" vertical="center"/>
    </xf>
    <xf numFmtId="0" fontId="8" fillId="20" borderId="60" xfId="1" applyFont="1" applyFill="1" applyBorder="1" applyAlignment="1">
      <alignment horizontal="center" vertical="center" wrapText="1"/>
    </xf>
    <xf numFmtId="0" fontId="3" fillId="17" borderId="59" xfId="1" applyFill="1" applyBorder="1" applyAlignment="1">
      <alignment horizontal="center" vertical="center"/>
    </xf>
    <xf numFmtId="0" fontId="20" fillId="17" borderId="61" xfId="1" applyFont="1" applyFill="1" applyBorder="1" applyAlignment="1">
      <alignment horizontal="center" vertical="center"/>
    </xf>
    <xf numFmtId="1" fontId="3" fillId="14" borderId="19" xfId="1" applyNumberFormat="1" applyFill="1" applyBorder="1" applyAlignment="1">
      <alignment horizontal="center" vertical="center"/>
    </xf>
    <xf numFmtId="1" fontId="3" fillId="0" borderId="30" xfId="1" applyNumberFormat="1" applyBorder="1" applyAlignment="1">
      <alignment horizontal="center" vertical="center"/>
    </xf>
    <xf numFmtId="1" fontId="3" fillId="0" borderId="19" xfId="1" applyNumberFormat="1" applyBorder="1" applyAlignment="1">
      <alignment horizontal="center" vertical="center"/>
    </xf>
    <xf numFmtId="0" fontId="8" fillId="2" borderId="21" xfId="1" applyFont="1" applyFill="1" applyBorder="1" applyAlignment="1">
      <alignment horizontal="center" vertical="center"/>
    </xf>
    <xf numFmtId="0" fontId="3" fillId="16" borderId="62" xfId="1" applyFill="1" applyBorder="1" applyAlignment="1">
      <alignment horizontal="center" vertical="center"/>
    </xf>
    <xf numFmtId="0" fontId="3" fillId="17" borderId="21" xfId="1" applyFill="1" applyBorder="1" applyAlignment="1">
      <alignment horizontal="center" vertical="center"/>
    </xf>
    <xf numFmtId="1" fontId="3" fillId="18" borderId="21" xfId="1" applyNumberFormat="1" applyFill="1" applyBorder="1" applyAlignment="1">
      <alignment horizontal="center" vertical="center"/>
    </xf>
    <xf numFmtId="2" fontId="3" fillId="0" borderId="21" xfId="1" applyNumberFormat="1" applyBorder="1" applyAlignment="1">
      <alignment horizontal="center" vertical="center"/>
    </xf>
    <xf numFmtId="0" fontId="8" fillId="20" borderId="63" xfId="1" applyFont="1" applyFill="1" applyBorder="1" applyAlignment="1">
      <alignment horizontal="center" vertical="center" wrapText="1"/>
    </xf>
    <xf numFmtId="0" fontId="3" fillId="17" borderId="63" xfId="1" applyFill="1" applyBorder="1" applyAlignment="1">
      <alignment horizontal="center" vertical="center"/>
    </xf>
    <xf numFmtId="0" fontId="20" fillId="17" borderId="64" xfId="1" applyFont="1" applyFill="1" applyBorder="1" applyAlignment="1">
      <alignment horizontal="center" vertical="center"/>
    </xf>
    <xf numFmtId="0" fontId="8" fillId="19" borderId="37" xfId="1" applyFont="1" applyFill="1" applyBorder="1" applyAlignment="1">
      <alignment horizontal="center" vertical="center"/>
    </xf>
    <xf numFmtId="2" fontId="3" fillId="0" borderId="14" xfId="1" applyNumberFormat="1" applyBorder="1" applyAlignment="1">
      <alignment horizontal="center" vertical="center"/>
    </xf>
    <xf numFmtId="0" fontId="8" fillId="2" borderId="14" xfId="1" applyFont="1" applyFill="1" applyBorder="1" applyAlignment="1">
      <alignment horizontal="center" vertical="center"/>
    </xf>
    <xf numFmtId="0" fontId="3" fillId="17" borderId="14" xfId="1" applyFill="1" applyBorder="1" applyAlignment="1">
      <alignment horizontal="center" vertical="center"/>
    </xf>
    <xf numFmtId="0" fontId="3" fillId="16" borderId="14" xfId="1" applyFill="1" applyBorder="1" applyAlignment="1">
      <alignment horizontal="center" vertical="center"/>
    </xf>
    <xf numFmtId="2" fontId="3" fillId="0" borderId="65" xfId="1" applyNumberFormat="1" applyBorder="1" applyAlignment="1">
      <alignment horizontal="center" vertical="center"/>
    </xf>
    <xf numFmtId="1" fontId="3" fillId="18" borderId="66" xfId="1" applyNumberFormat="1" applyFill="1" applyBorder="1" applyAlignment="1">
      <alignment horizontal="center" vertical="center"/>
    </xf>
    <xf numFmtId="1" fontId="3" fillId="0" borderId="66" xfId="1" applyNumberFormat="1" applyBorder="1" applyAlignment="1">
      <alignment horizontal="center" vertical="center"/>
    </xf>
    <xf numFmtId="2" fontId="3" fillId="0" borderId="66" xfId="1" applyNumberFormat="1" applyBorder="1" applyAlignment="1">
      <alignment horizontal="center" vertical="center"/>
    </xf>
    <xf numFmtId="0" fontId="3" fillId="8" borderId="43" xfId="1" applyFill="1" applyBorder="1" applyAlignment="1">
      <alignment horizontal="left" vertical="center"/>
    </xf>
    <xf numFmtId="2" fontId="9" fillId="21" borderId="52" xfId="1" applyNumberFormat="1" applyFont="1" applyFill="1" applyBorder="1" applyAlignment="1">
      <alignment horizontal="center" vertical="center"/>
    </xf>
    <xf numFmtId="2" fontId="9" fillId="21" borderId="49" xfId="1" applyNumberFormat="1" applyFont="1" applyFill="1" applyBorder="1" applyAlignment="1">
      <alignment horizontal="center" vertical="center"/>
    </xf>
    <xf numFmtId="0" fontId="3" fillId="22" borderId="0" xfId="1" applyFill="1" applyAlignment="1">
      <alignment horizontal="left" vertical="center"/>
    </xf>
    <xf numFmtId="0" fontId="3" fillId="22" borderId="43" xfId="1" applyFill="1" applyBorder="1" applyAlignment="1">
      <alignment horizontal="left" vertical="center"/>
    </xf>
    <xf numFmtId="0" fontId="20" fillId="17" borderId="67" xfId="1" applyFont="1" applyFill="1" applyBorder="1" applyAlignment="1">
      <alignment horizontal="center" vertical="center"/>
    </xf>
    <xf numFmtId="0" fontId="3" fillId="2" borderId="68" xfId="1" applyFill="1" applyBorder="1" applyAlignment="1">
      <alignment horizontal="center" vertical="center"/>
    </xf>
    <xf numFmtId="0" fontId="20" fillId="17" borderId="69" xfId="1" applyFont="1" applyFill="1" applyBorder="1" applyAlignment="1">
      <alignment horizontal="center" vertical="center"/>
    </xf>
    <xf numFmtId="0" fontId="3" fillId="2" borderId="70" xfId="1" applyFill="1" applyBorder="1" applyAlignment="1">
      <alignment horizontal="center" vertical="center"/>
    </xf>
    <xf numFmtId="1" fontId="3" fillId="19" borderId="71" xfId="1" applyNumberFormat="1" applyFill="1" applyBorder="1" applyAlignment="1">
      <alignment horizontal="left" vertical="center"/>
    </xf>
    <xf numFmtId="0" fontId="10" fillId="19" borderId="71" xfId="1" applyFont="1" applyFill="1" applyBorder="1" applyAlignment="1">
      <alignment horizontal="center" vertical="center"/>
    </xf>
    <xf numFmtId="1" fontId="21" fillId="19" borderId="71" xfId="1" applyNumberFormat="1" applyFont="1" applyFill="1" applyBorder="1" applyAlignment="1">
      <alignment horizontal="left" vertical="center"/>
    </xf>
    <xf numFmtId="0" fontId="3" fillId="19" borderId="71" xfId="1" applyFill="1" applyBorder="1" applyAlignment="1">
      <alignment horizontal="left" vertical="center"/>
    </xf>
    <xf numFmtId="0" fontId="10" fillId="19" borderId="71" xfId="1" applyFont="1" applyFill="1" applyBorder="1" applyAlignment="1">
      <alignment horizontal="left" vertical="center"/>
    </xf>
    <xf numFmtId="0" fontId="3" fillId="19" borderId="71" xfId="1" applyFill="1" applyBorder="1" applyAlignment="1">
      <alignment horizontal="center" vertical="center"/>
    </xf>
    <xf numFmtId="2" fontId="9" fillId="19" borderId="71" xfId="1" applyNumberFormat="1" applyFont="1" applyFill="1" applyBorder="1" applyAlignment="1">
      <alignment horizontal="center" vertical="center"/>
    </xf>
    <xf numFmtId="0" fontId="3" fillId="19" borderId="71" xfId="1" quotePrefix="1" applyFill="1" applyBorder="1" applyAlignment="1">
      <alignment horizontal="center" vertical="center"/>
    </xf>
    <xf numFmtId="1" fontId="3" fillId="19" borderId="71" xfId="1" applyNumberFormat="1" applyFill="1" applyBorder="1" applyAlignment="1">
      <alignment horizontal="center" vertical="center"/>
    </xf>
    <xf numFmtId="2" fontId="3" fillId="19" borderId="71" xfId="1" applyNumberFormat="1" applyFill="1" applyBorder="1" applyAlignment="1">
      <alignment horizontal="center" vertical="center"/>
    </xf>
    <xf numFmtId="0" fontId="8" fillId="19" borderId="71" xfId="1" applyFont="1" applyFill="1" applyBorder="1" applyAlignment="1">
      <alignment horizontal="center" vertical="center"/>
    </xf>
    <xf numFmtId="0" fontId="17" fillId="8" borderId="71" xfId="1" applyFont="1" applyFill="1" applyBorder="1" applyAlignment="1">
      <alignment horizontal="center" vertical="center"/>
    </xf>
    <xf numFmtId="2" fontId="20" fillId="19" borderId="71" xfId="1" applyNumberFormat="1" applyFont="1" applyFill="1" applyBorder="1" applyAlignment="1">
      <alignment horizontal="center" vertical="center"/>
    </xf>
    <xf numFmtId="1" fontId="10" fillId="19" borderId="71" xfId="1" applyNumberFormat="1" applyFont="1" applyFill="1" applyBorder="1" applyAlignment="1">
      <alignment horizontal="center" vertical="center"/>
    </xf>
    <xf numFmtId="0" fontId="3" fillId="8" borderId="0" xfId="1" applyFill="1" applyAlignment="1">
      <alignment horizontal="left" vertical="center"/>
    </xf>
    <xf numFmtId="1" fontId="3" fillId="0" borderId="7" xfId="1" applyNumberFormat="1" applyBorder="1" applyAlignment="1">
      <alignment horizontal="center" vertical="center" wrapText="1"/>
    </xf>
    <xf numFmtId="0" fontId="8" fillId="15" borderId="48" xfId="1" applyFont="1" applyFill="1" applyBorder="1" applyAlignment="1">
      <alignment horizontal="center" vertical="center"/>
    </xf>
    <xf numFmtId="0" fontId="3" fillId="16" borderId="48" xfId="1" applyFill="1" applyBorder="1" applyAlignment="1">
      <alignment horizontal="center" vertical="center"/>
    </xf>
    <xf numFmtId="2" fontId="9" fillId="0" borderId="72" xfId="1" applyNumberFormat="1" applyFont="1" applyBorder="1" applyAlignment="1">
      <alignment horizontal="center" vertical="center"/>
    </xf>
    <xf numFmtId="1" fontId="3" fillId="18" borderId="0" xfId="1" applyNumberFormat="1" applyFill="1" applyAlignment="1">
      <alignment horizontal="center" vertical="center"/>
    </xf>
    <xf numFmtId="0" fontId="8" fillId="0" borderId="0" xfId="1" applyFont="1" applyAlignment="1">
      <alignment horizontal="center" vertical="center"/>
    </xf>
    <xf numFmtId="0" fontId="9" fillId="0" borderId="0" xfId="1" applyFont="1" applyAlignment="1">
      <alignment horizontal="center" vertical="center"/>
    </xf>
    <xf numFmtId="2" fontId="3" fillId="0" borderId="0" xfId="1" applyNumberFormat="1" applyAlignment="1">
      <alignment vertical="center" wrapText="1"/>
    </xf>
    <xf numFmtId="2" fontId="9" fillId="0" borderId="0" xfId="1" applyNumberFormat="1" applyFont="1" applyAlignment="1">
      <alignment horizontal="center" vertical="center"/>
    </xf>
  </cellXfs>
  <cellStyles count="3">
    <cellStyle name="Normal" xfId="0" builtinId="0"/>
    <cellStyle name="Normal 2" xfId="1" xr:uid="{309DB694-A974-4ACE-9C1B-76593B4E6C58}"/>
    <cellStyle name="Normal 3" xfId="2" xr:uid="{BF8322F2-38C2-4F6C-9BA2-02960CC2481A}"/>
  </cellStyles>
  <dxfs count="5">
    <dxf>
      <fill>
        <patternFill>
          <bgColor indexed="10"/>
        </patternFill>
      </fill>
    </dxf>
    <dxf>
      <font>
        <condense val="0"/>
        <extend val="0"/>
        <color indexed="49"/>
      </font>
    </dxf>
    <dxf>
      <font>
        <condense val="0"/>
        <extend val="0"/>
        <color indexed="57"/>
      </font>
    </dxf>
    <dxf>
      <font>
        <condense val="0"/>
        <extend val="0"/>
        <color indexed="16"/>
      </font>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E06F0AA0-5608-478A-88D1-F0059E0BDAD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74B6EA70-F6C6-4855-88E3-E35CFCBF3FB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D9DE124D-9B7D-45E2-9883-8AC1567165F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7A46A319-973E-4D6B-97ED-5863C8947EB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1352550</xdr:colOff>
          <xdr:row>0</xdr:row>
          <xdr:rowOff>57150</xdr:rowOff>
        </xdr:from>
        <xdr:to>
          <xdr:col>11</xdr:col>
          <xdr:colOff>381000</xdr:colOff>
          <xdr:row>1</xdr:row>
          <xdr:rowOff>0</xdr:rowOff>
        </xdr:to>
        <xdr:sp macro="" textlink="">
          <xdr:nvSpPr>
            <xdr:cNvPr id="1029" name="Button 5" hidden="1">
              <a:extLst>
                <a:ext uri="{63B3BB69-23CF-44E3-9099-C40C66FF867C}">
                  <a14:compatExt spid="_x0000_s1029"/>
                </a:ext>
                <a:ext uri="{FF2B5EF4-FFF2-40B4-BE49-F238E27FC236}">
                  <a16:creationId xmlns:a16="http://schemas.microsoft.com/office/drawing/2014/main" id="{F47C918C-D3BD-4C5F-B778-29D2A751939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CẬP NHẬT GIÁ NHẬP + KIỂM TRA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885825</xdr:colOff>
          <xdr:row>0</xdr:row>
          <xdr:rowOff>66675</xdr:rowOff>
        </xdr:from>
        <xdr:to>
          <xdr:col>18</xdr:col>
          <xdr:colOff>1181100</xdr:colOff>
          <xdr:row>1</xdr:row>
          <xdr:rowOff>9525</xdr:rowOff>
        </xdr:to>
        <xdr:sp macro="" textlink="">
          <xdr:nvSpPr>
            <xdr:cNvPr id="1030" name="Button 6" hidden="1">
              <a:extLst>
                <a:ext uri="{63B3BB69-23CF-44E3-9099-C40C66FF867C}">
                  <a14:compatExt spid="_x0000_s1030"/>
                </a:ext>
                <a:ext uri="{FF2B5EF4-FFF2-40B4-BE49-F238E27FC236}">
                  <a16:creationId xmlns:a16="http://schemas.microsoft.com/office/drawing/2014/main" id="{8AF527FB-1111-4AD4-AB52-5530E5BE7EE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KIỂM TRA GIÁ AKCE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xdr:colOff>
          <xdr:row>5</xdr:row>
          <xdr:rowOff>28575</xdr:rowOff>
        </xdr:from>
        <xdr:to>
          <xdr:col>14</xdr:col>
          <xdr:colOff>1009650</xdr:colOff>
          <xdr:row>5</xdr:row>
          <xdr:rowOff>276225</xdr:rowOff>
        </xdr:to>
        <xdr:sp macro="" textlink="">
          <xdr:nvSpPr>
            <xdr:cNvPr id="1031" name="Button 7" hidden="1">
              <a:extLst>
                <a:ext uri="{63B3BB69-23CF-44E3-9099-C40C66FF867C}">
                  <a14:compatExt spid="_x0000_s1031"/>
                </a:ext>
                <a:ext uri="{FF2B5EF4-FFF2-40B4-BE49-F238E27FC236}">
                  <a16:creationId xmlns:a16="http://schemas.microsoft.com/office/drawing/2014/main" id="{A448E145-C380-467D-BA3D-623508DEE081}"/>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22860" rIns="27432" bIns="22860" anchor="ctr" upright="1"/>
            <a:lstStyle/>
            <a:p>
              <a:pPr algn="ctr" rtl="0">
                <a:defRPr sz="1000"/>
              </a:pPr>
              <a:r>
                <a:rPr lang="cs-CZ" sz="1000" b="1" i="0" u="none" strike="noStrike" baseline="0">
                  <a:solidFill>
                    <a:srgbClr val="0000FF"/>
                  </a:solidFill>
                  <a:latin typeface="Arial CE"/>
                  <a:cs typeface="Arial CE"/>
                </a:rPr>
                <a:t>STAV SKLADU</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V\AppData\Local\Temp\tmp0eibxi77.xls" TargetMode="External"/><Relationship Id="rId1" Type="http://schemas.openxmlformats.org/officeDocument/2006/relationships/externalLinkPath" Target="file:///C:\Users\PetrV\AppData\Local\Temp\tmp0eibxi7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04.02 - 10.02"/>
      <sheetName val="11.02 - 17.02"/>
      <sheetName val="18.02 - 24.02"/>
      <sheetName val="25.02 - 03.03"/>
      <sheetName val="04.03 - 10.03"/>
      <sheetName val="11.03 - 17.03"/>
      <sheetName val="18.03 - 24.03"/>
      <sheetName val="25.03 - 31.03"/>
      <sheetName val="01.04 - 07.04"/>
      <sheetName val="08.04 - 14.04"/>
      <sheetName val="15.04 - 21.04"/>
      <sheetName val="22.04 - 28.04"/>
      <sheetName val="29.04 - 05.05"/>
      <sheetName val="06.05 - 12.05"/>
      <sheetName val="13.05 - 19.05"/>
      <sheetName val="20.05 - 26.05"/>
      <sheetName val="27.05 - 02.06"/>
      <sheetName val="03.06 - 09.06"/>
      <sheetName val="10.06 - 16.06"/>
      <sheetName val="17.06 - 23.06"/>
      <sheetName val="24.06 - 30.06"/>
      <sheetName val="01.07 - 07.07"/>
      <sheetName val="08.07 - 14.07"/>
      <sheetName val="15.07 - 21.07"/>
      <sheetName val="22.07 - 28.07"/>
      <sheetName val="29.07 - 04.08"/>
      <sheetName val="05.08 - 11.08"/>
      <sheetName val="12.08 - 18.08"/>
      <sheetName val="19.08 - 25.08"/>
      <sheetName val="26.08 - 01.09"/>
      <sheetName val="02.09 - 08.09"/>
      <sheetName val="09.09 - 15.09"/>
      <sheetName val="16.09 - 22.09"/>
      <sheetName val="23.09 - 29.09"/>
      <sheetName val="30.09 - 06.10"/>
      <sheetName val="07.10 - 13.10"/>
      <sheetName val="14.10 - 20.10"/>
      <sheetName val="21.10 - 27.10"/>
      <sheetName val="28.10 - 03.11"/>
      <sheetName val="04.11 - 10.11"/>
      <sheetName val="11.11 - 17.11"/>
      <sheetName val="18.11 - 24.11"/>
      <sheetName val="25.11 - 01.12"/>
      <sheetName val="02.12 - 08.12"/>
      <sheetName val="09.12 - 15.12"/>
      <sheetName val="16.12 - 22.12"/>
      <sheetName val="23.12 - 29.12"/>
      <sheetName val="30.12 - 05.01"/>
      <sheetName val="06.01 - 12.01"/>
      <sheetName val="13.01 - 19.01"/>
      <sheetName val="20.01 - 26.01"/>
      <sheetName val="27.01 - 02.02"/>
    </sheetNames>
    <definedNames>
      <definedName name="Kontrola_GiaAkce"/>
      <definedName name="Load_NCS"/>
      <definedName name="load_StavSkladu"/>
      <definedName name="save2DB"/>
    </definedNames>
    <sheetDataSet>
      <sheetData sheetId="0">
        <row r="1">
          <cell r="A1" t="str">
            <v>EXCLUSIVE</v>
          </cell>
          <cell r="B1" t="str">
            <v>PKD</v>
          </cell>
        </row>
        <row r="2">
          <cell r="A2" t="str">
            <v>X-Life s.r.o.</v>
          </cell>
          <cell r="B2" t="str">
            <v>DUCANH</v>
          </cell>
        </row>
        <row r="3">
          <cell r="A3" t="str">
            <v>VIOLET KANGAROO s.r.o.</v>
          </cell>
          <cell r="B3" t="str">
            <v>DUCANH</v>
          </cell>
        </row>
        <row r="4">
          <cell r="A4" t="str">
            <v>The Bahlsen family</v>
          </cell>
          <cell r="B4" t="str">
            <v>DUCANH</v>
          </cell>
        </row>
        <row r="5">
          <cell r="A5" t="str">
            <v>Storck Česká republika, s.r.o. 2</v>
          </cell>
          <cell r="B5" t="str">
            <v>DUCANH</v>
          </cell>
        </row>
        <row r="6">
          <cell r="A6" t="str">
            <v>Storck Česká republika, s.r.o. 1</v>
          </cell>
          <cell r="B6" t="str">
            <v>DUCANH</v>
          </cell>
        </row>
        <row r="7">
          <cell r="A7" t="str">
            <v>Partner in Pet Food CZ s.r.o.</v>
          </cell>
          <cell r="B7" t="str">
            <v>DUCANH</v>
          </cell>
        </row>
        <row r="8">
          <cell r="A8" t="str">
            <v>Nestlé Česko s.r.o. - PURINA</v>
          </cell>
          <cell r="B8" t="str">
            <v>DUCANH</v>
          </cell>
        </row>
        <row r="9">
          <cell r="A9" t="str">
            <v>Nestlé Česko s.r.o. - MAGGI</v>
          </cell>
          <cell r="B9" t="str">
            <v>DUCANH</v>
          </cell>
        </row>
        <row r="10">
          <cell r="A10" t="str">
            <v>Nestlé Česko s.r.o. - KÁVA</v>
          </cell>
          <cell r="B10" t="str">
            <v>DUCANH</v>
          </cell>
        </row>
        <row r="11">
          <cell r="A11" t="str">
            <v>Nestlé Česko s.r.o. - CUKRO 2</v>
          </cell>
          <cell r="B11" t="str">
            <v>DUCANH</v>
          </cell>
        </row>
        <row r="12">
          <cell r="A12" t="str">
            <v>Nestlé Česko s.r.o. - CUKRO 1</v>
          </cell>
          <cell r="B12" t="str">
            <v>DUCANH</v>
          </cell>
        </row>
        <row r="13">
          <cell r="A13" t="str">
            <v>Nestlé Česko s.r.o. - CPW</v>
          </cell>
          <cell r="B13" t="str">
            <v>DUCANH</v>
          </cell>
        </row>
        <row r="14">
          <cell r="A14" t="str">
            <v>MP Sweet, s.r.o.</v>
          </cell>
          <cell r="B14" t="str">
            <v>DUCANH</v>
          </cell>
        </row>
        <row r="15">
          <cell r="A15" t="str">
            <v>Mondelez Czech Republic s.r.o.</v>
          </cell>
          <cell r="B15" t="str">
            <v>DUCANH</v>
          </cell>
        </row>
        <row r="16">
          <cell r="A16" t="str">
            <v>MOKATE Czech s.r.o.</v>
          </cell>
          <cell r="B16" t="str">
            <v>DUCANH</v>
          </cell>
        </row>
        <row r="17">
          <cell r="A17" t="str">
            <v>Mars Czech s.r.o.</v>
          </cell>
          <cell r="B17" t="str">
            <v>DUCANH</v>
          </cell>
        </row>
        <row r="18">
          <cell r="A18" t="str">
            <v>MARKETING SYSTEMS INTERNATIONAL (MSI) 2</v>
          </cell>
          <cell r="B18" t="str">
            <v>DUCANH</v>
          </cell>
        </row>
        <row r="19">
          <cell r="A19" t="str">
            <v>MARKETING SYSTEMS INTERNATIONAL (MSI) 1</v>
          </cell>
          <cell r="B19" t="str">
            <v>DUCANH</v>
          </cell>
        </row>
        <row r="20">
          <cell r="A20" t="str">
            <v>M.K. INVEST Group  s.r.o.</v>
          </cell>
          <cell r="B20" t="str">
            <v>DUCANH</v>
          </cell>
        </row>
        <row r="21">
          <cell r="A21" t="str">
            <v>Josef Manner s.r.o.</v>
          </cell>
          <cell r="B21" t="str">
            <v>DUCANH</v>
          </cell>
        </row>
        <row r="22">
          <cell r="A22" t="str">
            <v>JIP východočeská, a.s. - Valeo Foods Group</v>
          </cell>
          <cell r="B22" t="str">
            <v>DUCANH</v>
          </cell>
        </row>
        <row r="23">
          <cell r="A23" t="str">
            <v>HOPI POPI,  a.s.</v>
          </cell>
          <cell r="B23" t="str">
            <v>DUCANH</v>
          </cell>
        </row>
        <row r="24">
          <cell r="A24" t="str">
            <v>GUNZ</v>
          </cell>
          <cell r="B24" t="str">
            <v>DUCANH</v>
          </cell>
        </row>
        <row r="25">
          <cell r="A25" t="str">
            <v>GEMINI DD s.r.o.</v>
          </cell>
          <cell r="B25" t="str">
            <v>DUCANH</v>
          </cell>
        </row>
        <row r="26">
          <cell r="A26" t="str">
            <v>Ed. Haas CZ s.r.o.</v>
          </cell>
          <cell r="B26" t="str">
            <v>DUCANH</v>
          </cell>
        </row>
        <row r="27">
          <cell r="A27" t="str">
            <v>COKO KLASIK družstvo @ZTP</v>
          </cell>
          <cell r="B27" t="str">
            <v>DUCANH</v>
          </cell>
        </row>
        <row r="28">
          <cell r="A28" t="str">
            <v>BM Holding s.r.o.</v>
          </cell>
          <cell r="B28" t="str">
            <v>DUCANH</v>
          </cell>
        </row>
        <row r="29">
          <cell r="A29" t="str">
            <v>AYGE s.r.o.</v>
          </cell>
          <cell r="B29" t="str">
            <v>DUCANH</v>
          </cell>
        </row>
        <row r="30">
          <cell r="A30" t="str">
            <v>AKINU CZ s.r.o. 2</v>
          </cell>
          <cell r="B30" t="str">
            <v>DUCANH</v>
          </cell>
        </row>
        <row r="31">
          <cell r="A31" t="str">
            <v>AKINU CZ s.r.o. 1</v>
          </cell>
          <cell r="B31" t="str">
            <v>DUCANH</v>
          </cell>
        </row>
        <row r="32">
          <cell r="A32" t="str">
            <v>VENTO BOHEMIA spol. s r.o.</v>
          </cell>
          <cell r="B32" t="str">
            <v>HUONG</v>
          </cell>
        </row>
        <row r="33">
          <cell r="A33" t="str">
            <v>Unilever ČR spol. s r.o.</v>
          </cell>
          <cell r="B33" t="str">
            <v>HUONG</v>
          </cell>
        </row>
        <row r="34">
          <cell r="A34" t="str">
            <v>TZMO Czech Republic s.r.o.</v>
          </cell>
          <cell r="B34" t="str">
            <v>HUONG</v>
          </cell>
        </row>
        <row r="35">
          <cell r="A35" t="str">
            <v>Tomáš Wunsch</v>
          </cell>
          <cell r="B35" t="str">
            <v>HUONG</v>
          </cell>
        </row>
        <row r="36">
          <cell r="A36" t="str">
            <v>Toal CZ s.r.o.</v>
          </cell>
          <cell r="B36" t="str">
            <v>HUONG</v>
          </cell>
        </row>
        <row r="37">
          <cell r="A37" t="str">
            <v>Sarantis Czech Republic, s.r.o.</v>
          </cell>
          <cell r="B37" t="str">
            <v>HUONG</v>
          </cell>
        </row>
        <row r="38">
          <cell r="A38" t="str">
            <v>Putorius s.r.o.</v>
          </cell>
          <cell r="B38" t="str">
            <v>HUONG</v>
          </cell>
        </row>
        <row r="39">
          <cell r="A39" t="str">
            <v>PG</v>
          </cell>
          <cell r="B39" t="str">
            <v>HUONG</v>
          </cell>
        </row>
        <row r="40">
          <cell r="A40" t="str">
            <v>Melitrade a.s.</v>
          </cell>
          <cell r="B40" t="str">
            <v>HUONG</v>
          </cell>
        </row>
        <row r="41">
          <cell r="A41" t="str">
            <v>MATTES Corp. s.r.o.</v>
          </cell>
          <cell r="B41" t="str">
            <v>HUONG</v>
          </cell>
        </row>
        <row r="42">
          <cell r="A42" t="str">
            <v>Kimberly-Clark, s.r.o.</v>
          </cell>
          <cell r="B42" t="str">
            <v>HUONG</v>
          </cell>
        </row>
        <row r="43">
          <cell r="A43" t="str">
            <v>HENKEL ČR, spol. s r.o. 2</v>
          </cell>
          <cell r="B43" t="str">
            <v>HUONG</v>
          </cell>
        </row>
        <row r="44">
          <cell r="A44" t="str">
            <v>HENKEL ČR, spol. s r.o. 1</v>
          </cell>
          <cell r="B44" t="str">
            <v>HUONG</v>
          </cell>
        </row>
        <row r="45">
          <cell r="A45" t="str">
            <v>HARTMANN - RICO a.s.</v>
          </cell>
          <cell r="B45" t="str">
            <v>HUONG</v>
          </cell>
        </row>
        <row r="46">
          <cell r="A46" t="str">
            <v>Essity Czech Republic s.r.o.</v>
          </cell>
          <cell r="B46" t="str">
            <v>HUONG</v>
          </cell>
        </row>
        <row r="47">
          <cell r="A47" t="str">
            <v>Beiersdorf spol. s r.o.</v>
          </cell>
          <cell r="B47" t="str">
            <v>HUONG</v>
          </cell>
        </row>
        <row r="48">
          <cell r="A48" t="str">
            <v>AC Marca Czech Rep</v>
          </cell>
          <cell r="B48" t="str">
            <v>HUONG</v>
          </cell>
        </row>
        <row r="49">
          <cell r="A49" t="str">
            <v>XP BOOST s.r.o.</v>
          </cell>
          <cell r="B49" t="str">
            <v>CHIEN</v>
          </cell>
        </row>
        <row r="50">
          <cell r="A50" t="str">
            <v>VITAR, s.r.o.</v>
          </cell>
          <cell r="B50" t="str">
            <v>CHIEN</v>
          </cell>
        </row>
        <row r="51">
          <cell r="A51" t="str">
            <v>Ultra Premium Brands - Central Europe s.r.o.</v>
          </cell>
          <cell r="B51" t="str">
            <v>CHIEN</v>
          </cell>
        </row>
        <row r="52">
          <cell r="A52" t="str">
            <v>Sodovkárna Kolín s.r.o.</v>
          </cell>
          <cell r="B52" t="str">
            <v>CHIEN</v>
          </cell>
        </row>
        <row r="53">
          <cell r="A53" t="str">
            <v>Pivovary Staropramen s.r.o.</v>
          </cell>
          <cell r="B53" t="str">
            <v>CHIEN</v>
          </cell>
        </row>
        <row r="54">
          <cell r="A54" t="str">
            <v>PFANNER, spol. s r.o.</v>
          </cell>
          <cell r="B54" t="str">
            <v>CHIEN</v>
          </cell>
        </row>
        <row r="55">
          <cell r="A55" t="str">
            <v>McCarter CZ, s.r.o. 2</v>
          </cell>
          <cell r="B55" t="str">
            <v>CHIEN</v>
          </cell>
        </row>
        <row r="56">
          <cell r="A56" t="str">
            <v>McCarter CZ, s.r.o. 1</v>
          </cell>
          <cell r="B56" t="str">
            <v>CHIEN</v>
          </cell>
        </row>
        <row r="57">
          <cell r="A57" t="str">
            <v>MASPEX Czech s.r.o.</v>
          </cell>
          <cell r="B57" t="str">
            <v>CHIEN</v>
          </cell>
        </row>
        <row r="58">
          <cell r="A58" t="str">
            <v>Kofola a.s.</v>
          </cell>
          <cell r="B58" t="str">
            <v>CHIEN</v>
          </cell>
        </row>
        <row r="59">
          <cell r="A59" t="str">
            <v>KMV BEV s.r.o.</v>
          </cell>
          <cell r="B59" t="str">
            <v>CHIEN</v>
          </cell>
        </row>
        <row r="60">
          <cell r="A60" t="str">
            <v>IKdrinks s.r.o. 2</v>
          </cell>
          <cell r="B60" t="str">
            <v>CHIEN</v>
          </cell>
        </row>
        <row r="61">
          <cell r="A61" t="str">
            <v>IKdrinks s.r.o. 1</v>
          </cell>
          <cell r="B61" t="str">
            <v>CHIEN</v>
          </cell>
        </row>
        <row r="62">
          <cell r="A62" t="str">
            <v>Hell Energy Drinks Czech s.r.o.</v>
          </cell>
          <cell r="B62" t="str">
            <v>CHIEN</v>
          </cell>
        </row>
        <row r="63">
          <cell r="A63" t="str">
            <v>Heineken Česká republika, a.s.</v>
          </cell>
          <cell r="B63" t="str">
            <v>CHIEN</v>
          </cell>
        </row>
        <row r="64">
          <cell r="A64" t="str">
            <v>Good Vibes s.r.o.</v>
          </cell>
          <cell r="B64" t="str">
            <v>CHIEN</v>
          </cell>
        </row>
        <row r="65">
          <cell r="A65" t="str">
            <v>Coca-Cola HBC Česko a Slovensko, s.r.o. 2</v>
          </cell>
          <cell r="B65" t="str">
            <v>CHIEN</v>
          </cell>
        </row>
        <row r="66">
          <cell r="A66" t="str">
            <v>Coca-Cola HBC Česko a Slovensko, s.r.o. 1</v>
          </cell>
          <cell r="B66" t="str">
            <v>CHIEN</v>
          </cell>
        </row>
        <row r="67">
          <cell r="A67" t="str">
            <v>BUDA-MONT S.R.O.</v>
          </cell>
          <cell r="B67" t="str">
            <v>CHIEN</v>
          </cell>
        </row>
        <row r="68">
          <cell r="A68" t="str">
            <v>Big Shock s.r.o.</v>
          </cell>
          <cell r="B68" t="str">
            <v>CHIEN</v>
          </cell>
        </row>
        <row r="69">
          <cell r="A69" t="str">
            <v>Alko / JIP východočeská, a.s.</v>
          </cell>
          <cell r="B69" t="str">
            <v>CHIEN</v>
          </cell>
        </row>
        <row r="70">
          <cell r="A70" t="str">
            <v>Flavor Hub Sp</v>
          </cell>
          <cell r="B70" t="str">
            <v>KHANH</v>
          </cell>
        </row>
        <row r="71">
          <cell r="A71" t="str">
            <v>BEL Sýry Česko a.s.</v>
          </cell>
          <cell r="B71" t="str">
            <v>TU</v>
          </cell>
        </row>
        <row r="72">
          <cell r="A72" t="str">
            <v>Stockart s.r.o.</v>
          </cell>
          <cell r="B72" t="str">
            <v>VU</v>
          </cell>
        </row>
        <row r="73">
          <cell r="A73" t="str">
            <v>Spak Foods s.r.o</v>
          </cell>
          <cell r="B73" t="str">
            <v>VU</v>
          </cell>
        </row>
        <row r="74">
          <cell r="A74" t="str">
            <v>Silisan s.r.o.</v>
          </cell>
          <cell r="B74" t="str">
            <v>VU</v>
          </cell>
        </row>
        <row r="75">
          <cell r="A75" t="str">
            <v>Pěkný - Unimex s.r.o.</v>
          </cell>
          <cell r="B75" t="str">
            <v>VU</v>
          </cell>
        </row>
        <row r="76">
          <cell r="A76" t="str">
            <v>Orkla Foods a.s.</v>
          </cell>
          <cell r="B76" t="str">
            <v>VU</v>
          </cell>
        </row>
        <row r="77">
          <cell r="A77" t="str">
            <v>Orbico s.r.o.</v>
          </cell>
          <cell r="B77" t="str">
            <v>VU</v>
          </cell>
        </row>
        <row r="78">
          <cell r="A78" t="str">
            <v>Maresi Foodbrooker s.r.o.</v>
          </cell>
          <cell r="B78" t="str">
            <v>VU</v>
          </cell>
        </row>
        <row r="79">
          <cell r="A79" t="str">
            <v>Johann Kotányi s.r.o.</v>
          </cell>
          <cell r="B79" t="str">
            <v>VU</v>
          </cell>
        </row>
        <row r="80">
          <cell r="A80" t="str">
            <v>Intersnack a.s. 5</v>
          </cell>
          <cell r="B80" t="str">
            <v>VU</v>
          </cell>
        </row>
        <row r="81">
          <cell r="A81" t="str">
            <v>Intersnack a.s. 4</v>
          </cell>
          <cell r="B81" t="str">
            <v>VU</v>
          </cell>
        </row>
        <row r="82">
          <cell r="A82" t="str">
            <v>Intersnack a.s. 3</v>
          </cell>
          <cell r="B82" t="str">
            <v>VU</v>
          </cell>
        </row>
        <row r="83">
          <cell r="A83" t="str">
            <v>Intersnack a.s. 2</v>
          </cell>
          <cell r="B83" t="str">
            <v>VU</v>
          </cell>
        </row>
        <row r="84">
          <cell r="A84" t="str">
            <v>Intersnack a.s. 1</v>
          </cell>
          <cell r="B84" t="str">
            <v>VU</v>
          </cell>
        </row>
        <row r="85">
          <cell r="A85" t="str">
            <v>Gaston s.r.o. 2</v>
          </cell>
          <cell r="B85" t="str">
            <v>VU</v>
          </cell>
        </row>
        <row r="86">
          <cell r="A86" t="str">
            <v>Gaston s.r.o. 1</v>
          </cell>
          <cell r="B86" t="str">
            <v>VU</v>
          </cell>
        </row>
        <row r="87">
          <cell r="A87" t="str">
            <v>Emco spol. s r.o.</v>
          </cell>
          <cell r="B87" t="str">
            <v>VU</v>
          </cell>
        </row>
        <row r="88">
          <cell r="A88" t="str">
            <v>Dr. Oetker spol. s r.o.</v>
          </cell>
          <cell r="B88" t="str">
            <v>VU</v>
          </cell>
        </row>
        <row r="89">
          <cell r="A89" t="str">
            <v>Comperio s.r.o.</v>
          </cell>
          <cell r="B89" t="str">
            <v>VU</v>
          </cell>
        </row>
        <row r="90">
          <cell r="A90" t="str">
            <v>Cerealis a.s. (Europasta)</v>
          </cell>
          <cell r="B90" t="str">
            <v>VU</v>
          </cell>
        </row>
        <row r="91">
          <cell r="A91" t="str">
            <v>Bonavita spol. s r.o.</v>
          </cell>
          <cell r="B91" t="str">
            <v>VU</v>
          </cell>
        </row>
        <row r="92">
          <cell r="A92" t="str">
            <v>BMC Brno s.r.o.</v>
          </cell>
          <cell r="B92" t="str">
            <v>VU</v>
          </cell>
        </row>
        <row r="93">
          <cell r="A93" t="str">
            <v>BAULI SLOVAKIA &amp; CZECH REPUBLIC s.r.o.</v>
          </cell>
          <cell r="B93" t="str">
            <v>VU</v>
          </cell>
        </row>
        <row r="94">
          <cell r="A94" t="str">
            <v>Lactalis CZ, s.r.o.</v>
          </cell>
          <cell r="B94" t="str">
            <v>TU</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7C1E8-D267-4F76-8565-3F3C1ABCD27F}">
  <sheetPr codeName="Sheet52"/>
  <dimension ref="A1:IV3836"/>
  <sheetViews>
    <sheetView tabSelected="1" zoomScale="70" zoomScaleNormal="80" workbookViewId="0">
      <pane ySplit="6" topLeftCell="A166" activePane="bottomLeft" state="frozen"/>
      <selection activeCell="M359" sqref="M359"/>
      <selection pane="bottomLeft" activeCell="W207" sqref="W207"/>
    </sheetView>
  </sheetViews>
  <sheetFormatPr defaultRowHeight="12.75" x14ac:dyDescent="0.25"/>
  <cols>
    <col min="1" max="1" width="3.28515625" style="21" customWidth="1"/>
    <col min="2" max="2" width="16" style="276" customWidth="1"/>
    <col min="3" max="3" width="6.7109375" style="81" customWidth="1"/>
    <col min="4" max="4" width="32.42578125" style="23" customWidth="1"/>
    <col min="5" max="5" width="25.5703125" style="23" customWidth="1"/>
    <col min="6" max="6" width="22.7109375" style="82" customWidth="1"/>
    <col min="7" max="7" width="14.140625" style="21" customWidth="1"/>
    <col min="8" max="8" width="8.7109375" style="351" customWidth="1"/>
    <col min="9" max="9" width="9.140625" style="21"/>
    <col min="10" max="10" width="15.7109375" style="23" customWidth="1"/>
    <col min="11" max="12" width="9.140625" style="21"/>
    <col min="13" max="13" width="12.7109375" style="21" customWidth="1"/>
    <col min="14" max="14" width="9.7109375" style="87" customWidth="1"/>
    <col min="15" max="15" width="15.5703125" style="87" customWidth="1"/>
    <col min="16" max="17" width="6.7109375" style="87" customWidth="1"/>
    <col min="18" max="18" width="10" style="84" customWidth="1"/>
    <col min="19" max="19" width="27.28515625" style="348" customWidth="1"/>
    <col min="20" max="20" width="15.7109375" style="21" customWidth="1"/>
    <col min="21" max="21" width="23.5703125" style="21" customWidth="1"/>
    <col min="22" max="22" width="8.7109375" style="349" customWidth="1"/>
    <col min="23" max="23" width="8.28515625" style="21" customWidth="1"/>
    <col min="24" max="24" width="8.28515625" style="147" customWidth="1"/>
    <col min="25" max="25" width="10.7109375" style="20" customWidth="1"/>
    <col min="26" max="26" width="6.7109375" style="21" customWidth="1"/>
    <col min="27" max="28" width="6.7109375" style="22" customWidth="1"/>
    <col min="29" max="29" width="20.140625" style="23" customWidth="1"/>
    <col min="30" max="32" width="6.7109375" style="22" customWidth="1"/>
    <col min="33" max="38" width="9.140625" style="22"/>
    <col min="39" max="39" width="9.140625" style="24"/>
    <col min="40" max="256" width="9.140625" style="22"/>
    <col min="257" max="257" width="3.28515625" style="22" customWidth="1"/>
    <col min="258" max="258" width="16" style="22" customWidth="1"/>
    <col min="259" max="259" width="6.7109375" style="22" customWidth="1"/>
    <col min="260" max="260" width="32.42578125" style="22" customWidth="1"/>
    <col min="261" max="261" width="25.5703125" style="22" customWidth="1"/>
    <col min="262" max="262" width="22.7109375" style="22" customWidth="1"/>
    <col min="263" max="263" width="14.140625" style="22" customWidth="1"/>
    <col min="264" max="264" width="8.7109375" style="22" customWidth="1"/>
    <col min="265" max="265" width="9.140625" style="22"/>
    <col min="266" max="266" width="15.7109375" style="22" customWidth="1"/>
    <col min="267" max="268" width="9.140625" style="22"/>
    <col min="269" max="269" width="12.7109375" style="22" customWidth="1"/>
    <col min="270" max="270" width="9.7109375" style="22" customWidth="1"/>
    <col min="271" max="271" width="15.5703125" style="22" customWidth="1"/>
    <col min="272" max="273" width="6.7109375" style="22" customWidth="1"/>
    <col min="274" max="274" width="10" style="22" customWidth="1"/>
    <col min="275" max="275" width="27.28515625" style="22" customWidth="1"/>
    <col min="276" max="276" width="15.7109375" style="22" customWidth="1"/>
    <col min="277" max="277" width="23.5703125" style="22" customWidth="1"/>
    <col min="278" max="278" width="8.7109375" style="22" customWidth="1"/>
    <col min="279" max="280" width="8.28515625" style="22" customWidth="1"/>
    <col min="281" max="281" width="10.7109375" style="22" customWidth="1"/>
    <col min="282" max="284" width="6.7109375" style="22" customWidth="1"/>
    <col min="285" max="285" width="20.140625" style="22" customWidth="1"/>
    <col min="286" max="288" width="6.7109375" style="22" customWidth="1"/>
    <col min="289" max="512" width="9.140625" style="22"/>
    <col min="513" max="513" width="3.28515625" style="22" customWidth="1"/>
    <col min="514" max="514" width="16" style="22" customWidth="1"/>
    <col min="515" max="515" width="6.7109375" style="22" customWidth="1"/>
    <col min="516" max="516" width="32.42578125" style="22" customWidth="1"/>
    <col min="517" max="517" width="25.5703125" style="22" customWidth="1"/>
    <col min="518" max="518" width="22.7109375" style="22" customWidth="1"/>
    <col min="519" max="519" width="14.140625" style="22" customWidth="1"/>
    <col min="520" max="520" width="8.7109375" style="22" customWidth="1"/>
    <col min="521" max="521" width="9.140625" style="22"/>
    <col min="522" max="522" width="15.7109375" style="22" customWidth="1"/>
    <col min="523" max="524" width="9.140625" style="22"/>
    <col min="525" max="525" width="12.7109375" style="22" customWidth="1"/>
    <col min="526" max="526" width="9.7109375" style="22" customWidth="1"/>
    <col min="527" max="527" width="15.5703125" style="22" customWidth="1"/>
    <col min="528" max="529" width="6.7109375" style="22" customWidth="1"/>
    <col min="530" max="530" width="10" style="22" customWidth="1"/>
    <col min="531" max="531" width="27.28515625" style="22" customWidth="1"/>
    <col min="532" max="532" width="15.7109375" style="22" customWidth="1"/>
    <col min="533" max="533" width="23.5703125" style="22" customWidth="1"/>
    <col min="534" max="534" width="8.7109375" style="22" customWidth="1"/>
    <col min="535" max="536" width="8.28515625" style="22" customWidth="1"/>
    <col min="537" max="537" width="10.7109375" style="22" customWidth="1"/>
    <col min="538" max="540" width="6.7109375" style="22" customWidth="1"/>
    <col min="541" max="541" width="20.140625" style="22" customWidth="1"/>
    <col min="542" max="544" width="6.7109375" style="22" customWidth="1"/>
    <col min="545" max="768" width="9.140625" style="22"/>
    <col min="769" max="769" width="3.28515625" style="22" customWidth="1"/>
    <col min="770" max="770" width="16" style="22" customWidth="1"/>
    <col min="771" max="771" width="6.7109375" style="22" customWidth="1"/>
    <col min="772" max="772" width="32.42578125" style="22" customWidth="1"/>
    <col min="773" max="773" width="25.5703125" style="22" customWidth="1"/>
    <col min="774" max="774" width="22.7109375" style="22" customWidth="1"/>
    <col min="775" max="775" width="14.140625" style="22" customWidth="1"/>
    <col min="776" max="776" width="8.7109375" style="22" customWidth="1"/>
    <col min="777" max="777" width="9.140625" style="22"/>
    <col min="778" max="778" width="15.7109375" style="22" customWidth="1"/>
    <col min="779" max="780" width="9.140625" style="22"/>
    <col min="781" max="781" width="12.7109375" style="22" customWidth="1"/>
    <col min="782" max="782" width="9.7109375" style="22" customWidth="1"/>
    <col min="783" max="783" width="15.5703125" style="22" customWidth="1"/>
    <col min="784" max="785" width="6.7109375" style="22" customWidth="1"/>
    <col min="786" max="786" width="10" style="22" customWidth="1"/>
    <col min="787" max="787" width="27.28515625" style="22" customWidth="1"/>
    <col min="788" max="788" width="15.7109375" style="22" customWidth="1"/>
    <col min="789" max="789" width="23.5703125" style="22" customWidth="1"/>
    <col min="790" max="790" width="8.7109375" style="22" customWidth="1"/>
    <col min="791" max="792" width="8.28515625" style="22" customWidth="1"/>
    <col min="793" max="793" width="10.7109375" style="22" customWidth="1"/>
    <col min="794" max="796" width="6.7109375" style="22" customWidth="1"/>
    <col min="797" max="797" width="20.140625" style="22" customWidth="1"/>
    <col min="798" max="800" width="6.7109375" style="22" customWidth="1"/>
    <col min="801" max="1024" width="9.140625" style="22"/>
    <col min="1025" max="1025" width="3.28515625" style="22" customWidth="1"/>
    <col min="1026" max="1026" width="16" style="22" customWidth="1"/>
    <col min="1027" max="1027" width="6.7109375" style="22" customWidth="1"/>
    <col min="1028" max="1028" width="32.42578125" style="22" customWidth="1"/>
    <col min="1029" max="1029" width="25.5703125" style="22" customWidth="1"/>
    <col min="1030" max="1030" width="22.7109375" style="22" customWidth="1"/>
    <col min="1031" max="1031" width="14.140625" style="22" customWidth="1"/>
    <col min="1032" max="1032" width="8.7109375" style="22" customWidth="1"/>
    <col min="1033" max="1033" width="9.140625" style="22"/>
    <col min="1034" max="1034" width="15.7109375" style="22" customWidth="1"/>
    <col min="1035" max="1036" width="9.140625" style="22"/>
    <col min="1037" max="1037" width="12.7109375" style="22" customWidth="1"/>
    <col min="1038" max="1038" width="9.7109375" style="22" customWidth="1"/>
    <col min="1039" max="1039" width="15.5703125" style="22" customWidth="1"/>
    <col min="1040" max="1041" width="6.7109375" style="22" customWidth="1"/>
    <col min="1042" max="1042" width="10" style="22" customWidth="1"/>
    <col min="1043" max="1043" width="27.28515625" style="22" customWidth="1"/>
    <col min="1044" max="1044" width="15.7109375" style="22" customWidth="1"/>
    <col min="1045" max="1045" width="23.5703125" style="22" customWidth="1"/>
    <col min="1046" max="1046" width="8.7109375" style="22" customWidth="1"/>
    <col min="1047" max="1048" width="8.28515625" style="22" customWidth="1"/>
    <col min="1049" max="1049" width="10.7109375" style="22" customWidth="1"/>
    <col min="1050" max="1052" width="6.7109375" style="22" customWidth="1"/>
    <col min="1053" max="1053" width="20.140625" style="22" customWidth="1"/>
    <col min="1054" max="1056" width="6.7109375" style="22" customWidth="1"/>
    <col min="1057" max="1280" width="9.140625" style="22"/>
    <col min="1281" max="1281" width="3.28515625" style="22" customWidth="1"/>
    <col min="1282" max="1282" width="16" style="22" customWidth="1"/>
    <col min="1283" max="1283" width="6.7109375" style="22" customWidth="1"/>
    <col min="1284" max="1284" width="32.42578125" style="22" customWidth="1"/>
    <col min="1285" max="1285" width="25.5703125" style="22" customWidth="1"/>
    <col min="1286" max="1286" width="22.7109375" style="22" customWidth="1"/>
    <col min="1287" max="1287" width="14.140625" style="22" customWidth="1"/>
    <col min="1288" max="1288" width="8.7109375" style="22" customWidth="1"/>
    <col min="1289" max="1289" width="9.140625" style="22"/>
    <col min="1290" max="1290" width="15.7109375" style="22" customWidth="1"/>
    <col min="1291" max="1292" width="9.140625" style="22"/>
    <col min="1293" max="1293" width="12.7109375" style="22" customWidth="1"/>
    <col min="1294" max="1294" width="9.7109375" style="22" customWidth="1"/>
    <col min="1295" max="1295" width="15.5703125" style="22" customWidth="1"/>
    <col min="1296" max="1297" width="6.7109375" style="22" customWidth="1"/>
    <col min="1298" max="1298" width="10" style="22" customWidth="1"/>
    <col min="1299" max="1299" width="27.28515625" style="22" customWidth="1"/>
    <col min="1300" max="1300" width="15.7109375" style="22" customWidth="1"/>
    <col min="1301" max="1301" width="23.5703125" style="22" customWidth="1"/>
    <col min="1302" max="1302" width="8.7109375" style="22" customWidth="1"/>
    <col min="1303" max="1304" width="8.28515625" style="22" customWidth="1"/>
    <col min="1305" max="1305" width="10.7109375" style="22" customWidth="1"/>
    <col min="1306" max="1308" width="6.7109375" style="22" customWidth="1"/>
    <col min="1309" max="1309" width="20.140625" style="22" customWidth="1"/>
    <col min="1310" max="1312" width="6.7109375" style="22" customWidth="1"/>
    <col min="1313" max="1536" width="9.140625" style="22"/>
    <col min="1537" max="1537" width="3.28515625" style="22" customWidth="1"/>
    <col min="1538" max="1538" width="16" style="22" customWidth="1"/>
    <col min="1539" max="1539" width="6.7109375" style="22" customWidth="1"/>
    <col min="1540" max="1540" width="32.42578125" style="22" customWidth="1"/>
    <col min="1541" max="1541" width="25.5703125" style="22" customWidth="1"/>
    <col min="1542" max="1542" width="22.7109375" style="22" customWidth="1"/>
    <col min="1543" max="1543" width="14.140625" style="22" customWidth="1"/>
    <col min="1544" max="1544" width="8.7109375" style="22" customWidth="1"/>
    <col min="1545" max="1545" width="9.140625" style="22"/>
    <col min="1546" max="1546" width="15.7109375" style="22" customWidth="1"/>
    <col min="1547" max="1548" width="9.140625" style="22"/>
    <col min="1549" max="1549" width="12.7109375" style="22" customWidth="1"/>
    <col min="1550" max="1550" width="9.7109375" style="22" customWidth="1"/>
    <col min="1551" max="1551" width="15.5703125" style="22" customWidth="1"/>
    <col min="1552" max="1553" width="6.7109375" style="22" customWidth="1"/>
    <col min="1554" max="1554" width="10" style="22" customWidth="1"/>
    <col min="1555" max="1555" width="27.28515625" style="22" customWidth="1"/>
    <col min="1556" max="1556" width="15.7109375" style="22" customWidth="1"/>
    <col min="1557" max="1557" width="23.5703125" style="22" customWidth="1"/>
    <col min="1558" max="1558" width="8.7109375" style="22" customWidth="1"/>
    <col min="1559" max="1560" width="8.28515625" style="22" customWidth="1"/>
    <col min="1561" max="1561" width="10.7109375" style="22" customWidth="1"/>
    <col min="1562" max="1564" width="6.7109375" style="22" customWidth="1"/>
    <col min="1565" max="1565" width="20.140625" style="22" customWidth="1"/>
    <col min="1566" max="1568" width="6.7109375" style="22" customWidth="1"/>
    <col min="1569" max="1792" width="9.140625" style="22"/>
    <col min="1793" max="1793" width="3.28515625" style="22" customWidth="1"/>
    <col min="1794" max="1794" width="16" style="22" customWidth="1"/>
    <col min="1795" max="1795" width="6.7109375" style="22" customWidth="1"/>
    <col min="1796" max="1796" width="32.42578125" style="22" customWidth="1"/>
    <col min="1797" max="1797" width="25.5703125" style="22" customWidth="1"/>
    <col min="1798" max="1798" width="22.7109375" style="22" customWidth="1"/>
    <col min="1799" max="1799" width="14.140625" style="22" customWidth="1"/>
    <col min="1800" max="1800" width="8.7109375" style="22" customWidth="1"/>
    <col min="1801" max="1801" width="9.140625" style="22"/>
    <col min="1802" max="1802" width="15.7109375" style="22" customWidth="1"/>
    <col min="1803" max="1804" width="9.140625" style="22"/>
    <col min="1805" max="1805" width="12.7109375" style="22" customWidth="1"/>
    <col min="1806" max="1806" width="9.7109375" style="22" customWidth="1"/>
    <col min="1807" max="1807" width="15.5703125" style="22" customWidth="1"/>
    <col min="1808" max="1809" width="6.7109375" style="22" customWidth="1"/>
    <col min="1810" max="1810" width="10" style="22" customWidth="1"/>
    <col min="1811" max="1811" width="27.28515625" style="22" customWidth="1"/>
    <col min="1812" max="1812" width="15.7109375" style="22" customWidth="1"/>
    <col min="1813" max="1813" width="23.5703125" style="22" customWidth="1"/>
    <col min="1814" max="1814" width="8.7109375" style="22" customWidth="1"/>
    <col min="1815" max="1816" width="8.28515625" style="22" customWidth="1"/>
    <col min="1817" max="1817" width="10.7109375" style="22" customWidth="1"/>
    <col min="1818" max="1820" width="6.7109375" style="22" customWidth="1"/>
    <col min="1821" max="1821" width="20.140625" style="22" customWidth="1"/>
    <col min="1822" max="1824" width="6.7109375" style="22" customWidth="1"/>
    <col min="1825" max="2048" width="9.140625" style="22"/>
    <col min="2049" max="2049" width="3.28515625" style="22" customWidth="1"/>
    <col min="2050" max="2050" width="16" style="22" customWidth="1"/>
    <col min="2051" max="2051" width="6.7109375" style="22" customWidth="1"/>
    <col min="2052" max="2052" width="32.42578125" style="22" customWidth="1"/>
    <col min="2053" max="2053" width="25.5703125" style="22" customWidth="1"/>
    <col min="2054" max="2054" width="22.7109375" style="22" customWidth="1"/>
    <col min="2055" max="2055" width="14.140625" style="22" customWidth="1"/>
    <col min="2056" max="2056" width="8.7109375" style="22" customWidth="1"/>
    <col min="2057" max="2057" width="9.140625" style="22"/>
    <col min="2058" max="2058" width="15.7109375" style="22" customWidth="1"/>
    <col min="2059" max="2060" width="9.140625" style="22"/>
    <col min="2061" max="2061" width="12.7109375" style="22" customWidth="1"/>
    <col min="2062" max="2062" width="9.7109375" style="22" customWidth="1"/>
    <col min="2063" max="2063" width="15.5703125" style="22" customWidth="1"/>
    <col min="2064" max="2065" width="6.7109375" style="22" customWidth="1"/>
    <col min="2066" max="2066" width="10" style="22" customWidth="1"/>
    <col min="2067" max="2067" width="27.28515625" style="22" customWidth="1"/>
    <col min="2068" max="2068" width="15.7109375" style="22" customWidth="1"/>
    <col min="2069" max="2069" width="23.5703125" style="22" customWidth="1"/>
    <col min="2070" max="2070" width="8.7109375" style="22" customWidth="1"/>
    <col min="2071" max="2072" width="8.28515625" style="22" customWidth="1"/>
    <col min="2073" max="2073" width="10.7109375" style="22" customWidth="1"/>
    <col min="2074" max="2076" width="6.7109375" style="22" customWidth="1"/>
    <col min="2077" max="2077" width="20.140625" style="22" customWidth="1"/>
    <col min="2078" max="2080" width="6.7109375" style="22" customWidth="1"/>
    <col min="2081" max="2304" width="9.140625" style="22"/>
    <col min="2305" max="2305" width="3.28515625" style="22" customWidth="1"/>
    <col min="2306" max="2306" width="16" style="22" customWidth="1"/>
    <col min="2307" max="2307" width="6.7109375" style="22" customWidth="1"/>
    <col min="2308" max="2308" width="32.42578125" style="22" customWidth="1"/>
    <col min="2309" max="2309" width="25.5703125" style="22" customWidth="1"/>
    <col min="2310" max="2310" width="22.7109375" style="22" customWidth="1"/>
    <col min="2311" max="2311" width="14.140625" style="22" customWidth="1"/>
    <col min="2312" max="2312" width="8.7109375" style="22" customWidth="1"/>
    <col min="2313" max="2313" width="9.140625" style="22"/>
    <col min="2314" max="2314" width="15.7109375" style="22" customWidth="1"/>
    <col min="2315" max="2316" width="9.140625" style="22"/>
    <col min="2317" max="2317" width="12.7109375" style="22" customWidth="1"/>
    <col min="2318" max="2318" width="9.7109375" style="22" customWidth="1"/>
    <col min="2319" max="2319" width="15.5703125" style="22" customWidth="1"/>
    <col min="2320" max="2321" width="6.7109375" style="22" customWidth="1"/>
    <col min="2322" max="2322" width="10" style="22" customWidth="1"/>
    <col min="2323" max="2323" width="27.28515625" style="22" customWidth="1"/>
    <col min="2324" max="2324" width="15.7109375" style="22" customWidth="1"/>
    <col min="2325" max="2325" width="23.5703125" style="22" customWidth="1"/>
    <col min="2326" max="2326" width="8.7109375" style="22" customWidth="1"/>
    <col min="2327" max="2328" width="8.28515625" style="22" customWidth="1"/>
    <col min="2329" max="2329" width="10.7109375" style="22" customWidth="1"/>
    <col min="2330" max="2332" width="6.7109375" style="22" customWidth="1"/>
    <col min="2333" max="2333" width="20.140625" style="22" customWidth="1"/>
    <col min="2334" max="2336" width="6.7109375" style="22" customWidth="1"/>
    <col min="2337" max="2560" width="9.140625" style="22"/>
    <col min="2561" max="2561" width="3.28515625" style="22" customWidth="1"/>
    <col min="2562" max="2562" width="16" style="22" customWidth="1"/>
    <col min="2563" max="2563" width="6.7109375" style="22" customWidth="1"/>
    <col min="2564" max="2564" width="32.42578125" style="22" customWidth="1"/>
    <col min="2565" max="2565" width="25.5703125" style="22" customWidth="1"/>
    <col min="2566" max="2566" width="22.7109375" style="22" customWidth="1"/>
    <col min="2567" max="2567" width="14.140625" style="22" customWidth="1"/>
    <col min="2568" max="2568" width="8.7109375" style="22" customWidth="1"/>
    <col min="2569" max="2569" width="9.140625" style="22"/>
    <col min="2570" max="2570" width="15.7109375" style="22" customWidth="1"/>
    <col min="2571" max="2572" width="9.140625" style="22"/>
    <col min="2573" max="2573" width="12.7109375" style="22" customWidth="1"/>
    <col min="2574" max="2574" width="9.7109375" style="22" customWidth="1"/>
    <col min="2575" max="2575" width="15.5703125" style="22" customWidth="1"/>
    <col min="2576" max="2577" width="6.7109375" style="22" customWidth="1"/>
    <col min="2578" max="2578" width="10" style="22" customWidth="1"/>
    <col min="2579" max="2579" width="27.28515625" style="22" customWidth="1"/>
    <col min="2580" max="2580" width="15.7109375" style="22" customWidth="1"/>
    <col min="2581" max="2581" width="23.5703125" style="22" customWidth="1"/>
    <col min="2582" max="2582" width="8.7109375" style="22" customWidth="1"/>
    <col min="2583" max="2584" width="8.28515625" style="22" customWidth="1"/>
    <col min="2585" max="2585" width="10.7109375" style="22" customWidth="1"/>
    <col min="2586" max="2588" width="6.7109375" style="22" customWidth="1"/>
    <col min="2589" max="2589" width="20.140625" style="22" customWidth="1"/>
    <col min="2590" max="2592" width="6.7109375" style="22" customWidth="1"/>
    <col min="2593" max="2816" width="9.140625" style="22"/>
    <col min="2817" max="2817" width="3.28515625" style="22" customWidth="1"/>
    <col min="2818" max="2818" width="16" style="22" customWidth="1"/>
    <col min="2819" max="2819" width="6.7109375" style="22" customWidth="1"/>
    <col min="2820" max="2820" width="32.42578125" style="22" customWidth="1"/>
    <col min="2821" max="2821" width="25.5703125" style="22" customWidth="1"/>
    <col min="2822" max="2822" width="22.7109375" style="22" customWidth="1"/>
    <col min="2823" max="2823" width="14.140625" style="22" customWidth="1"/>
    <col min="2824" max="2824" width="8.7109375" style="22" customWidth="1"/>
    <col min="2825" max="2825" width="9.140625" style="22"/>
    <col min="2826" max="2826" width="15.7109375" style="22" customWidth="1"/>
    <col min="2827" max="2828" width="9.140625" style="22"/>
    <col min="2829" max="2829" width="12.7109375" style="22" customWidth="1"/>
    <col min="2830" max="2830" width="9.7109375" style="22" customWidth="1"/>
    <col min="2831" max="2831" width="15.5703125" style="22" customWidth="1"/>
    <col min="2832" max="2833" width="6.7109375" style="22" customWidth="1"/>
    <col min="2834" max="2834" width="10" style="22" customWidth="1"/>
    <col min="2835" max="2835" width="27.28515625" style="22" customWidth="1"/>
    <col min="2836" max="2836" width="15.7109375" style="22" customWidth="1"/>
    <col min="2837" max="2837" width="23.5703125" style="22" customWidth="1"/>
    <col min="2838" max="2838" width="8.7109375" style="22" customWidth="1"/>
    <col min="2839" max="2840" width="8.28515625" style="22" customWidth="1"/>
    <col min="2841" max="2841" width="10.7109375" style="22" customWidth="1"/>
    <col min="2842" max="2844" width="6.7109375" style="22" customWidth="1"/>
    <col min="2845" max="2845" width="20.140625" style="22" customWidth="1"/>
    <col min="2846" max="2848" width="6.7109375" style="22" customWidth="1"/>
    <col min="2849" max="3072" width="9.140625" style="22"/>
    <col min="3073" max="3073" width="3.28515625" style="22" customWidth="1"/>
    <col min="3074" max="3074" width="16" style="22" customWidth="1"/>
    <col min="3075" max="3075" width="6.7109375" style="22" customWidth="1"/>
    <col min="3076" max="3076" width="32.42578125" style="22" customWidth="1"/>
    <col min="3077" max="3077" width="25.5703125" style="22" customWidth="1"/>
    <col min="3078" max="3078" width="22.7109375" style="22" customWidth="1"/>
    <col min="3079" max="3079" width="14.140625" style="22" customWidth="1"/>
    <col min="3080" max="3080" width="8.7109375" style="22" customWidth="1"/>
    <col min="3081" max="3081" width="9.140625" style="22"/>
    <col min="3082" max="3082" width="15.7109375" style="22" customWidth="1"/>
    <col min="3083" max="3084" width="9.140625" style="22"/>
    <col min="3085" max="3085" width="12.7109375" style="22" customWidth="1"/>
    <col min="3086" max="3086" width="9.7109375" style="22" customWidth="1"/>
    <col min="3087" max="3087" width="15.5703125" style="22" customWidth="1"/>
    <col min="3088" max="3089" width="6.7109375" style="22" customWidth="1"/>
    <col min="3090" max="3090" width="10" style="22" customWidth="1"/>
    <col min="3091" max="3091" width="27.28515625" style="22" customWidth="1"/>
    <col min="3092" max="3092" width="15.7109375" style="22" customWidth="1"/>
    <col min="3093" max="3093" width="23.5703125" style="22" customWidth="1"/>
    <col min="3094" max="3094" width="8.7109375" style="22" customWidth="1"/>
    <col min="3095" max="3096" width="8.28515625" style="22" customWidth="1"/>
    <col min="3097" max="3097" width="10.7109375" style="22" customWidth="1"/>
    <col min="3098" max="3100" width="6.7109375" style="22" customWidth="1"/>
    <col min="3101" max="3101" width="20.140625" style="22" customWidth="1"/>
    <col min="3102" max="3104" width="6.7109375" style="22" customWidth="1"/>
    <col min="3105" max="3328" width="9.140625" style="22"/>
    <col min="3329" max="3329" width="3.28515625" style="22" customWidth="1"/>
    <col min="3330" max="3330" width="16" style="22" customWidth="1"/>
    <col min="3331" max="3331" width="6.7109375" style="22" customWidth="1"/>
    <col min="3332" max="3332" width="32.42578125" style="22" customWidth="1"/>
    <col min="3333" max="3333" width="25.5703125" style="22" customWidth="1"/>
    <col min="3334" max="3334" width="22.7109375" style="22" customWidth="1"/>
    <col min="3335" max="3335" width="14.140625" style="22" customWidth="1"/>
    <col min="3336" max="3336" width="8.7109375" style="22" customWidth="1"/>
    <col min="3337" max="3337" width="9.140625" style="22"/>
    <col min="3338" max="3338" width="15.7109375" style="22" customWidth="1"/>
    <col min="3339" max="3340" width="9.140625" style="22"/>
    <col min="3341" max="3341" width="12.7109375" style="22" customWidth="1"/>
    <col min="3342" max="3342" width="9.7109375" style="22" customWidth="1"/>
    <col min="3343" max="3343" width="15.5703125" style="22" customWidth="1"/>
    <col min="3344" max="3345" width="6.7109375" style="22" customWidth="1"/>
    <col min="3346" max="3346" width="10" style="22" customWidth="1"/>
    <col min="3347" max="3347" width="27.28515625" style="22" customWidth="1"/>
    <col min="3348" max="3348" width="15.7109375" style="22" customWidth="1"/>
    <col min="3349" max="3349" width="23.5703125" style="22" customWidth="1"/>
    <col min="3350" max="3350" width="8.7109375" style="22" customWidth="1"/>
    <col min="3351" max="3352" width="8.28515625" style="22" customWidth="1"/>
    <col min="3353" max="3353" width="10.7109375" style="22" customWidth="1"/>
    <col min="3354" max="3356" width="6.7109375" style="22" customWidth="1"/>
    <col min="3357" max="3357" width="20.140625" style="22" customWidth="1"/>
    <col min="3358" max="3360" width="6.7109375" style="22" customWidth="1"/>
    <col min="3361" max="3584" width="9.140625" style="22"/>
    <col min="3585" max="3585" width="3.28515625" style="22" customWidth="1"/>
    <col min="3586" max="3586" width="16" style="22" customWidth="1"/>
    <col min="3587" max="3587" width="6.7109375" style="22" customWidth="1"/>
    <col min="3588" max="3588" width="32.42578125" style="22" customWidth="1"/>
    <col min="3589" max="3589" width="25.5703125" style="22" customWidth="1"/>
    <col min="3590" max="3590" width="22.7109375" style="22" customWidth="1"/>
    <col min="3591" max="3591" width="14.140625" style="22" customWidth="1"/>
    <col min="3592" max="3592" width="8.7109375" style="22" customWidth="1"/>
    <col min="3593" max="3593" width="9.140625" style="22"/>
    <col min="3594" max="3594" width="15.7109375" style="22" customWidth="1"/>
    <col min="3595" max="3596" width="9.140625" style="22"/>
    <col min="3597" max="3597" width="12.7109375" style="22" customWidth="1"/>
    <col min="3598" max="3598" width="9.7109375" style="22" customWidth="1"/>
    <col min="3599" max="3599" width="15.5703125" style="22" customWidth="1"/>
    <col min="3600" max="3601" width="6.7109375" style="22" customWidth="1"/>
    <col min="3602" max="3602" width="10" style="22" customWidth="1"/>
    <col min="3603" max="3603" width="27.28515625" style="22" customWidth="1"/>
    <col min="3604" max="3604" width="15.7109375" style="22" customWidth="1"/>
    <col min="3605" max="3605" width="23.5703125" style="22" customWidth="1"/>
    <col min="3606" max="3606" width="8.7109375" style="22" customWidth="1"/>
    <col min="3607" max="3608" width="8.28515625" style="22" customWidth="1"/>
    <col min="3609" max="3609" width="10.7109375" style="22" customWidth="1"/>
    <col min="3610" max="3612" width="6.7109375" style="22" customWidth="1"/>
    <col min="3613" max="3613" width="20.140625" style="22" customWidth="1"/>
    <col min="3614" max="3616" width="6.7109375" style="22" customWidth="1"/>
    <col min="3617" max="3840" width="9.140625" style="22"/>
    <col min="3841" max="3841" width="3.28515625" style="22" customWidth="1"/>
    <col min="3842" max="3842" width="16" style="22" customWidth="1"/>
    <col min="3843" max="3843" width="6.7109375" style="22" customWidth="1"/>
    <col min="3844" max="3844" width="32.42578125" style="22" customWidth="1"/>
    <col min="3845" max="3845" width="25.5703125" style="22" customWidth="1"/>
    <col min="3846" max="3846" width="22.7109375" style="22" customWidth="1"/>
    <col min="3847" max="3847" width="14.140625" style="22" customWidth="1"/>
    <col min="3848" max="3848" width="8.7109375" style="22" customWidth="1"/>
    <col min="3849" max="3849" width="9.140625" style="22"/>
    <col min="3850" max="3850" width="15.7109375" style="22" customWidth="1"/>
    <col min="3851" max="3852" width="9.140625" style="22"/>
    <col min="3853" max="3853" width="12.7109375" style="22" customWidth="1"/>
    <col min="3854" max="3854" width="9.7109375" style="22" customWidth="1"/>
    <col min="3855" max="3855" width="15.5703125" style="22" customWidth="1"/>
    <col min="3856" max="3857" width="6.7109375" style="22" customWidth="1"/>
    <col min="3858" max="3858" width="10" style="22" customWidth="1"/>
    <col min="3859" max="3859" width="27.28515625" style="22" customWidth="1"/>
    <col min="3860" max="3860" width="15.7109375" style="22" customWidth="1"/>
    <col min="3861" max="3861" width="23.5703125" style="22" customWidth="1"/>
    <col min="3862" max="3862" width="8.7109375" style="22" customWidth="1"/>
    <col min="3863" max="3864" width="8.28515625" style="22" customWidth="1"/>
    <col min="3865" max="3865" width="10.7109375" style="22" customWidth="1"/>
    <col min="3866" max="3868" width="6.7109375" style="22" customWidth="1"/>
    <col min="3869" max="3869" width="20.140625" style="22" customWidth="1"/>
    <col min="3870" max="3872" width="6.7109375" style="22" customWidth="1"/>
    <col min="3873" max="4096" width="9.140625" style="22"/>
    <col min="4097" max="4097" width="3.28515625" style="22" customWidth="1"/>
    <col min="4098" max="4098" width="16" style="22" customWidth="1"/>
    <col min="4099" max="4099" width="6.7109375" style="22" customWidth="1"/>
    <col min="4100" max="4100" width="32.42578125" style="22" customWidth="1"/>
    <col min="4101" max="4101" width="25.5703125" style="22" customWidth="1"/>
    <col min="4102" max="4102" width="22.7109375" style="22" customWidth="1"/>
    <col min="4103" max="4103" width="14.140625" style="22" customWidth="1"/>
    <col min="4104" max="4104" width="8.7109375" style="22" customWidth="1"/>
    <col min="4105" max="4105" width="9.140625" style="22"/>
    <col min="4106" max="4106" width="15.7109375" style="22" customWidth="1"/>
    <col min="4107" max="4108" width="9.140625" style="22"/>
    <col min="4109" max="4109" width="12.7109375" style="22" customWidth="1"/>
    <col min="4110" max="4110" width="9.7109375" style="22" customWidth="1"/>
    <col min="4111" max="4111" width="15.5703125" style="22" customWidth="1"/>
    <col min="4112" max="4113" width="6.7109375" style="22" customWidth="1"/>
    <col min="4114" max="4114" width="10" style="22" customWidth="1"/>
    <col min="4115" max="4115" width="27.28515625" style="22" customWidth="1"/>
    <col min="4116" max="4116" width="15.7109375" style="22" customWidth="1"/>
    <col min="4117" max="4117" width="23.5703125" style="22" customWidth="1"/>
    <col min="4118" max="4118" width="8.7109375" style="22" customWidth="1"/>
    <col min="4119" max="4120" width="8.28515625" style="22" customWidth="1"/>
    <col min="4121" max="4121" width="10.7109375" style="22" customWidth="1"/>
    <col min="4122" max="4124" width="6.7109375" style="22" customWidth="1"/>
    <col min="4125" max="4125" width="20.140625" style="22" customWidth="1"/>
    <col min="4126" max="4128" width="6.7109375" style="22" customWidth="1"/>
    <col min="4129" max="4352" width="9.140625" style="22"/>
    <col min="4353" max="4353" width="3.28515625" style="22" customWidth="1"/>
    <col min="4354" max="4354" width="16" style="22" customWidth="1"/>
    <col min="4355" max="4355" width="6.7109375" style="22" customWidth="1"/>
    <col min="4356" max="4356" width="32.42578125" style="22" customWidth="1"/>
    <col min="4357" max="4357" width="25.5703125" style="22" customWidth="1"/>
    <col min="4358" max="4358" width="22.7109375" style="22" customWidth="1"/>
    <col min="4359" max="4359" width="14.140625" style="22" customWidth="1"/>
    <col min="4360" max="4360" width="8.7109375" style="22" customWidth="1"/>
    <col min="4361" max="4361" width="9.140625" style="22"/>
    <col min="4362" max="4362" width="15.7109375" style="22" customWidth="1"/>
    <col min="4363" max="4364" width="9.140625" style="22"/>
    <col min="4365" max="4365" width="12.7109375" style="22" customWidth="1"/>
    <col min="4366" max="4366" width="9.7109375" style="22" customWidth="1"/>
    <col min="4367" max="4367" width="15.5703125" style="22" customWidth="1"/>
    <col min="4368" max="4369" width="6.7109375" style="22" customWidth="1"/>
    <col min="4370" max="4370" width="10" style="22" customWidth="1"/>
    <col min="4371" max="4371" width="27.28515625" style="22" customWidth="1"/>
    <col min="4372" max="4372" width="15.7109375" style="22" customWidth="1"/>
    <col min="4373" max="4373" width="23.5703125" style="22" customWidth="1"/>
    <col min="4374" max="4374" width="8.7109375" style="22" customWidth="1"/>
    <col min="4375" max="4376" width="8.28515625" style="22" customWidth="1"/>
    <col min="4377" max="4377" width="10.7109375" style="22" customWidth="1"/>
    <col min="4378" max="4380" width="6.7109375" style="22" customWidth="1"/>
    <col min="4381" max="4381" width="20.140625" style="22" customWidth="1"/>
    <col min="4382" max="4384" width="6.7109375" style="22" customWidth="1"/>
    <col min="4385" max="4608" width="9.140625" style="22"/>
    <col min="4609" max="4609" width="3.28515625" style="22" customWidth="1"/>
    <col min="4610" max="4610" width="16" style="22" customWidth="1"/>
    <col min="4611" max="4611" width="6.7109375" style="22" customWidth="1"/>
    <col min="4612" max="4612" width="32.42578125" style="22" customWidth="1"/>
    <col min="4613" max="4613" width="25.5703125" style="22" customWidth="1"/>
    <col min="4614" max="4614" width="22.7109375" style="22" customWidth="1"/>
    <col min="4615" max="4615" width="14.140625" style="22" customWidth="1"/>
    <col min="4616" max="4616" width="8.7109375" style="22" customWidth="1"/>
    <col min="4617" max="4617" width="9.140625" style="22"/>
    <col min="4618" max="4618" width="15.7109375" style="22" customWidth="1"/>
    <col min="4619" max="4620" width="9.140625" style="22"/>
    <col min="4621" max="4621" width="12.7109375" style="22" customWidth="1"/>
    <col min="4622" max="4622" width="9.7109375" style="22" customWidth="1"/>
    <col min="4623" max="4623" width="15.5703125" style="22" customWidth="1"/>
    <col min="4624" max="4625" width="6.7109375" style="22" customWidth="1"/>
    <col min="4626" max="4626" width="10" style="22" customWidth="1"/>
    <col min="4627" max="4627" width="27.28515625" style="22" customWidth="1"/>
    <col min="4628" max="4628" width="15.7109375" style="22" customWidth="1"/>
    <col min="4629" max="4629" width="23.5703125" style="22" customWidth="1"/>
    <col min="4630" max="4630" width="8.7109375" style="22" customWidth="1"/>
    <col min="4631" max="4632" width="8.28515625" style="22" customWidth="1"/>
    <col min="4633" max="4633" width="10.7109375" style="22" customWidth="1"/>
    <col min="4634" max="4636" width="6.7109375" style="22" customWidth="1"/>
    <col min="4637" max="4637" width="20.140625" style="22" customWidth="1"/>
    <col min="4638" max="4640" width="6.7109375" style="22" customWidth="1"/>
    <col min="4641" max="4864" width="9.140625" style="22"/>
    <col min="4865" max="4865" width="3.28515625" style="22" customWidth="1"/>
    <col min="4866" max="4866" width="16" style="22" customWidth="1"/>
    <col min="4867" max="4867" width="6.7109375" style="22" customWidth="1"/>
    <col min="4868" max="4868" width="32.42578125" style="22" customWidth="1"/>
    <col min="4869" max="4869" width="25.5703125" style="22" customWidth="1"/>
    <col min="4870" max="4870" width="22.7109375" style="22" customWidth="1"/>
    <col min="4871" max="4871" width="14.140625" style="22" customWidth="1"/>
    <col min="4872" max="4872" width="8.7109375" style="22" customWidth="1"/>
    <col min="4873" max="4873" width="9.140625" style="22"/>
    <col min="4874" max="4874" width="15.7109375" style="22" customWidth="1"/>
    <col min="4875" max="4876" width="9.140625" style="22"/>
    <col min="4877" max="4877" width="12.7109375" style="22" customWidth="1"/>
    <col min="4878" max="4878" width="9.7109375" style="22" customWidth="1"/>
    <col min="4879" max="4879" width="15.5703125" style="22" customWidth="1"/>
    <col min="4880" max="4881" width="6.7109375" style="22" customWidth="1"/>
    <col min="4882" max="4882" width="10" style="22" customWidth="1"/>
    <col min="4883" max="4883" width="27.28515625" style="22" customWidth="1"/>
    <col min="4884" max="4884" width="15.7109375" style="22" customWidth="1"/>
    <col min="4885" max="4885" width="23.5703125" style="22" customWidth="1"/>
    <col min="4886" max="4886" width="8.7109375" style="22" customWidth="1"/>
    <col min="4887" max="4888" width="8.28515625" style="22" customWidth="1"/>
    <col min="4889" max="4889" width="10.7109375" style="22" customWidth="1"/>
    <col min="4890" max="4892" width="6.7109375" style="22" customWidth="1"/>
    <col min="4893" max="4893" width="20.140625" style="22" customWidth="1"/>
    <col min="4894" max="4896" width="6.7109375" style="22" customWidth="1"/>
    <col min="4897" max="5120" width="9.140625" style="22"/>
    <col min="5121" max="5121" width="3.28515625" style="22" customWidth="1"/>
    <col min="5122" max="5122" width="16" style="22" customWidth="1"/>
    <col min="5123" max="5123" width="6.7109375" style="22" customWidth="1"/>
    <col min="5124" max="5124" width="32.42578125" style="22" customWidth="1"/>
    <col min="5125" max="5125" width="25.5703125" style="22" customWidth="1"/>
    <col min="5126" max="5126" width="22.7109375" style="22" customWidth="1"/>
    <col min="5127" max="5127" width="14.140625" style="22" customWidth="1"/>
    <col min="5128" max="5128" width="8.7109375" style="22" customWidth="1"/>
    <col min="5129" max="5129" width="9.140625" style="22"/>
    <col min="5130" max="5130" width="15.7109375" style="22" customWidth="1"/>
    <col min="5131" max="5132" width="9.140625" style="22"/>
    <col min="5133" max="5133" width="12.7109375" style="22" customWidth="1"/>
    <col min="5134" max="5134" width="9.7109375" style="22" customWidth="1"/>
    <col min="5135" max="5135" width="15.5703125" style="22" customWidth="1"/>
    <col min="5136" max="5137" width="6.7109375" style="22" customWidth="1"/>
    <col min="5138" max="5138" width="10" style="22" customWidth="1"/>
    <col min="5139" max="5139" width="27.28515625" style="22" customWidth="1"/>
    <col min="5140" max="5140" width="15.7109375" style="22" customWidth="1"/>
    <col min="5141" max="5141" width="23.5703125" style="22" customWidth="1"/>
    <col min="5142" max="5142" width="8.7109375" style="22" customWidth="1"/>
    <col min="5143" max="5144" width="8.28515625" style="22" customWidth="1"/>
    <col min="5145" max="5145" width="10.7109375" style="22" customWidth="1"/>
    <col min="5146" max="5148" width="6.7109375" style="22" customWidth="1"/>
    <col min="5149" max="5149" width="20.140625" style="22" customWidth="1"/>
    <col min="5150" max="5152" width="6.7109375" style="22" customWidth="1"/>
    <col min="5153" max="5376" width="9.140625" style="22"/>
    <col min="5377" max="5377" width="3.28515625" style="22" customWidth="1"/>
    <col min="5378" max="5378" width="16" style="22" customWidth="1"/>
    <col min="5379" max="5379" width="6.7109375" style="22" customWidth="1"/>
    <col min="5380" max="5380" width="32.42578125" style="22" customWidth="1"/>
    <col min="5381" max="5381" width="25.5703125" style="22" customWidth="1"/>
    <col min="5382" max="5382" width="22.7109375" style="22" customWidth="1"/>
    <col min="5383" max="5383" width="14.140625" style="22" customWidth="1"/>
    <col min="5384" max="5384" width="8.7109375" style="22" customWidth="1"/>
    <col min="5385" max="5385" width="9.140625" style="22"/>
    <col min="5386" max="5386" width="15.7109375" style="22" customWidth="1"/>
    <col min="5387" max="5388" width="9.140625" style="22"/>
    <col min="5389" max="5389" width="12.7109375" style="22" customWidth="1"/>
    <col min="5390" max="5390" width="9.7109375" style="22" customWidth="1"/>
    <col min="5391" max="5391" width="15.5703125" style="22" customWidth="1"/>
    <col min="5392" max="5393" width="6.7109375" style="22" customWidth="1"/>
    <col min="5394" max="5394" width="10" style="22" customWidth="1"/>
    <col min="5395" max="5395" width="27.28515625" style="22" customWidth="1"/>
    <col min="5396" max="5396" width="15.7109375" style="22" customWidth="1"/>
    <col min="5397" max="5397" width="23.5703125" style="22" customWidth="1"/>
    <col min="5398" max="5398" width="8.7109375" style="22" customWidth="1"/>
    <col min="5399" max="5400" width="8.28515625" style="22" customWidth="1"/>
    <col min="5401" max="5401" width="10.7109375" style="22" customWidth="1"/>
    <col min="5402" max="5404" width="6.7109375" style="22" customWidth="1"/>
    <col min="5405" max="5405" width="20.140625" style="22" customWidth="1"/>
    <col min="5406" max="5408" width="6.7109375" style="22" customWidth="1"/>
    <col min="5409" max="5632" width="9.140625" style="22"/>
    <col min="5633" max="5633" width="3.28515625" style="22" customWidth="1"/>
    <col min="5634" max="5634" width="16" style="22" customWidth="1"/>
    <col min="5635" max="5635" width="6.7109375" style="22" customWidth="1"/>
    <col min="5636" max="5636" width="32.42578125" style="22" customWidth="1"/>
    <col min="5637" max="5637" width="25.5703125" style="22" customWidth="1"/>
    <col min="5638" max="5638" width="22.7109375" style="22" customWidth="1"/>
    <col min="5639" max="5639" width="14.140625" style="22" customWidth="1"/>
    <col min="5640" max="5640" width="8.7109375" style="22" customWidth="1"/>
    <col min="5641" max="5641" width="9.140625" style="22"/>
    <col min="5642" max="5642" width="15.7109375" style="22" customWidth="1"/>
    <col min="5643" max="5644" width="9.140625" style="22"/>
    <col min="5645" max="5645" width="12.7109375" style="22" customWidth="1"/>
    <col min="5646" max="5646" width="9.7109375" style="22" customWidth="1"/>
    <col min="5647" max="5647" width="15.5703125" style="22" customWidth="1"/>
    <col min="5648" max="5649" width="6.7109375" style="22" customWidth="1"/>
    <col min="5650" max="5650" width="10" style="22" customWidth="1"/>
    <col min="5651" max="5651" width="27.28515625" style="22" customWidth="1"/>
    <col min="5652" max="5652" width="15.7109375" style="22" customWidth="1"/>
    <col min="5653" max="5653" width="23.5703125" style="22" customWidth="1"/>
    <col min="5654" max="5654" width="8.7109375" style="22" customWidth="1"/>
    <col min="5655" max="5656" width="8.28515625" style="22" customWidth="1"/>
    <col min="5657" max="5657" width="10.7109375" style="22" customWidth="1"/>
    <col min="5658" max="5660" width="6.7109375" style="22" customWidth="1"/>
    <col min="5661" max="5661" width="20.140625" style="22" customWidth="1"/>
    <col min="5662" max="5664" width="6.7109375" style="22" customWidth="1"/>
    <col min="5665" max="5888" width="9.140625" style="22"/>
    <col min="5889" max="5889" width="3.28515625" style="22" customWidth="1"/>
    <col min="5890" max="5890" width="16" style="22" customWidth="1"/>
    <col min="5891" max="5891" width="6.7109375" style="22" customWidth="1"/>
    <col min="5892" max="5892" width="32.42578125" style="22" customWidth="1"/>
    <col min="5893" max="5893" width="25.5703125" style="22" customWidth="1"/>
    <col min="5894" max="5894" width="22.7109375" style="22" customWidth="1"/>
    <col min="5895" max="5895" width="14.140625" style="22" customWidth="1"/>
    <col min="5896" max="5896" width="8.7109375" style="22" customWidth="1"/>
    <col min="5897" max="5897" width="9.140625" style="22"/>
    <col min="5898" max="5898" width="15.7109375" style="22" customWidth="1"/>
    <col min="5899" max="5900" width="9.140625" style="22"/>
    <col min="5901" max="5901" width="12.7109375" style="22" customWidth="1"/>
    <col min="5902" max="5902" width="9.7109375" style="22" customWidth="1"/>
    <col min="5903" max="5903" width="15.5703125" style="22" customWidth="1"/>
    <col min="5904" max="5905" width="6.7109375" style="22" customWidth="1"/>
    <col min="5906" max="5906" width="10" style="22" customWidth="1"/>
    <col min="5907" max="5907" width="27.28515625" style="22" customWidth="1"/>
    <col min="5908" max="5908" width="15.7109375" style="22" customWidth="1"/>
    <col min="5909" max="5909" width="23.5703125" style="22" customWidth="1"/>
    <col min="5910" max="5910" width="8.7109375" style="22" customWidth="1"/>
    <col min="5911" max="5912" width="8.28515625" style="22" customWidth="1"/>
    <col min="5913" max="5913" width="10.7109375" style="22" customWidth="1"/>
    <col min="5914" max="5916" width="6.7109375" style="22" customWidth="1"/>
    <col min="5917" max="5917" width="20.140625" style="22" customWidth="1"/>
    <col min="5918" max="5920" width="6.7109375" style="22" customWidth="1"/>
    <col min="5921" max="6144" width="9.140625" style="22"/>
    <col min="6145" max="6145" width="3.28515625" style="22" customWidth="1"/>
    <col min="6146" max="6146" width="16" style="22" customWidth="1"/>
    <col min="6147" max="6147" width="6.7109375" style="22" customWidth="1"/>
    <col min="6148" max="6148" width="32.42578125" style="22" customWidth="1"/>
    <col min="6149" max="6149" width="25.5703125" style="22" customWidth="1"/>
    <col min="6150" max="6150" width="22.7109375" style="22" customWidth="1"/>
    <col min="6151" max="6151" width="14.140625" style="22" customWidth="1"/>
    <col min="6152" max="6152" width="8.7109375" style="22" customWidth="1"/>
    <col min="6153" max="6153" width="9.140625" style="22"/>
    <col min="6154" max="6154" width="15.7109375" style="22" customWidth="1"/>
    <col min="6155" max="6156" width="9.140625" style="22"/>
    <col min="6157" max="6157" width="12.7109375" style="22" customWidth="1"/>
    <col min="6158" max="6158" width="9.7109375" style="22" customWidth="1"/>
    <col min="6159" max="6159" width="15.5703125" style="22" customWidth="1"/>
    <col min="6160" max="6161" width="6.7109375" style="22" customWidth="1"/>
    <col min="6162" max="6162" width="10" style="22" customWidth="1"/>
    <col min="6163" max="6163" width="27.28515625" style="22" customWidth="1"/>
    <col min="6164" max="6164" width="15.7109375" style="22" customWidth="1"/>
    <col min="6165" max="6165" width="23.5703125" style="22" customWidth="1"/>
    <col min="6166" max="6166" width="8.7109375" style="22" customWidth="1"/>
    <col min="6167" max="6168" width="8.28515625" style="22" customWidth="1"/>
    <col min="6169" max="6169" width="10.7109375" style="22" customWidth="1"/>
    <col min="6170" max="6172" width="6.7109375" style="22" customWidth="1"/>
    <col min="6173" max="6173" width="20.140625" style="22" customWidth="1"/>
    <col min="6174" max="6176" width="6.7109375" style="22" customWidth="1"/>
    <col min="6177" max="6400" width="9.140625" style="22"/>
    <col min="6401" max="6401" width="3.28515625" style="22" customWidth="1"/>
    <col min="6402" max="6402" width="16" style="22" customWidth="1"/>
    <col min="6403" max="6403" width="6.7109375" style="22" customWidth="1"/>
    <col min="6404" max="6404" width="32.42578125" style="22" customWidth="1"/>
    <col min="6405" max="6405" width="25.5703125" style="22" customWidth="1"/>
    <col min="6406" max="6406" width="22.7109375" style="22" customWidth="1"/>
    <col min="6407" max="6407" width="14.140625" style="22" customWidth="1"/>
    <col min="6408" max="6408" width="8.7109375" style="22" customWidth="1"/>
    <col min="6409" max="6409" width="9.140625" style="22"/>
    <col min="6410" max="6410" width="15.7109375" style="22" customWidth="1"/>
    <col min="6411" max="6412" width="9.140625" style="22"/>
    <col min="6413" max="6413" width="12.7109375" style="22" customWidth="1"/>
    <col min="6414" max="6414" width="9.7109375" style="22" customWidth="1"/>
    <col min="6415" max="6415" width="15.5703125" style="22" customWidth="1"/>
    <col min="6416" max="6417" width="6.7109375" style="22" customWidth="1"/>
    <col min="6418" max="6418" width="10" style="22" customWidth="1"/>
    <col min="6419" max="6419" width="27.28515625" style="22" customWidth="1"/>
    <col min="6420" max="6420" width="15.7109375" style="22" customWidth="1"/>
    <col min="6421" max="6421" width="23.5703125" style="22" customWidth="1"/>
    <col min="6422" max="6422" width="8.7109375" style="22" customWidth="1"/>
    <col min="6423" max="6424" width="8.28515625" style="22" customWidth="1"/>
    <col min="6425" max="6425" width="10.7109375" style="22" customWidth="1"/>
    <col min="6426" max="6428" width="6.7109375" style="22" customWidth="1"/>
    <col min="6429" max="6429" width="20.140625" style="22" customWidth="1"/>
    <col min="6430" max="6432" width="6.7109375" style="22" customWidth="1"/>
    <col min="6433" max="6656" width="9.140625" style="22"/>
    <col min="6657" max="6657" width="3.28515625" style="22" customWidth="1"/>
    <col min="6658" max="6658" width="16" style="22" customWidth="1"/>
    <col min="6659" max="6659" width="6.7109375" style="22" customWidth="1"/>
    <col min="6660" max="6660" width="32.42578125" style="22" customWidth="1"/>
    <col min="6661" max="6661" width="25.5703125" style="22" customWidth="1"/>
    <col min="6662" max="6662" width="22.7109375" style="22" customWidth="1"/>
    <col min="6663" max="6663" width="14.140625" style="22" customWidth="1"/>
    <col min="6664" max="6664" width="8.7109375" style="22" customWidth="1"/>
    <col min="6665" max="6665" width="9.140625" style="22"/>
    <col min="6666" max="6666" width="15.7109375" style="22" customWidth="1"/>
    <col min="6667" max="6668" width="9.140625" style="22"/>
    <col min="6669" max="6669" width="12.7109375" style="22" customWidth="1"/>
    <col min="6670" max="6670" width="9.7109375" style="22" customWidth="1"/>
    <col min="6671" max="6671" width="15.5703125" style="22" customWidth="1"/>
    <col min="6672" max="6673" width="6.7109375" style="22" customWidth="1"/>
    <col min="6674" max="6674" width="10" style="22" customWidth="1"/>
    <col min="6675" max="6675" width="27.28515625" style="22" customWidth="1"/>
    <col min="6676" max="6676" width="15.7109375" style="22" customWidth="1"/>
    <col min="6677" max="6677" width="23.5703125" style="22" customWidth="1"/>
    <col min="6678" max="6678" width="8.7109375" style="22" customWidth="1"/>
    <col min="6679" max="6680" width="8.28515625" style="22" customWidth="1"/>
    <col min="6681" max="6681" width="10.7109375" style="22" customWidth="1"/>
    <col min="6682" max="6684" width="6.7109375" style="22" customWidth="1"/>
    <col min="6685" max="6685" width="20.140625" style="22" customWidth="1"/>
    <col min="6686" max="6688" width="6.7109375" style="22" customWidth="1"/>
    <col min="6689" max="6912" width="9.140625" style="22"/>
    <col min="6913" max="6913" width="3.28515625" style="22" customWidth="1"/>
    <col min="6914" max="6914" width="16" style="22" customWidth="1"/>
    <col min="6915" max="6915" width="6.7109375" style="22" customWidth="1"/>
    <col min="6916" max="6916" width="32.42578125" style="22" customWidth="1"/>
    <col min="6917" max="6917" width="25.5703125" style="22" customWidth="1"/>
    <col min="6918" max="6918" width="22.7109375" style="22" customWidth="1"/>
    <col min="6919" max="6919" width="14.140625" style="22" customWidth="1"/>
    <col min="6920" max="6920" width="8.7109375" style="22" customWidth="1"/>
    <col min="6921" max="6921" width="9.140625" style="22"/>
    <col min="6922" max="6922" width="15.7109375" style="22" customWidth="1"/>
    <col min="6923" max="6924" width="9.140625" style="22"/>
    <col min="6925" max="6925" width="12.7109375" style="22" customWidth="1"/>
    <col min="6926" max="6926" width="9.7109375" style="22" customWidth="1"/>
    <col min="6927" max="6927" width="15.5703125" style="22" customWidth="1"/>
    <col min="6928" max="6929" width="6.7109375" style="22" customWidth="1"/>
    <col min="6930" max="6930" width="10" style="22" customWidth="1"/>
    <col min="6931" max="6931" width="27.28515625" style="22" customWidth="1"/>
    <col min="6932" max="6932" width="15.7109375" style="22" customWidth="1"/>
    <col min="6933" max="6933" width="23.5703125" style="22" customWidth="1"/>
    <col min="6934" max="6934" width="8.7109375" style="22" customWidth="1"/>
    <col min="6935" max="6936" width="8.28515625" style="22" customWidth="1"/>
    <col min="6937" max="6937" width="10.7109375" style="22" customWidth="1"/>
    <col min="6938" max="6940" width="6.7109375" style="22" customWidth="1"/>
    <col min="6941" max="6941" width="20.140625" style="22" customWidth="1"/>
    <col min="6942" max="6944" width="6.7109375" style="22" customWidth="1"/>
    <col min="6945" max="7168" width="9.140625" style="22"/>
    <col min="7169" max="7169" width="3.28515625" style="22" customWidth="1"/>
    <col min="7170" max="7170" width="16" style="22" customWidth="1"/>
    <col min="7171" max="7171" width="6.7109375" style="22" customWidth="1"/>
    <col min="7172" max="7172" width="32.42578125" style="22" customWidth="1"/>
    <col min="7173" max="7173" width="25.5703125" style="22" customWidth="1"/>
    <col min="7174" max="7174" width="22.7109375" style="22" customWidth="1"/>
    <col min="7175" max="7175" width="14.140625" style="22" customWidth="1"/>
    <col min="7176" max="7176" width="8.7109375" style="22" customWidth="1"/>
    <col min="7177" max="7177" width="9.140625" style="22"/>
    <col min="7178" max="7178" width="15.7109375" style="22" customWidth="1"/>
    <col min="7179" max="7180" width="9.140625" style="22"/>
    <col min="7181" max="7181" width="12.7109375" style="22" customWidth="1"/>
    <col min="7182" max="7182" width="9.7109375" style="22" customWidth="1"/>
    <col min="7183" max="7183" width="15.5703125" style="22" customWidth="1"/>
    <col min="7184" max="7185" width="6.7109375" style="22" customWidth="1"/>
    <col min="7186" max="7186" width="10" style="22" customWidth="1"/>
    <col min="7187" max="7187" width="27.28515625" style="22" customWidth="1"/>
    <col min="7188" max="7188" width="15.7109375" style="22" customWidth="1"/>
    <col min="7189" max="7189" width="23.5703125" style="22" customWidth="1"/>
    <col min="7190" max="7190" width="8.7109375" style="22" customWidth="1"/>
    <col min="7191" max="7192" width="8.28515625" style="22" customWidth="1"/>
    <col min="7193" max="7193" width="10.7109375" style="22" customWidth="1"/>
    <col min="7194" max="7196" width="6.7109375" style="22" customWidth="1"/>
    <col min="7197" max="7197" width="20.140625" style="22" customWidth="1"/>
    <col min="7198" max="7200" width="6.7109375" style="22" customWidth="1"/>
    <col min="7201" max="7424" width="9.140625" style="22"/>
    <col min="7425" max="7425" width="3.28515625" style="22" customWidth="1"/>
    <col min="7426" max="7426" width="16" style="22" customWidth="1"/>
    <col min="7427" max="7427" width="6.7109375" style="22" customWidth="1"/>
    <col min="7428" max="7428" width="32.42578125" style="22" customWidth="1"/>
    <col min="7429" max="7429" width="25.5703125" style="22" customWidth="1"/>
    <col min="7430" max="7430" width="22.7109375" style="22" customWidth="1"/>
    <col min="7431" max="7431" width="14.140625" style="22" customWidth="1"/>
    <col min="7432" max="7432" width="8.7109375" style="22" customWidth="1"/>
    <col min="7433" max="7433" width="9.140625" style="22"/>
    <col min="7434" max="7434" width="15.7109375" style="22" customWidth="1"/>
    <col min="7435" max="7436" width="9.140625" style="22"/>
    <col min="7437" max="7437" width="12.7109375" style="22" customWidth="1"/>
    <col min="7438" max="7438" width="9.7109375" style="22" customWidth="1"/>
    <col min="7439" max="7439" width="15.5703125" style="22" customWidth="1"/>
    <col min="7440" max="7441" width="6.7109375" style="22" customWidth="1"/>
    <col min="7442" max="7442" width="10" style="22" customWidth="1"/>
    <col min="7443" max="7443" width="27.28515625" style="22" customWidth="1"/>
    <col min="7444" max="7444" width="15.7109375" style="22" customWidth="1"/>
    <col min="7445" max="7445" width="23.5703125" style="22" customWidth="1"/>
    <col min="7446" max="7446" width="8.7109375" style="22" customWidth="1"/>
    <col min="7447" max="7448" width="8.28515625" style="22" customWidth="1"/>
    <col min="7449" max="7449" width="10.7109375" style="22" customWidth="1"/>
    <col min="7450" max="7452" width="6.7109375" style="22" customWidth="1"/>
    <col min="7453" max="7453" width="20.140625" style="22" customWidth="1"/>
    <col min="7454" max="7456" width="6.7109375" style="22" customWidth="1"/>
    <col min="7457" max="7680" width="9.140625" style="22"/>
    <col min="7681" max="7681" width="3.28515625" style="22" customWidth="1"/>
    <col min="7682" max="7682" width="16" style="22" customWidth="1"/>
    <col min="7683" max="7683" width="6.7109375" style="22" customWidth="1"/>
    <col min="7684" max="7684" width="32.42578125" style="22" customWidth="1"/>
    <col min="7685" max="7685" width="25.5703125" style="22" customWidth="1"/>
    <col min="7686" max="7686" width="22.7109375" style="22" customWidth="1"/>
    <col min="7687" max="7687" width="14.140625" style="22" customWidth="1"/>
    <col min="7688" max="7688" width="8.7109375" style="22" customWidth="1"/>
    <col min="7689" max="7689" width="9.140625" style="22"/>
    <col min="7690" max="7690" width="15.7109375" style="22" customWidth="1"/>
    <col min="7691" max="7692" width="9.140625" style="22"/>
    <col min="7693" max="7693" width="12.7109375" style="22" customWidth="1"/>
    <col min="7694" max="7694" width="9.7109375" style="22" customWidth="1"/>
    <col min="7695" max="7695" width="15.5703125" style="22" customWidth="1"/>
    <col min="7696" max="7697" width="6.7109375" style="22" customWidth="1"/>
    <col min="7698" max="7698" width="10" style="22" customWidth="1"/>
    <col min="7699" max="7699" width="27.28515625" style="22" customWidth="1"/>
    <col min="7700" max="7700" width="15.7109375" style="22" customWidth="1"/>
    <col min="7701" max="7701" width="23.5703125" style="22" customWidth="1"/>
    <col min="7702" max="7702" width="8.7109375" style="22" customWidth="1"/>
    <col min="7703" max="7704" width="8.28515625" style="22" customWidth="1"/>
    <col min="7705" max="7705" width="10.7109375" style="22" customWidth="1"/>
    <col min="7706" max="7708" width="6.7109375" style="22" customWidth="1"/>
    <col min="7709" max="7709" width="20.140625" style="22" customWidth="1"/>
    <col min="7710" max="7712" width="6.7109375" style="22" customWidth="1"/>
    <col min="7713" max="7936" width="9.140625" style="22"/>
    <col min="7937" max="7937" width="3.28515625" style="22" customWidth="1"/>
    <col min="7938" max="7938" width="16" style="22" customWidth="1"/>
    <col min="7939" max="7939" width="6.7109375" style="22" customWidth="1"/>
    <col min="7940" max="7940" width="32.42578125" style="22" customWidth="1"/>
    <col min="7941" max="7941" width="25.5703125" style="22" customWidth="1"/>
    <col min="7942" max="7942" width="22.7109375" style="22" customWidth="1"/>
    <col min="7943" max="7943" width="14.140625" style="22" customWidth="1"/>
    <col min="7944" max="7944" width="8.7109375" style="22" customWidth="1"/>
    <col min="7945" max="7945" width="9.140625" style="22"/>
    <col min="7946" max="7946" width="15.7109375" style="22" customWidth="1"/>
    <col min="7947" max="7948" width="9.140625" style="22"/>
    <col min="7949" max="7949" width="12.7109375" style="22" customWidth="1"/>
    <col min="7950" max="7950" width="9.7109375" style="22" customWidth="1"/>
    <col min="7951" max="7951" width="15.5703125" style="22" customWidth="1"/>
    <col min="7952" max="7953" width="6.7109375" style="22" customWidth="1"/>
    <col min="7954" max="7954" width="10" style="22" customWidth="1"/>
    <col min="7955" max="7955" width="27.28515625" style="22" customWidth="1"/>
    <col min="7956" max="7956" width="15.7109375" style="22" customWidth="1"/>
    <col min="7957" max="7957" width="23.5703125" style="22" customWidth="1"/>
    <col min="7958" max="7958" width="8.7109375" style="22" customWidth="1"/>
    <col min="7959" max="7960" width="8.28515625" style="22" customWidth="1"/>
    <col min="7961" max="7961" width="10.7109375" style="22" customWidth="1"/>
    <col min="7962" max="7964" width="6.7109375" style="22" customWidth="1"/>
    <col min="7965" max="7965" width="20.140625" style="22" customWidth="1"/>
    <col min="7966" max="7968" width="6.7109375" style="22" customWidth="1"/>
    <col min="7969" max="8192" width="9.140625" style="22"/>
    <col min="8193" max="8193" width="3.28515625" style="22" customWidth="1"/>
    <col min="8194" max="8194" width="16" style="22" customWidth="1"/>
    <col min="8195" max="8195" width="6.7109375" style="22" customWidth="1"/>
    <col min="8196" max="8196" width="32.42578125" style="22" customWidth="1"/>
    <col min="8197" max="8197" width="25.5703125" style="22" customWidth="1"/>
    <col min="8198" max="8198" width="22.7109375" style="22" customWidth="1"/>
    <col min="8199" max="8199" width="14.140625" style="22" customWidth="1"/>
    <col min="8200" max="8200" width="8.7109375" style="22" customWidth="1"/>
    <col min="8201" max="8201" width="9.140625" style="22"/>
    <col min="8202" max="8202" width="15.7109375" style="22" customWidth="1"/>
    <col min="8203" max="8204" width="9.140625" style="22"/>
    <col min="8205" max="8205" width="12.7109375" style="22" customWidth="1"/>
    <col min="8206" max="8206" width="9.7109375" style="22" customWidth="1"/>
    <col min="8207" max="8207" width="15.5703125" style="22" customWidth="1"/>
    <col min="8208" max="8209" width="6.7109375" style="22" customWidth="1"/>
    <col min="8210" max="8210" width="10" style="22" customWidth="1"/>
    <col min="8211" max="8211" width="27.28515625" style="22" customWidth="1"/>
    <col min="8212" max="8212" width="15.7109375" style="22" customWidth="1"/>
    <col min="8213" max="8213" width="23.5703125" style="22" customWidth="1"/>
    <col min="8214" max="8214" width="8.7109375" style="22" customWidth="1"/>
    <col min="8215" max="8216" width="8.28515625" style="22" customWidth="1"/>
    <col min="8217" max="8217" width="10.7109375" style="22" customWidth="1"/>
    <col min="8218" max="8220" width="6.7109375" style="22" customWidth="1"/>
    <col min="8221" max="8221" width="20.140625" style="22" customWidth="1"/>
    <col min="8222" max="8224" width="6.7109375" style="22" customWidth="1"/>
    <col min="8225" max="8448" width="9.140625" style="22"/>
    <col min="8449" max="8449" width="3.28515625" style="22" customWidth="1"/>
    <col min="8450" max="8450" width="16" style="22" customWidth="1"/>
    <col min="8451" max="8451" width="6.7109375" style="22" customWidth="1"/>
    <col min="8452" max="8452" width="32.42578125" style="22" customWidth="1"/>
    <col min="8453" max="8453" width="25.5703125" style="22" customWidth="1"/>
    <col min="8454" max="8454" width="22.7109375" style="22" customWidth="1"/>
    <col min="8455" max="8455" width="14.140625" style="22" customWidth="1"/>
    <col min="8456" max="8456" width="8.7109375" style="22" customWidth="1"/>
    <col min="8457" max="8457" width="9.140625" style="22"/>
    <col min="8458" max="8458" width="15.7109375" style="22" customWidth="1"/>
    <col min="8459" max="8460" width="9.140625" style="22"/>
    <col min="8461" max="8461" width="12.7109375" style="22" customWidth="1"/>
    <col min="8462" max="8462" width="9.7109375" style="22" customWidth="1"/>
    <col min="8463" max="8463" width="15.5703125" style="22" customWidth="1"/>
    <col min="8464" max="8465" width="6.7109375" style="22" customWidth="1"/>
    <col min="8466" max="8466" width="10" style="22" customWidth="1"/>
    <col min="8467" max="8467" width="27.28515625" style="22" customWidth="1"/>
    <col min="8468" max="8468" width="15.7109375" style="22" customWidth="1"/>
    <col min="8469" max="8469" width="23.5703125" style="22" customWidth="1"/>
    <col min="8470" max="8470" width="8.7109375" style="22" customWidth="1"/>
    <col min="8471" max="8472" width="8.28515625" style="22" customWidth="1"/>
    <col min="8473" max="8473" width="10.7109375" style="22" customWidth="1"/>
    <col min="8474" max="8476" width="6.7109375" style="22" customWidth="1"/>
    <col min="8477" max="8477" width="20.140625" style="22" customWidth="1"/>
    <col min="8478" max="8480" width="6.7109375" style="22" customWidth="1"/>
    <col min="8481" max="8704" width="9.140625" style="22"/>
    <col min="8705" max="8705" width="3.28515625" style="22" customWidth="1"/>
    <col min="8706" max="8706" width="16" style="22" customWidth="1"/>
    <col min="8707" max="8707" width="6.7109375" style="22" customWidth="1"/>
    <col min="8708" max="8708" width="32.42578125" style="22" customWidth="1"/>
    <col min="8709" max="8709" width="25.5703125" style="22" customWidth="1"/>
    <col min="8710" max="8710" width="22.7109375" style="22" customWidth="1"/>
    <col min="8711" max="8711" width="14.140625" style="22" customWidth="1"/>
    <col min="8712" max="8712" width="8.7109375" style="22" customWidth="1"/>
    <col min="8713" max="8713" width="9.140625" style="22"/>
    <col min="8714" max="8714" width="15.7109375" style="22" customWidth="1"/>
    <col min="8715" max="8716" width="9.140625" style="22"/>
    <col min="8717" max="8717" width="12.7109375" style="22" customWidth="1"/>
    <col min="8718" max="8718" width="9.7109375" style="22" customWidth="1"/>
    <col min="8719" max="8719" width="15.5703125" style="22" customWidth="1"/>
    <col min="8720" max="8721" width="6.7109375" style="22" customWidth="1"/>
    <col min="8722" max="8722" width="10" style="22" customWidth="1"/>
    <col min="8723" max="8723" width="27.28515625" style="22" customWidth="1"/>
    <col min="8724" max="8724" width="15.7109375" style="22" customWidth="1"/>
    <col min="8725" max="8725" width="23.5703125" style="22" customWidth="1"/>
    <col min="8726" max="8726" width="8.7109375" style="22" customWidth="1"/>
    <col min="8727" max="8728" width="8.28515625" style="22" customWidth="1"/>
    <col min="8729" max="8729" width="10.7109375" style="22" customWidth="1"/>
    <col min="8730" max="8732" width="6.7109375" style="22" customWidth="1"/>
    <col min="8733" max="8733" width="20.140625" style="22" customWidth="1"/>
    <col min="8734" max="8736" width="6.7109375" style="22" customWidth="1"/>
    <col min="8737" max="8960" width="9.140625" style="22"/>
    <col min="8961" max="8961" width="3.28515625" style="22" customWidth="1"/>
    <col min="8962" max="8962" width="16" style="22" customWidth="1"/>
    <col min="8963" max="8963" width="6.7109375" style="22" customWidth="1"/>
    <col min="8964" max="8964" width="32.42578125" style="22" customWidth="1"/>
    <col min="8965" max="8965" width="25.5703125" style="22" customWidth="1"/>
    <col min="8966" max="8966" width="22.7109375" style="22" customWidth="1"/>
    <col min="8967" max="8967" width="14.140625" style="22" customWidth="1"/>
    <col min="8968" max="8968" width="8.7109375" style="22" customWidth="1"/>
    <col min="8969" max="8969" width="9.140625" style="22"/>
    <col min="8970" max="8970" width="15.7109375" style="22" customWidth="1"/>
    <col min="8971" max="8972" width="9.140625" style="22"/>
    <col min="8973" max="8973" width="12.7109375" style="22" customWidth="1"/>
    <col min="8974" max="8974" width="9.7109375" style="22" customWidth="1"/>
    <col min="8975" max="8975" width="15.5703125" style="22" customWidth="1"/>
    <col min="8976" max="8977" width="6.7109375" style="22" customWidth="1"/>
    <col min="8978" max="8978" width="10" style="22" customWidth="1"/>
    <col min="8979" max="8979" width="27.28515625" style="22" customWidth="1"/>
    <col min="8980" max="8980" width="15.7109375" style="22" customWidth="1"/>
    <col min="8981" max="8981" width="23.5703125" style="22" customWidth="1"/>
    <col min="8982" max="8982" width="8.7109375" style="22" customWidth="1"/>
    <col min="8983" max="8984" width="8.28515625" style="22" customWidth="1"/>
    <col min="8985" max="8985" width="10.7109375" style="22" customWidth="1"/>
    <col min="8986" max="8988" width="6.7109375" style="22" customWidth="1"/>
    <col min="8989" max="8989" width="20.140625" style="22" customWidth="1"/>
    <col min="8990" max="8992" width="6.7109375" style="22" customWidth="1"/>
    <col min="8993" max="9216" width="9.140625" style="22"/>
    <col min="9217" max="9217" width="3.28515625" style="22" customWidth="1"/>
    <col min="9218" max="9218" width="16" style="22" customWidth="1"/>
    <col min="9219" max="9219" width="6.7109375" style="22" customWidth="1"/>
    <col min="9220" max="9220" width="32.42578125" style="22" customWidth="1"/>
    <col min="9221" max="9221" width="25.5703125" style="22" customWidth="1"/>
    <col min="9222" max="9222" width="22.7109375" style="22" customWidth="1"/>
    <col min="9223" max="9223" width="14.140625" style="22" customWidth="1"/>
    <col min="9224" max="9224" width="8.7109375" style="22" customWidth="1"/>
    <col min="9225" max="9225" width="9.140625" style="22"/>
    <col min="9226" max="9226" width="15.7109375" style="22" customWidth="1"/>
    <col min="9227" max="9228" width="9.140625" style="22"/>
    <col min="9229" max="9229" width="12.7109375" style="22" customWidth="1"/>
    <col min="9230" max="9230" width="9.7109375" style="22" customWidth="1"/>
    <col min="9231" max="9231" width="15.5703125" style="22" customWidth="1"/>
    <col min="9232" max="9233" width="6.7109375" style="22" customWidth="1"/>
    <col min="9234" max="9234" width="10" style="22" customWidth="1"/>
    <col min="9235" max="9235" width="27.28515625" style="22" customWidth="1"/>
    <col min="9236" max="9236" width="15.7109375" style="22" customWidth="1"/>
    <col min="9237" max="9237" width="23.5703125" style="22" customWidth="1"/>
    <col min="9238" max="9238" width="8.7109375" style="22" customWidth="1"/>
    <col min="9239" max="9240" width="8.28515625" style="22" customWidth="1"/>
    <col min="9241" max="9241" width="10.7109375" style="22" customWidth="1"/>
    <col min="9242" max="9244" width="6.7109375" style="22" customWidth="1"/>
    <col min="9245" max="9245" width="20.140625" style="22" customWidth="1"/>
    <col min="9246" max="9248" width="6.7109375" style="22" customWidth="1"/>
    <col min="9249" max="9472" width="9.140625" style="22"/>
    <col min="9473" max="9473" width="3.28515625" style="22" customWidth="1"/>
    <col min="9474" max="9474" width="16" style="22" customWidth="1"/>
    <col min="9475" max="9475" width="6.7109375" style="22" customWidth="1"/>
    <col min="9476" max="9476" width="32.42578125" style="22" customWidth="1"/>
    <col min="9477" max="9477" width="25.5703125" style="22" customWidth="1"/>
    <col min="9478" max="9478" width="22.7109375" style="22" customWidth="1"/>
    <col min="9479" max="9479" width="14.140625" style="22" customWidth="1"/>
    <col min="9480" max="9480" width="8.7109375" style="22" customWidth="1"/>
    <col min="9481" max="9481" width="9.140625" style="22"/>
    <col min="9482" max="9482" width="15.7109375" style="22" customWidth="1"/>
    <col min="9483" max="9484" width="9.140625" style="22"/>
    <col min="9485" max="9485" width="12.7109375" style="22" customWidth="1"/>
    <col min="9486" max="9486" width="9.7109375" style="22" customWidth="1"/>
    <col min="9487" max="9487" width="15.5703125" style="22" customWidth="1"/>
    <col min="9488" max="9489" width="6.7109375" style="22" customWidth="1"/>
    <col min="9490" max="9490" width="10" style="22" customWidth="1"/>
    <col min="9491" max="9491" width="27.28515625" style="22" customWidth="1"/>
    <col min="9492" max="9492" width="15.7109375" style="22" customWidth="1"/>
    <col min="9493" max="9493" width="23.5703125" style="22" customWidth="1"/>
    <col min="9494" max="9494" width="8.7109375" style="22" customWidth="1"/>
    <col min="9495" max="9496" width="8.28515625" style="22" customWidth="1"/>
    <col min="9497" max="9497" width="10.7109375" style="22" customWidth="1"/>
    <col min="9498" max="9500" width="6.7109375" style="22" customWidth="1"/>
    <col min="9501" max="9501" width="20.140625" style="22" customWidth="1"/>
    <col min="9502" max="9504" width="6.7109375" style="22" customWidth="1"/>
    <col min="9505" max="9728" width="9.140625" style="22"/>
    <col min="9729" max="9729" width="3.28515625" style="22" customWidth="1"/>
    <col min="9730" max="9730" width="16" style="22" customWidth="1"/>
    <col min="9731" max="9731" width="6.7109375" style="22" customWidth="1"/>
    <col min="9732" max="9732" width="32.42578125" style="22" customWidth="1"/>
    <col min="9733" max="9733" width="25.5703125" style="22" customWidth="1"/>
    <col min="9734" max="9734" width="22.7109375" style="22" customWidth="1"/>
    <col min="9735" max="9735" width="14.140625" style="22" customWidth="1"/>
    <col min="9736" max="9736" width="8.7109375" style="22" customWidth="1"/>
    <col min="9737" max="9737" width="9.140625" style="22"/>
    <col min="9738" max="9738" width="15.7109375" style="22" customWidth="1"/>
    <col min="9739" max="9740" width="9.140625" style="22"/>
    <col min="9741" max="9741" width="12.7109375" style="22" customWidth="1"/>
    <col min="9742" max="9742" width="9.7109375" style="22" customWidth="1"/>
    <col min="9743" max="9743" width="15.5703125" style="22" customWidth="1"/>
    <col min="9744" max="9745" width="6.7109375" style="22" customWidth="1"/>
    <col min="9746" max="9746" width="10" style="22" customWidth="1"/>
    <col min="9747" max="9747" width="27.28515625" style="22" customWidth="1"/>
    <col min="9748" max="9748" width="15.7109375" style="22" customWidth="1"/>
    <col min="9749" max="9749" width="23.5703125" style="22" customWidth="1"/>
    <col min="9750" max="9750" width="8.7109375" style="22" customWidth="1"/>
    <col min="9751" max="9752" width="8.28515625" style="22" customWidth="1"/>
    <col min="9753" max="9753" width="10.7109375" style="22" customWidth="1"/>
    <col min="9754" max="9756" width="6.7109375" style="22" customWidth="1"/>
    <col min="9757" max="9757" width="20.140625" style="22" customWidth="1"/>
    <col min="9758" max="9760" width="6.7109375" style="22" customWidth="1"/>
    <col min="9761" max="9984" width="9.140625" style="22"/>
    <col min="9985" max="9985" width="3.28515625" style="22" customWidth="1"/>
    <col min="9986" max="9986" width="16" style="22" customWidth="1"/>
    <col min="9987" max="9987" width="6.7109375" style="22" customWidth="1"/>
    <col min="9988" max="9988" width="32.42578125" style="22" customWidth="1"/>
    <col min="9989" max="9989" width="25.5703125" style="22" customWidth="1"/>
    <col min="9990" max="9990" width="22.7109375" style="22" customWidth="1"/>
    <col min="9991" max="9991" width="14.140625" style="22" customWidth="1"/>
    <col min="9992" max="9992" width="8.7109375" style="22" customWidth="1"/>
    <col min="9993" max="9993" width="9.140625" style="22"/>
    <col min="9994" max="9994" width="15.7109375" style="22" customWidth="1"/>
    <col min="9995" max="9996" width="9.140625" style="22"/>
    <col min="9997" max="9997" width="12.7109375" style="22" customWidth="1"/>
    <col min="9998" max="9998" width="9.7109375" style="22" customWidth="1"/>
    <col min="9999" max="9999" width="15.5703125" style="22" customWidth="1"/>
    <col min="10000" max="10001" width="6.7109375" style="22" customWidth="1"/>
    <col min="10002" max="10002" width="10" style="22" customWidth="1"/>
    <col min="10003" max="10003" width="27.28515625" style="22" customWidth="1"/>
    <col min="10004" max="10004" width="15.7109375" style="22" customWidth="1"/>
    <col min="10005" max="10005" width="23.5703125" style="22" customWidth="1"/>
    <col min="10006" max="10006" width="8.7109375" style="22" customWidth="1"/>
    <col min="10007" max="10008" width="8.28515625" style="22" customWidth="1"/>
    <col min="10009" max="10009" width="10.7109375" style="22" customWidth="1"/>
    <col min="10010" max="10012" width="6.7109375" style="22" customWidth="1"/>
    <col min="10013" max="10013" width="20.140625" style="22" customWidth="1"/>
    <col min="10014" max="10016" width="6.7109375" style="22" customWidth="1"/>
    <col min="10017" max="10240" width="9.140625" style="22"/>
    <col min="10241" max="10241" width="3.28515625" style="22" customWidth="1"/>
    <col min="10242" max="10242" width="16" style="22" customWidth="1"/>
    <col min="10243" max="10243" width="6.7109375" style="22" customWidth="1"/>
    <col min="10244" max="10244" width="32.42578125" style="22" customWidth="1"/>
    <col min="10245" max="10245" width="25.5703125" style="22" customWidth="1"/>
    <col min="10246" max="10246" width="22.7109375" style="22" customWidth="1"/>
    <col min="10247" max="10247" width="14.140625" style="22" customWidth="1"/>
    <col min="10248" max="10248" width="8.7109375" style="22" customWidth="1"/>
    <col min="10249" max="10249" width="9.140625" style="22"/>
    <col min="10250" max="10250" width="15.7109375" style="22" customWidth="1"/>
    <col min="10251" max="10252" width="9.140625" style="22"/>
    <col min="10253" max="10253" width="12.7109375" style="22" customWidth="1"/>
    <col min="10254" max="10254" width="9.7109375" style="22" customWidth="1"/>
    <col min="10255" max="10255" width="15.5703125" style="22" customWidth="1"/>
    <col min="10256" max="10257" width="6.7109375" style="22" customWidth="1"/>
    <col min="10258" max="10258" width="10" style="22" customWidth="1"/>
    <col min="10259" max="10259" width="27.28515625" style="22" customWidth="1"/>
    <col min="10260" max="10260" width="15.7109375" style="22" customWidth="1"/>
    <col min="10261" max="10261" width="23.5703125" style="22" customWidth="1"/>
    <col min="10262" max="10262" width="8.7109375" style="22" customWidth="1"/>
    <col min="10263" max="10264" width="8.28515625" style="22" customWidth="1"/>
    <col min="10265" max="10265" width="10.7109375" style="22" customWidth="1"/>
    <col min="10266" max="10268" width="6.7109375" style="22" customWidth="1"/>
    <col min="10269" max="10269" width="20.140625" style="22" customWidth="1"/>
    <col min="10270" max="10272" width="6.7109375" style="22" customWidth="1"/>
    <col min="10273" max="10496" width="9.140625" style="22"/>
    <col min="10497" max="10497" width="3.28515625" style="22" customWidth="1"/>
    <col min="10498" max="10498" width="16" style="22" customWidth="1"/>
    <col min="10499" max="10499" width="6.7109375" style="22" customWidth="1"/>
    <col min="10500" max="10500" width="32.42578125" style="22" customWidth="1"/>
    <col min="10501" max="10501" width="25.5703125" style="22" customWidth="1"/>
    <col min="10502" max="10502" width="22.7109375" style="22" customWidth="1"/>
    <col min="10503" max="10503" width="14.140625" style="22" customWidth="1"/>
    <col min="10504" max="10504" width="8.7109375" style="22" customWidth="1"/>
    <col min="10505" max="10505" width="9.140625" style="22"/>
    <col min="10506" max="10506" width="15.7109375" style="22" customWidth="1"/>
    <col min="10507" max="10508" width="9.140625" style="22"/>
    <col min="10509" max="10509" width="12.7109375" style="22" customWidth="1"/>
    <col min="10510" max="10510" width="9.7109375" style="22" customWidth="1"/>
    <col min="10511" max="10511" width="15.5703125" style="22" customWidth="1"/>
    <col min="10512" max="10513" width="6.7109375" style="22" customWidth="1"/>
    <col min="10514" max="10514" width="10" style="22" customWidth="1"/>
    <col min="10515" max="10515" width="27.28515625" style="22" customWidth="1"/>
    <col min="10516" max="10516" width="15.7109375" style="22" customWidth="1"/>
    <col min="10517" max="10517" width="23.5703125" style="22" customWidth="1"/>
    <col min="10518" max="10518" width="8.7109375" style="22" customWidth="1"/>
    <col min="10519" max="10520" width="8.28515625" style="22" customWidth="1"/>
    <col min="10521" max="10521" width="10.7109375" style="22" customWidth="1"/>
    <col min="10522" max="10524" width="6.7109375" style="22" customWidth="1"/>
    <col min="10525" max="10525" width="20.140625" style="22" customWidth="1"/>
    <col min="10526" max="10528" width="6.7109375" style="22" customWidth="1"/>
    <col min="10529" max="10752" width="9.140625" style="22"/>
    <col min="10753" max="10753" width="3.28515625" style="22" customWidth="1"/>
    <col min="10754" max="10754" width="16" style="22" customWidth="1"/>
    <col min="10755" max="10755" width="6.7109375" style="22" customWidth="1"/>
    <col min="10756" max="10756" width="32.42578125" style="22" customWidth="1"/>
    <col min="10757" max="10757" width="25.5703125" style="22" customWidth="1"/>
    <col min="10758" max="10758" width="22.7109375" style="22" customWidth="1"/>
    <col min="10759" max="10759" width="14.140625" style="22" customWidth="1"/>
    <col min="10760" max="10760" width="8.7109375" style="22" customWidth="1"/>
    <col min="10761" max="10761" width="9.140625" style="22"/>
    <col min="10762" max="10762" width="15.7109375" style="22" customWidth="1"/>
    <col min="10763" max="10764" width="9.140625" style="22"/>
    <col min="10765" max="10765" width="12.7109375" style="22" customWidth="1"/>
    <col min="10766" max="10766" width="9.7109375" style="22" customWidth="1"/>
    <col min="10767" max="10767" width="15.5703125" style="22" customWidth="1"/>
    <col min="10768" max="10769" width="6.7109375" style="22" customWidth="1"/>
    <col min="10770" max="10770" width="10" style="22" customWidth="1"/>
    <col min="10771" max="10771" width="27.28515625" style="22" customWidth="1"/>
    <col min="10772" max="10772" width="15.7109375" style="22" customWidth="1"/>
    <col min="10773" max="10773" width="23.5703125" style="22" customWidth="1"/>
    <col min="10774" max="10774" width="8.7109375" style="22" customWidth="1"/>
    <col min="10775" max="10776" width="8.28515625" style="22" customWidth="1"/>
    <col min="10777" max="10777" width="10.7109375" style="22" customWidth="1"/>
    <col min="10778" max="10780" width="6.7109375" style="22" customWidth="1"/>
    <col min="10781" max="10781" width="20.140625" style="22" customWidth="1"/>
    <col min="10782" max="10784" width="6.7109375" style="22" customWidth="1"/>
    <col min="10785" max="11008" width="9.140625" style="22"/>
    <col min="11009" max="11009" width="3.28515625" style="22" customWidth="1"/>
    <col min="11010" max="11010" width="16" style="22" customWidth="1"/>
    <col min="11011" max="11011" width="6.7109375" style="22" customWidth="1"/>
    <col min="11012" max="11012" width="32.42578125" style="22" customWidth="1"/>
    <col min="11013" max="11013" width="25.5703125" style="22" customWidth="1"/>
    <col min="11014" max="11014" width="22.7109375" style="22" customWidth="1"/>
    <col min="11015" max="11015" width="14.140625" style="22" customWidth="1"/>
    <col min="11016" max="11016" width="8.7109375" style="22" customWidth="1"/>
    <col min="11017" max="11017" width="9.140625" style="22"/>
    <col min="11018" max="11018" width="15.7109375" style="22" customWidth="1"/>
    <col min="11019" max="11020" width="9.140625" style="22"/>
    <col min="11021" max="11021" width="12.7109375" style="22" customWidth="1"/>
    <col min="11022" max="11022" width="9.7109375" style="22" customWidth="1"/>
    <col min="11023" max="11023" width="15.5703125" style="22" customWidth="1"/>
    <col min="11024" max="11025" width="6.7109375" style="22" customWidth="1"/>
    <col min="11026" max="11026" width="10" style="22" customWidth="1"/>
    <col min="11027" max="11027" width="27.28515625" style="22" customWidth="1"/>
    <col min="11028" max="11028" width="15.7109375" style="22" customWidth="1"/>
    <col min="11029" max="11029" width="23.5703125" style="22" customWidth="1"/>
    <col min="11030" max="11030" width="8.7109375" style="22" customWidth="1"/>
    <col min="11031" max="11032" width="8.28515625" style="22" customWidth="1"/>
    <col min="11033" max="11033" width="10.7109375" style="22" customWidth="1"/>
    <col min="11034" max="11036" width="6.7109375" style="22" customWidth="1"/>
    <col min="11037" max="11037" width="20.140625" style="22" customWidth="1"/>
    <col min="11038" max="11040" width="6.7109375" style="22" customWidth="1"/>
    <col min="11041" max="11264" width="9.140625" style="22"/>
    <col min="11265" max="11265" width="3.28515625" style="22" customWidth="1"/>
    <col min="11266" max="11266" width="16" style="22" customWidth="1"/>
    <col min="11267" max="11267" width="6.7109375" style="22" customWidth="1"/>
    <col min="11268" max="11268" width="32.42578125" style="22" customWidth="1"/>
    <col min="11269" max="11269" width="25.5703125" style="22" customWidth="1"/>
    <col min="11270" max="11270" width="22.7109375" style="22" customWidth="1"/>
    <col min="11271" max="11271" width="14.140625" style="22" customWidth="1"/>
    <col min="11272" max="11272" width="8.7109375" style="22" customWidth="1"/>
    <col min="11273" max="11273" width="9.140625" style="22"/>
    <col min="11274" max="11274" width="15.7109375" style="22" customWidth="1"/>
    <col min="11275" max="11276" width="9.140625" style="22"/>
    <col min="11277" max="11277" width="12.7109375" style="22" customWidth="1"/>
    <col min="11278" max="11278" width="9.7109375" style="22" customWidth="1"/>
    <col min="11279" max="11279" width="15.5703125" style="22" customWidth="1"/>
    <col min="11280" max="11281" width="6.7109375" style="22" customWidth="1"/>
    <col min="11282" max="11282" width="10" style="22" customWidth="1"/>
    <col min="11283" max="11283" width="27.28515625" style="22" customWidth="1"/>
    <col min="11284" max="11284" width="15.7109375" style="22" customWidth="1"/>
    <col min="11285" max="11285" width="23.5703125" style="22" customWidth="1"/>
    <col min="11286" max="11286" width="8.7109375" style="22" customWidth="1"/>
    <col min="11287" max="11288" width="8.28515625" style="22" customWidth="1"/>
    <col min="11289" max="11289" width="10.7109375" style="22" customWidth="1"/>
    <col min="11290" max="11292" width="6.7109375" style="22" customWidth="1"/>
    <col min="11293" max="11293" width="20.140625" style="22" customWidth="1"/>
    <col min="11294" max="11296" width="6.7109375" style="22" customWidth="1"/>
    <col min="11297" max="11520" width="9.140625" style="22"/>
    <col min="11521" max="11521" width="3.28515625" style="22" customWidth="1"/>
    <col min="11522" max="11522" width="16" style="22" customWidth="1"/>
    <col min="11523" max="11523" width="6.7109375" style="22" customWidth="1"/>
    <col min="11524" max="11524" width="32.42578125" style="22" customWidth="1"/>
    <col min="11525" max="11525" width="25.5703125" style="22" customWidth="1"/>
    <col min="11526" max="11526" width="22.7109375" style="22" customWidth="1"/>
    <col min="11527" max="11527" width="14.140625" style="22" customWidth="1"/>
    <col min="11528" max="11528" width="8.7109375" style="22" customWidth="1"/>
    <col min="11529" max="11529" width="9.140625" style="22"/>
    <col min="11530" max="11530" width="15.7109375" style="22" customWidth="1"/>
    <col min="11531" max="11532" width="9.140625" style="22"/>
    <col min="11533" max="11533" width="12.7109375" style="22" customWidth="1"/>
    <col min="11534" max="11534" width="9.7109375" style="22" customWidth="1"/>
    <col min="11535" max="11535" width="15.5703125" style="22" customWidth="1"/>
    <col min="11536" max="11537" width="6.7109375" style="22" customWidth="1"/>
    <col min="11538" max="11538" width="10" style="22" customWidth="1"/>
    <col min="11539" max="11539" width="27.28515625" style="22" customWidth="1"/>
    <col min="11540" max="11540" width="15.7109375" style="22" customWidth="1"/>
    <col min="11541" max="11541" width="23.5703125" style="22" customWidth="1"/>
    <col min="11542" max="11542" width="8.7109375" style="22" customWidth="1"/>
    <col min="11543" max="11544" width="8.28515625" style="22" customWidth="1"/>
    <col min="11545" max="11545" width="10.7109375" style="22" customWidth="1"/>
    <col min="11546" max="11548" width="6.7109375" style="22" customWidth="1"/>
    <col min="11549" max="11549" width="20.140625" style="22" customWidth="1"/>
    <col min="11550" max="11552" width="6.7109375" style="22" customWidth="1"/>
    <col min="11553" max="11776" width="9.140625" style="22"/>
    <col min="11777" max="11777" width="3.28515625" style="22" customWidth="1"/>
    <col min="11778" max="11778" width="16" style="22" customWidth="1"/>
    <col min="11779" max="11779" width="6.7109375" style="22" customWidth="1"/>
    <col min="11780" max="11780" width="32.42578125" style="22" customWidth="1"/>
    <col min="11781" max="11781" width="25.5703125" style="22" customWidth="1"/>
    <col min="11782" max="11782" width="22.7109375" style="22" customWidth="1"/>
    <col min="11783" max="11783" width="14.140625" style="22" customWidth="1"/>
    <col min="11784" max="11784" width="8.7109375" style="22" customWidth="1"/>
    <col min="11785" max="11785" width="9.140625" style="22"/>
    <col min="11786" max="11786" width="15.7109375" style="22" customWidth="1"/>
    <col min="11787" max="11788" width="9.140625" style="22"/>
    <col min="11789" max="11789" width="12.7109375" style="22" customWidth="1"/>
    <col min="11790" max="11790" width="9.7109375" style="22" customWidth="1"/>
    <col min="11791" max="11791" width="15.5703125" style="22" customWidth="1"/>
    <col min="11792" max="11793" width="6.7109375" style="22" customWidth="1"/>
    <col min="11794" max="11794" width="10" style="22" customWidth="1"/>
    <col min="11795" max="11795" width="27.28515625" style="22" customWidth="1"/>
    <col min="11796" max="11796" width="15.7109375" style="22" customWidth="1"/>
    <col min="11797" max="11797" width="23.5703125" style="22" customWidth="1"/>
    <col min="11798" max="11798" width="8.7109375" style="22" customWidth="1"/>
    <col min="11799" max="11800" width="8.28515625" style="22" customWidth="1"/>
    <col min="11801" max="11801" width="10.7109375" style="22" customWidth="1"/>
    <col min="11802" max="11804" width="6.7109375" style="22" customWidth="1"/>
    <col min="11805" max="11805" width="20.140625" style="22" customWidth="1"/>
    <col min="11806" max="11808" width="6.7109375" style="22" customWidth="1"/>
    <col min="11809" max="12032" width="9.140625" style="22"/>
    <col min="12033" max="12033" width="3.28515625" style="22" customWidth="1"/>
    <col min="12034" max="12034" width="16" style="22" customWidth="1"/>
    <col min="12035" max="12035" width="6.7109375" style="22" customWidth="1"/>
    <col min="12036" max="12036" width="32.42578125" style="22" customWidth="1"/>
    <col min="12037" max="12037" width="25.5703125" style="22" customWidth="1"/>
    <col min="12038" max="12038" width="22.7109375" style="22" customWidth="1"/>
    <col min="12039" max="12039" width="14.140625" style="22" customWidth="1"/>
    <col min="12040" max="12040" width="8.7109375" style="22" customWidth="1"/>
    <col min="12041" max="12041" width="9.140625" style="22"/>
    <col min="12042" max="12042" width="15.7109375" style="22" customWidth="1"/>
    <col min="12043" max="12044" width="9.140625" style="22"/>
    <col min="12045" max="12045" width="12.7109375" style="22" customWidth="1"/>
    <col min="12046" max="12046" width="9.7109375" style="22" customWidth="1"/>
    <col min="12047" max="12047" width="15.5703125" style="22" customWidth="1"/>
    <col min="12048" max="12049" width="6.7109375" style="22" customWidth="1"/>
    <col min="12050" max="12050" width="10" style="22" customWidth="1"/>
    <col min="12051" max="12051" width="27.28515625" style="22" customWidth="1"/>
    <col min="12052" max="12052" width="15.7109375" style="22" customWidth="1"/>
    <col min="12053" max="12053" width="23.5703125" style="22" customWidth="1"/>
    <col min="12054" max="12054" width="8.7109375" style="22" customWidth="1"/>
    <col min="12055" max="12056" width="8.28515625" style="22" customWidth="1"/>
    <col min="12057" max="12057" width="10.7109375" style="22" customWidth="1"/>
    <col min="12058" max="12060" width="6.7109375" style="22" customWidth="1"/>
    <col min="12061" max="12061" width="20.140625" style="22" customWidth="1"/>
    <col min="12062" max="12064" width="6.7109375" style="22" customWidth="1"/>
    <col min="12065" max="12288" width="9.140625" style="22"/>
    <col min="12289" max="12289" width="3.28515625" style="22" customWidth="1"/>
    <col min="12290" max="12290" width="16" style="22" customWidth="1"/>
    <col min="12291" max="12291" width="6.7109375" style="22" customWidth="1"/>
    <col min="12292" max="12292" width="32.42578125" style="22" customWidth="1"/>
    <col min="12293" max="12293" width="25.5703125" style="22" customWidth="1"/>
    <col min="12294" max="12294" width="22.7109375" style="22" customWidth="1"/>
    <col min="12295" max="12295" width="14.140625" style="22" customWidth="1"/>
    <col min="12296" max="12296" width="8.7109375" style="22" customWidth="1"/>
    <col min="12297" max="12297" width="9.140625" style="22"/>
    <col min="12298" max="12298" width="15.7109375" style="22" customWidth="1"/>
    <col min="12299" max="12300" width="9.140625" style="22"/>
    <col min="12301" max="12301" width="12.7109375" style="22" customWidth="1"/>
    <col min="12302" max="12302" width="9.7109375" style="22" customWidth="1"/>
    <col min="12303" max="12303" width="15.5703125" style="22" customWidth="1"/>
    <col min="12304" max="12305" width="6.7109375" style="22" customWidth="1"/>
    <col min="12306" max="12306" width="10" style="22" customWidth="1"/>
    <col min="12307" max="12307" width="27.28515625" style="22" customWidth="1"/>
    <col min="12308" max="12308" width="15.7109375" style="22" customWidth="1"/>
    <col min="12309" max="12309" width="23.5703125" style="22" customWidth="1"/>
    <col min="12310" max="12310" width="8.7109375" style="22" customWidth="1"/>
    <col min="12311" max="12312" width="8.28515625" style="22" customWidth="1"/>
    <col min="12313" max="12313" width="10.7109375" style="22" customWidth="1"/>
    <col min="12314" max="12316" width="6.7109375" style="22" customWidth="1"/>
    <col min="12317" max="12317" width="20.140625" style="22" customWidth="1"/>
    <col min="12318" max="12320" width="6.7109375" style="22" customWidth="1"/>
    <col min="12321" max="12544" width="9.140625" style="22"/>
    <col min="12545" max="12545" width="3.28515625" style="22" customWidth="1"/>
    <col min="12546" max="12546" width="16" style="22" customWidth="1"/>
    <col min="12547" max="12547" width="6.7109375" style="22" customWidth="1"/>
    <col min="12548" max="12548" width="32.42578125" style="22" customWidth="1"/>
    <col min="12549" max="12549" width="25.5703125" style="22" customWidth="1"/>
    <col min="12550" max="12550" width="22.7109375" style="22" customWidth="1"/>
    <col min="12551" max="12551" width="14.140625" style="22" customWidth="1"/>
    <col min="12552" max="12552" width="8.7109375" style="22" customWidth="1"/>
    <col min="12553" max="12553" width="9.140625" style="22"/>
    <col min="12554" max="12554" width="15.7109375" style="22" customWidth="1"/>
    <col min="12555" max="12556" width="9.140625" style="22"/>
    <col min="12557" max="12557" width="12.7109375" style="22" customWidth="1"/>
    <col min="12558" max="12558" width="9.7109375" style="22" customWidth="1"/>
    <col min="12559" max="12559" width="15.5703125" style="22" customWidth="1"/>
    <col min="12560" max="12561" width="6.7109375" style="22" customWidth="1"/>
    <col min="12562" max="12562" width="10" style="22" customWidth="1"/>
    <col min="12563" max="12563" width="27.28515625" style="22" customWidth="1"/>
    <col min="12564" max="12564" width="15.7109375" style="22" customWidth="1"/>
    <col min="12565" max="12565" width="23.5703125" style="22" customWidth="1"/>
    <col min="12566" max="12566" width="8.7109375" style="22" customWidth="1"/>
    <col min="12567" max="12568" width="8.28515625" style="22" customWidth="1"/>
    <col min="12569" max="12569" width="10.7109375" style="22" customWidth="1"/>
    <col min="12570" max="12572" width="6.7109375" style="22" customWidth="1"/>
    <col min="12573" max="12573" width="20.140625" style="22" customWidth="1"/>
    <col min="12574" max="12576" width="6.7109375" style="22" customWidth="1"/>
    <col min="12577" max="12800" width="9.140625" style="22"/>
    <col min="12801" max="12801" width="3.28515625" style="22" customWidth="1"/>
    <col min="12802" max="12802" width="16" style="22" customWidth="1"/>
    <col min="12803" max="12803" width="6.7109375" style="22" customWidth="1"/>
    <col min="12804" max="12804" width="32.42578125" style="22" customWidth="1"/>
    <col min="12805" max="12805" width="25.5703125" style="22" customWidth="1"/>
    <col min="12806" max="12806" width="22.7109375" style="22" customWidth="1"/>
    <col min="12807" max="12807" width="14.140625" style="22" customWidth="1"/>
    <col min="12808" max="12808" width="8.7109375" style="22" customWidth="1"/>
    <col min="12809" max="12809" width="9.140625" style="22"/>
    <col min="12810" max="12810" width="15.7109375" style="22" customWidth="1"/>
    <col min="12811" max="12812" width="9.140625" style="22"/>
    <col min="12813" max="12813" width="12.7109375" style="22" customWidth="1"/>
    <col min="12814" max="12814" width="9.7109375" style="22" customWidth="1"/>
    <col min="12815" max="12815" width="15.5703125" style="22" customWidth="1"/>
    <col min="12816" max="12817" width="6.7109375" style="22" customWidth="1"/>
    <col min="12818" max="12818" width="10" style="22" customWidth="1"/>
    <col min="12819" max="12819" width="27.28515625" style="22" customWidth="1"/>
    <col min="12820" max="12820" width="15.7109375" style="22" customWidth="1"/>
    <col min="12821" max="12821" width="23.5703125" style="22" customWidth="1"/>
    <col min="12822" max="12822" width="8.7109375" style="22" customWidth="1"/>
    <col min="12823" max="12824" width="8.28515625" style="22" customWidth="1"/>
    <col min="12825" max="12825" width="10.7109375" style="22" customWidth="1"/>
    <col min="12826" max="12828" width="6.7109375" style="22" customWidth="1"/>
    <col min="12829" max="12829" width="20.140625" style="22" customWidth="1"/>
    <col min="12830" max="12832" width="6.7109375" style="22" customWidth="1"/>
    <col min="12833" max="13056" width="9.140625" style="22"/>
    <col min="13057" max="13057" width="3.28515625" style="22" customWidth="1"/>
    <col min="13058" max="13058" width="16" style="22" customWidth="1"/>
    <col min="13059" max="13059" width="6.7109375" style="22" customWidth="1"/>
    <col min="13060" max="13060" width="32.42578125" style="22" customWidth="1"/>
    <col min="13061" max="13061" width="25.5703125" style="22" customWidth="1"/>
    <col min="13062" max="13062" width="22.7109375" style="22" customWidth="1"/>
    <col min="13063" max="13063" width="14.140625" style="22" customWidth="1"/>
    <col min="13064" max="13064" width="8.7109375" style="22" customWidth="1"/>
    <col min="13065" max="13065" width="9.140625" style="22"/>
    <col min="13066" max="13066" width="15.7109375" style="22" customWidth="1"/>
    <col min="13067" max="13068" width="9.140625" style="22"/>
    <col min="13069" max="13069" width="12.7109375" style="22" customWidth="1"/>
    <col min="13070" max="13070" width="9.7109375" style="22" customWidth="1"/>
    <col min="13071" max="13071" width="15.5703125" style="22" customWidth="1"/>
    <col min="13072" max="13073" width="6.7109375" style="22" customWidth="1"/>
    <col min="13074" max="13074" width="10" style="22" customWidth="1"/>
    <col min="13075" max="13075" width="27.28515625" style="22" customWidth="1"/>
    <col min="13076" max="13076" width="15.7109375" style="22" customWidth="1"/>
    <col min="13077" max="13077" width="23.5703125" style="22" customWidth="1"/>
    <col min="13078" max="13078" width="8.7109375" style="22" customWidth="1"/>
    <col min="13079" max="13080" width="8.28515625" style="22" customWidth="1"/>
    <col min="13081" max="13081" width="10.7109375" style="22" customWidth="1"/>
    <col min="13082" max="13084" width="6.7109375" style="22" customWidth="1"/>
    <col min="13085" max="13085" width="20.140625" style="22" customWidth="1"/>
    <col min="13086" max="13088" width="6.7109375" style="22" customWidth="1"/>
    <col min="13089" max="13312" width="9.140625" style="22"/>
    <col min="13313" max="13313" width="3.28515625" style="22" customWidth="1"/>
    <col min="13314" max="13314" width="16" style="22" customWidth="1"/>
    <col min="13315" max="13315" width="6.7109375" style="22" customWidth="1"/>
    <col min="13316" max="13316" width="32.42578125" style="22" customWidth="1"/>
    <col min="13317" max="13317" width="25.5703125" style="22" customWidth="1"/>
    <col min="13318" max="13318" width="22.7109375" style="22" customWidth="1"/>
    <col min="13319" max="13319" width="14.140625" style="22" customWidth="1"/>
    <col min="13320" max="13320" width="8.7109375" style="22" customWidth="1"/>
    <col min="13321" max="13321" width="9.140625" style="22"/>
    <col min="13322" max="13322" width="15.7109375" style="22" customWidth="1"/>
    <col min="13323" max="13324" width="9.140625" style="22"/>
    <col min="13325" max="13325" width="12.7109375" style="22" customWidth="1"/>
    <col min="13326" max="13326" width="9.7109375" style="22" customWidth="1"/>
    <col min="13327" max="13327" width="15.5703125" style="22" customWidth="1"/>
    <col min="13328" max="13329" width="6.7109375" style="22" customWidth="1"/>
    <col min="13330" max="13330" width="10" style="22" customWidth="1"/>
    <col min="13331" max="13331" width="27.28515625" style="22" customWidth="1"/>
    <col min="13332" max="13332" width="15.7109375" style="22" customWidth="1"/>
    <col min="13333" max="13333" width="23.5703125" style="22" customWidth="1"/>
    <col min="13334" max="13334" width="8.7109375" style="22" customWidth="1"/>
    <col min="13335" max="13336" width="8.28515625" style="22" customWidth="1"/>
    <col min="13337" max="13337" width="10.7109375" style="22" customWidth="1"/>
    <col min="13338" max="13340" width="6.7109375" style="22" customWidth="1"/>
    <col min="13341" max="13341" width="20.140625" style="22" customWidth="1"/>
    <col min="13342" max="13344" width="6.7109375" style="22" customWidth="1"/>
    <col min="13345" max="13568" width="9.140625" style="22"/>
    <col min="13569" max="13569" width="3.28515625" style="22" customWidth="1"/>
    <col min="13570" max="13570" width="16" style="22" customWidth="1"/>
    <col min="13571" max="13571" width="6.7109375" style="22" customWidth="1"/>
    <col min="13572" max="13572" width="32.42578125" style="22" customWidth="1"/>
    <col min="13573" max="13573" width="25.5703125" style="22" customWidth="1"/>
    <col min="13574" max="13574" width="22.7109375" style="22" customWidth="1"/>
    <col min="13575" max="13575" width="14.140625" style="22" customWidth="1"/>
    <col min="13576" max="13576" width="8.7109375" style="22" customWidth="1"/>
    <col min="13577" max="13577" width="9.140625" style="22"/>
    <col min="13578" max="13578" width="15.7109375" style="22" customWidth="1"/>
    <col min="13579" max="13580" width="9.140625" style="22"/>
    <col min="13581" max="13581" width="12.7109375" style="22" customWidth="1"/>
    <col min="13582" max="13582" width="9.7109375" style="22" customWidth="1"/>
    <col min="13583" max="13583" width="15.5703125" style="22" customWidth="1"/>
    <col min="13584" max="13585" width="6.7109375" style="22" customWidth="1"/>
    <col min="13586" max="13586" width="10" style="22" customWidth="1"/>
    <col min="13587" max="13587" width="27.28515625" style="22" customWidth="1"/>
    <col min="13588" max="13588" width="15.7109375" style="22" customWidth="1"/>
    <col min="13589" max="13589" width="23.5703125" style="22" customWidth="1"/>
    <col min="13590" max="13590" width="8.7109375" style="22" customWidth="1"/>
    <col min="13591" max="13592" width="8.28515625" style="22" customWidth="1"/>
    <col min="13593" max="13593" width="10.7109375" style="22" customWidth="1"/>
    <col min="13594" max="13596" width="6.7109375" style="22" customWidth="1"/>
    <col min="13597" max="13597" width="20.140625" style="22" customWidth="1"/>
    <col min="13598" max="13600" width="6.7109375" style="22" customWidth="1"/>
    <col min="13601" max="13824" width="9.140625" style="22"/>
    <col min="13825" max="13825" width="3.28515625" style="22" customWidth="1"/>
    <col min="13826" max="13826" width="16" style="22" customWidth="1"/>
    <col min="13827" max="13827" width="6.7109375" style="22" customWidth="1"/>
    <col min="13828" max="13828" width="32.42578125" style="22" customWidth="1"/>
    <col min="13829" max="13829" width="25.5703125" style="22" customWidth="1"/>
    <col min="13830" max="13830" width="22.7109375" style="22" customWidth="1"/>
    <col min="13831" max="13831" width="14.140625" style="22" customWidth="1"/>
    <col min="13832" max="13832" width="8.7109375" style="22" customWidth="1"/>
    <col min="13833" max="13833" width="9.140625" style="22"/>
    <col min="13834" max="13834" width="15.7109375" style="22" customWidth="1"/>
    <col min="13835" max="13836" width="9.140625" style="22"/>
    <col min="13837" max="13837" width="12.7109375" style="22" customWidth="1"/>
    <col min="13838" max="13838" width="9.7109375" style="22" customWidth="1"/>
    <col min="13839" max="13839" width="15.5703125" style="22" customWidth="1"/>
    <col min="13840" max="13841" width="6.7109375" style="22" customWidth="1"/>
    <col min="13842" max="13842" width="10" style="22" customWidth="1"/>
    <col min="13843" max="13843" width="27.28515625" style="22" customWidth="1"/>
    <col min="13844" max="13844" width="15.7109375" style="22" customWidth="1"/>
    <col min="13845" max="13845" width="23.5703125" style="22" customWidth="1"/>
    <col min="13846" max="13846" width="8.7109375" style="22" customWidth="1"/>
    <col min="13847" max="13848" width="8.28515625" style="22" customWidth="1"/>
    <col min="13849" max="13849" width="10.7109375" style="22" customWidth="1"/>
    <col min="13850" max="13852" width="6.7109375" style="22" customWidth="1"/>
    <col min="13853" max="13853" width="20.140625" style="22" customWidth="1"/>
    <col min="13854" max="13856" width="6.7109375" style="22" customWidth="1"/>
    <col min="13857" max="14080" width="9.140625" style="22"/>
    <col min="14081" max="14081" width="3.28515625" style="22" customWidth="1"/>
    <col min="14082" max="14082" width="16" style="22" customWidth="1"/>
    <col min="14083" max="14083" width="6.7109375" style="22" customWidth="1"/>
    <col min="14084" max="14084" width="32.42578125" style="22" customWidth="1"/>
    <col min="14085" max="14085" width="25.5703125" style="22" customWidth="1"/>
    <col min="14086" max="14086" width="22.7109375" style="22" customWidth="1"/>
    <col min="14087" max="14087" width="14.140625" style="22" customWidth="1"/>
    <col min="14088" max="14088" width="8.7109375" style="22" customWidth="1"/>
    <col min="14089" max="14089" width="9.140625" style="22"/>
    <col min="14090" max="14090" width="15.7109375" style="22" customWidth="1"/>
    <col min="14091" max="14092" width="9.140625" style="22"/>
    <col min="14093" max="14093" width="12.7109375" style="22" customWidth="1"/>
    <col min="14094" max="14094" width="9.7109375" style="22" customWidth="1"/>
    <col min="14095" max="14095" width="15.5703125" style="22" customWidth="1"/>
    <col min="14096" max="14097" width="6.7109375" style="22" customWidth="1"/>
    <col min="14098" max="14098" width="10" style="22" customWidth="1"/>
    <col min="14099" max="14099" width="27.28515625" style="22" customWidth="1"/>
    <col min="14100" max="14100" width="15.7109375" style="22" customWidth="1"/>
    <col min="14101" max="14101" width="23.5703125" style="22" customWidth="1"/>
    <col min="14102" max="14102" width="8.7109375" style="22" customWidth="1"/>
    <col min="14103" max="14104" width="8.28515625" style="22" customWidth="1"/>
    <col min="14105" max="14105" width="10.7109375" style="22" customWidth="1"/>
    <col min="14106" max="14108" width="6.7109375" style="22" customWidth="1"/>
    <col min="14109" max="14109" width="20.140625" style="22" customWidth="1"/>
    <col min="14110" max="14112" width="6.7109375" style="22" customWidth="1"/>
    <col min="14113" max="14336" width="9.140625" style="22"/>
    <col min="14337" max="14337" width="3.28515625" style="22" customWidth="1"/>
    <col min="14338" max="14338" width="16" style="22" customWidth="1"/>
    <col min="14339" max="14339" width="6.7109375" style="22" customWidth="1"/>
    <col min="14340" max="14340" width="32.42578125" style="22" customWidth="1"/>
    <col min="14341" max="14341" width="25.5703125" style="22" customWidth="1"/>
    <col min="14342" max="14342" width="22.7109375" style="22" customWidth="1"/>
    <col min="14343" max="14343" width="14.140625" style="22" customWidth="1"/>
    <col min="14344" max="14344" width="8.7109375" style="22" customWidth="1"/>
    <col min="14345" max="14345" width="9.140625" style="22"/>
    <col min="14346" max="14346" width="15.7109375" style="22" customWidth="1"/>
    <col min="14347" max="14348" width="9.140625" style="22"/>
    <col min="14349" max="14349" width="12.7109375" style="22" customWidth="1"/>
    <col min="14350" max="14350" width="9.7109375" style="22" customWidth="1"/>
    <col min="14351" max="14351" width="15.5703125" style="22" customWidth="1"/>
    <col min="14352" max="14353" width="6.7109375" style="22" customWidth="1"/>
    <col min="14354" max="14354" width="10" style="22" customWidth="1"/>
    <col min="14355" max="14355" width="27.28515625" style="22" customWidth="1"/>
    <col min="14356" max="14356" width="15.7109375" style="22" customWidth="1"/>
    <col min="14357" max="14357" width="23.5703125" style="22" customWidth="1"/>
    <col min="14358" max="14358" width="8.7109375" style="22" customWidth="1"/>
    <col min="14359" max="14360" width="8.28515625" style="22" customWidth="1"/>
    <col min="14361" max="14361" width="10.7109375" style="22" customWidth="1"/>
    <col min="14362" max="14364" width="6.7109375" style="22" customWidth="1"/>
    <col min="14365" max="14365" width="20.140625" style="22" customWidth="1"/>
    <col min="14366" max="14368" width="6.7109375" style="22" customWidth="1"/>
    <col min="14369" max="14592" width="9.140625" style="22"/>
    <col min="14593" max="14593" width="3.28515625" style="22" customWidth="1"/>
    <col min="14594" max="14594" width="16" style="22" customWidth="1"/>
    <col min="14595" max="14595" width="6.7109375" style="22" customWidth="1"/>
    <col min="14596" max="14596" width="32.42578125" style="22" customWidth="1"/>
    <col min="14597" max="14597" width="25.5703125" style="22" customWidth="1"/>
    <col min="14598" max="14598" width="22.7109375" style="22" customWidth="1"/>
    <col min="14599" max="14599" width="14.140625" style="22" customWidth="1"/>
    <col min="14600" max="14600" width="8.7109375" style="22" customWidth="1"/>
    <col min="14601" max="14601" width="9.140625" style="22"/>
    <col min="14602" max="14602" width="15.7109375" style="22" customWidth="1"/>
    <col min="14603" max="14604" width="9.140625" style="22"/>
    <col min="14605" max="14605" width="12.7109375" style="22" customWidth="1"/>
    <col min="14606" max="14606" width="9.7109375" style="22" customWidth="1"/>
    <col min="14607" max="14607" width="15.5703125" style="22" customWidth="1"/>
    <col min="14608" max="14609" width="6.7109375" style="22" customWidth="1"/>
    <col min="14610" max="14610" width="10" style="22" customWidth="1"/>
    <col min="14611" max="14611" width="27.28515625" style="22" customWidth="1"/>
    <col min="14612" max="14612" width="15.7109375" style="22" customWidth="1"/>
    <col min="14613" max="14613" width="23.5703125" style="22" customWidth="1"/>
    <col min="14614" max="14614" width="8.7109375" style="22" customWidth="1"/>
    <col min="14615" max="14616" width="8.28515625" style="22" customWidth="1"/>
    <col min="14617" max="14617" width="10.7109375" style="22" customWidth="1"/>
    <col min="14618" max="14620" width="6.7109375" style="22" customWidth="1"/>
    <col min="14621" max="14621" width="20.140625" style="22" customWidth="1"/>
    <col min="14622" max="14624" width="6.7109375" style="22" customWidth="1"/>
    <col min="14625" max="14848" width="9.140625" style="22"/>
    <col min="14849" max="14849" width="3.28515625" style="22" customWidth="1"/>
    <col min="14850" max="14850" width="16" style="22" customWidth="1"/>
    <col min="14851" max="14851" width="6.7109375" style="22" customWidth="1"/>
    <col min="14852" max="14852" width="32.42578125" style="22" customWidth="1"/>
    <col min="14853" max="14853" width="25.5703125" style="22" customWidth="1"/>
    <col min="14854" max="14854" width="22.7109375" style="22" customWidth="1"/>
    <col min="14855" max="14855" width="14.140625" style="22" customWidth="1"/>
    <col min="14856" max="14856" width="8.7109375" style="22" customWidth="1"/>
    <col min="14857" max="14857" width="9.140625" style="22"/>
    <col min="14858" max="14858" width="15.7109375" style="22" customWidth="1"/>
    <col min="14859" max="14860" width="9.140625" style="22"/>
    <col min="14861" max="14861" width="12.7109375" style="22" customWidth="1"/>
    <col min="14862" max="14862" width="9.7109375" style="22" customWidth="1"/>
    <col min="14863" max="14863" width="15.5703125" style="22" customWidth="1"/>
    <col min="14864" max="14865" width="6.7109375" style="22" customWidth="1"/>
    <col min="14866" max="14866" width="10" style="22" customWidth="1"/>
    <col min="14867" max="14867" width="27.28515625" style="22" customWidth="1"/>
    <col min="14868" max="14868" width="15.7109375" style="22" customWidth="1"/>
    <col min="14869" max="14869" width="23.5703125" style="22" customWidth="1"/>
    <col min="14870" max="14870" width="8.7109375" style="22" customWidth="1"/>
    <col min="14871" max="14872" width="8.28515625" style="22" customWidth="1"/>
    <col min="14873" max="14873" width="10.7109375" style="22" customWidth="1"/>
    <col min="14874" max="14876" width="6.7109375" style="22" customWidth="1"/>
    <col min="14877" max="14877" width="20.140625" style="22" customWidth="1"/>
    <col min="14878" max="14880" width="6.7109375" style="22" customWidth="1"/>
    <col min="14881" max="15104" width="9.140625" style="22"/>
    <col min="15105" max="15105" width="3.28515625" style="22" customWidth="1"/>
    <col min="15106" max="15106" width="16" style="22" customWidth="1"/>
    <col min="15107" max="15107" width="6.7109375" style="22" customWidth="1"/>
    <col min="15108" max="15108" width="32.42578125" style="22" customWidth="1"/>
    <col min="15109" max="15109" width="25.5703125" style="22" customWidth="1"/>
    <col min="15110" max="15110" width="22.7109375" style="22" customWidth="1"/>
    <col min="15111" max="15111" width="14.140625" style="22" customWidth="1"/>
    <col min="15112" max="15112" width="8.7109375" style="22" customWidth="1"/>
    <col min="15113" max="15113" width="9.140625" style="22"/>
    <col min="15114" max="15114" width="15.7109375" style="22" customWidth="1"/>
    <col min="15115" max="15116" width="9.140625" style="22"/>
    <col min="15117" max="15117" width="12.7109375" style="22" customWidth="1"/>
    <col min="15118" max="15118" width="9.7109375" style="22" customWidth="1"/>
    <col min="15119" max="15119" width="15.5703125" style="22" customWidth="1"/>
    <col min="15120" max="15121" width="6.7109375" style="22" customWidth="1"/>
    <col min="15122" max="15122" width="10" style="22" customWidth="1"/>
    <col min="15123" max="15123" width="27.28515625" style="22" customWidth="1"/>
    <col min="15124" max="15124" width="15.7109375" style="22" customWidth="1"/>
    <col min="15125" max="15125" width="23.5703125" style="22" customWidth="1"/>
    <col min="15126" max="15126" width="8.7109375" style="22" customWidth="1"/>
    <col min="15127" max="15128" width="8.28515625" style="22" customWidth="1"/>
    <col min="15129" max="15129" width="10.7109375" style="22" customWidth="1"/>
    <col min="15130" max="15132" width="6.7109375" style="22" customWidth="1"/>
    <col min="15133" max="15133" width="20.140625" style="22" customWidth="1"/>
    <col min="15134" max="15136" width="6.7109375" style="22" customWidth="1"/>
    <col min="15137" max="15360" width="9.140625" style="22"/>
    <col min="15361" max="15361" width="3.28515625" style="22" customWidth="1"/>
    <col min="15362" max="15362" width="16" style="22" customWidth="1"/>
    <col min="15363" max="15363" width="6.7109375" style="22" customWidth="1"/>
    <col min="15364" max="15364" width="32.42578125" style="22" customWidth="1"/>
    <col min="15365" max="15365" width="25.5703125" style="22" customWidth="1"/>
    <col min="15366" max="15366" width="22.7109375" style="22" customWidth="1"/>
    <col min="15367" max="15367" width="14.140625" style="22" customWidth="1"/>
    <col min="15368" max="15368" width="8.7109375" style="22" customWidth="1"/>
    <col min="15369" max="15369" width="9.140625" style="22"/>
    <col min="15370" max="15370" width="15.7109375" style="22" customWidth="1"/>
    <col min="15371" max="15372" width="9.140625" style="22"/>
    <col min="15373" max="15373" width="12.7109375" style="22" customWidth="1"/>
    <col min="15374" max="15374" width="9.7109375" style="22" customWidth="1"/>
    <col min="15375" max="15375" width="15.5703125" style="22" customWidth="1"/>
    <col min="15376" max="15377" width="6.7109375" style="22" customWidth="1"/>
    <col min="15378" max="15378" width="10" style="22" customWidth="1"/>
    <col min="15379" max="15379" width="27.28515625" style="22" customWidth="1"/>
    <col min="15380" max="15380" width="15.7109375" style="22" customWidth="1"/>
    <col min="15381" max="15381" width="23.5703125" style="22" customWidth="1"/>
    <col min="15382" max="15382" width="8.7109375" style="22" customWidth="1"/>
    <col min="15383" max="15384" width="8.28515625" style="22" customWidth="1"/>
    <col min="15385" max="15385" width="10.7109375" style="22" customWidth="1"/>
    <col min="15386" max="15388" width="6.7109375" style="22" customWidth="1"/>
    <col min="15389" max="15389" width="20.140625" style="22" customWidth="1"/>
    <col min="15390" max="15392" width="6.7109375" style="22" customWidth="1"/>
    <col min="15393" max="15616" width="9.140625" style="22"/>
    <col min="15617" max="15617" width="3.28515625" style="22" customWidth="1"/>
    <col min="15618" max="15618" width="16" style="22" customWidth="1"/>
    <col min="15619" max="15619" width="6.7109375" style="22" customWidth="1"/>
    <col min="15620" max="15620" width="32.42578125" style="22" customWidth="1"/>
    <col min="15621" max="15621" width="25.5703125" style="22" customWidth="1"/>
    <col min="15622" max="15622" width="22.7109375" style="22" customWidth="1"/>
    <col min="15623" max="15623" width="14.140625" style="22" customWidth="1"/>
    <col min="15624" max="15624" width="8.7109375" style="22" customWidth="1"/>
    <col min="15625" max="15625" width="9.140625" style="22"/>
    <col min="15626" max="15626" width="15.7109375" style="22" customWidth="1"/>
    <col min="15627" max="15628" width="9.140625" style="22"/>
    <col min="15629" max="15629" width="12.7109375" style="22" customWidth="1"/>
    <col min="15630" max="15630" width="9.7109375" style="22" customWidth="1"/>
    <col min="15631" max="15631" width="15.5703125" style="22" customWidth="1"/>
    <col min="15632" max="15633" width="6.7109375" style="22" customWidth="1"/>
    <col min="15634" max="15634" width="10" style="22" customWidth="1"/>
    <col min="15635" max="15635" width="27.28515625" style="22" customWidth="1"/>
    <col min="15636" max="15636" width="15.7109375" style="22" customWidth="1"/>
    <col min="15637" max="15637" width="23.5703125" style="22" customWidth="1"/>
    <col min="15638" max="15638" width="8.7109375" style="22" customWidth="1"/>
    <col min="15639" max="15640" width="8.28515625" style="22" customWidth="1"/>
    <col min="15641" max="15641" width="10.7109375" style="22" customWidth="1"/>
    <col min="15642" max="15644" width="6.7109375" style="22" customWidth="1"/>
    <col min="15645" max="15645" width="20.140625" style="22" customWidth="1"/>
    <col min="15646" max="15648" width="6.7109375" style="22" customWidth="1"/>
    <col min="15649" max="15872" width="9.140625" style="22"/>
    <col min="15873" max="15873" width="3.28515625" style="22" customWidth="1"/>
    <col min="15874" max="15874" width="16" style="22" customWidth="1"/>
    <col min="15875" max="15875" width="6.7109375" style="22" customWidth="1"/>
    <col min="15876" max="15876" width="32.42578125" style="22" customWidth="1"/>
    <col min="15877" max="15877" width="25.5703125" style="22" customWidth="1"/>
    <col min="15878" max="15878" width="22.7109375" style="22" customWidth="1"/>
    <col min="15879" max="15879" width="14.140625" style="22" customWidth="1"/>
    <col min="15880" max="15880" width="8.7109375" style="22" customWidth="1"/>
    <col min="15881" max="15881" width="9.140625" style="22"/>
    <col min="15882" max="15882" width="15.7109375" style="22" customWidth="1"/>
    <col min="15883" max="15884" width="9.140625" style="22"/>
    <col min="15885" max="15885" width="12.7109375" style="22" customWidth="1"/>
    <col min="15886" max="15886" width="9.7109375" style="22" customWidth="1"/>
    <col min="15887" max="15887" width="15.5703125" style="22" customWidth="1"/>
    <col min="15888" max="15889" width="6.7109375" style="22" customWidth="1"/>
    <col min="15890" max="15890" width="10" style="22" customWidth="1"/>
    <col min="15891" max="15891" width="27.28515625" style="22" customWidth="1"/>
    <col min="15892" max="15892" width="15.7109375" style="22" customWidth="1"/>
    <col min="15893" max="15893" width="23.5703125" style="22" customWidth="1"/>
    <col min="15894" max="15894" width="8.7109375" style="22" customWidth="1"/>
    <col min="15895" max="15896" width="8.28515625" style="22" customWidth="1"/>
    <col min="15897" max="15897" width="10.7109375" style="22" customWidth="1"/>
    <col min="15898" max="15900" width="6.7109375" style="22" customWidth="1"/>
    <col min="15901" max="15901" width="20.140625" style="22" customWidth="1"/>
    <col min="15902" max="15904" width="6.7109375" style="22" customWidth="1"/>
    <col min="15905" max="16128" width="9.140625" style="22"/>
    <col min="16129" max="16129" width="3.28515625" style="22" customWidth="1"/>
    <col min="16130" max="16130" width="16" style="22" customWidth="1"/>
    <col min="16131" max="16131" width="6.7109375" style="22" customWidth="1"/>
    <col min="16132" max="16132" width="32.42578125" style="22" customWidth="1"/>
    <col min="16133" max="16133" width="25.5703125" style="22" customWidth="1"/>
    <col min="16134" max="16134" width="22.7109375" style="22" customWidth="1"/>
    <col min="16135" max="16135" width="14.140625" style="22" customWidth="1"/>
    <col min="16136" max="16136" width="8.7109375" style="22" customWidth="1"/>
    <col min="16137" max="16137" width="9.140625" style="22"/>
    <col min="16138" max="16138" width="15.7109375" style="22" customWidth="1"/>
    <col min="16139" max="16140" width="9.140625" style="22"/>
    <col min="16141" max="16141" width="12.7109375" style="22" customWidth="1"/>
    <col min="16142" max="16142" width="9.7109375" style="22" customWidth="1"/>
    <col min="16143" max="16143" width="15.5703125" style="22" customWidth="1"/>
    <col min="16144" max="16145" width="6.7109375" style="22" customWidth="1"/>
    <col min="16146" max="16146" width="10" style="22" customWidth="1"/>
    <col min="16147" max="16147" width="27.28515625" style="22" customWidth="1"/>
    <col min="16148" max="16148" width="15.7109375" style="22" customWidth="1"/>
    <col min="16149" max="16149" width="23.5703125" style="22" customWidth="1"/>
    <col min="16150" max="16150" width="8.7109375" style="22" customWidth="1"/>
    <col min="16151" max="16152" width="8.28515625" style="22" customWidth="1"/>
    <col min="16153" max="16153" width="10.7109375" style="22" customWidth="1"/>
    <col min="16154" max="16156" width="6.7109375" style="22" customWidth="1"/>
    <col min="16157" max="16157" width="20.140625" style="22" customWidth="1"/>
    <col min="16158" max="16160" width="6.7109375" style="22" customWidth="1"/>
    <col min="16161" max="16384" width="9.140625" style="22"/>
  </cols>
  <sheetData>
    <row r="1" spans="1:256" ht="37.5" x14ac:dyDescent="0.25">
      <c r="A1" s="1"/>
      <c r="B1" s="2" t="s">
        <v>0</v>
      </c>
      <c r="C1" s="3"/>
      <c r="D1" s="4"/>
      <c r="E1" s="4"/>
      <c r="F1" s="5"/>
      <c r="G1" s="6"/>
      <c r="H1" s="7"/>
      <c r="I1" s="8"/>
      <c r="J1" s="9"/>
      <c r="K1" s="10"/>
      <c r="L1" s="11"/>
      <c r="M1" s="11"/>
      <c r="N1" s="12"/>
      <c r="O1" s="12"/>
      <c r="P1" s="13"/>
      <c r="Q1" s="13"/>
      <c r="R1" s="14"/>
      <c r="S1" s="15"/>
      <c r="T1" s="11"/>
      <c r="U1" s="16" t="s">
        <v>1</v>
      </c>
      <c r="V1" s="17"/>
      <c r="W1" s="18"/>
      <c r="X1" s="19"/>
    </row>
    <row r="2" spans="1:256" x14ac:dyDescent="0.25">
      <c r="A2" s="25"/>
      <c r="B2" s="26" t="s">
        <v>2</v>
      </c>
      <c r="C2" s="27">
        <v>1</v>
      </c>
      <c r="D2" s="28"/>
      <c r="E2" s="29"/>
      <c r="F2" s="30"/>
      <c r="G2" s="31"/>
      <c r="H2" s="32"/>
      <c r="I2" s="32"/>
      <c r="J2" s="32"/>
      <c r="K2" s="10"/>
      <c r="L2" s="11"/>
      <c r="M2" s="33"/>
      <c r="N2" s="12"/>
      <c r="O2" s="12"/>
      <c r="P2" s="13"/>
      <c r="Q2" s="13"/>
      <c r="R2" s="34"/>
      <c r="S2" s="15"/>
      <c r="T2" s="11"/>
      <c r="U2" s="11"/>
      <c r="V2" s="17"/>
      <c r="W2" s="18"/>
      <c r="X2" s="19"/>
    </row>
    <row r="3" spans="1:256" ht="17.25" customHeight="1" x14ac:dyDescent="0.25">
      <c r="A3" s="25"/>
      <c r="B3" s="35"/>
      <c r="C3" s="36"/>
      <c r="D3" s="29"/>
      <c r="E3" s="37" t="s">
        <v>3</v>
      </c>
      <c r="F3" s="38">
        <v>46057</v>
      </c>
      <c r="G3" s="31"/>
      <c r="H3" s="32"/>
      <c r="I3" s="32"/>
      <c r="J3" s="32"/>
      <c r="K3" s="10"/>
      <c r="L3" s="11"/>
      <c r="M3" s="33"/>
      <c r="N3" s="12"/>
      <c r="O3" s="12"/>
      <c r="P3" s="12"/>
      <c r="Q3" s="12"/>
      <c r="R3" s="34"/>
      <c r="S3" s="39" t="s">
        <v>4</v>
      </c>
      <c r="T3" s="40" t="s">
        <v>5</v>
      </c>
      <c r="U3" s="41"/>
      <c r="V3" s="42"/>
      <c r="W3" s="18"/>
      <c r="X3" s="19"/>
    </row>
    <row r="4" spans="1:256" ht="18" customHeight="1" x14ac:dyDescent="0.25">
      <c r="A4" s="25"/>
      <c r="B4" s="35"/>
      <c r="C4" s="36"/>
      <c r="D4" s="29"/>
      <c r="E4" s="37" t="s">
        <v>6</v>
      </c>
      <c r="F4" s="38">
        <f>F3+6</f>
        <v>46063</v>
      </c>
      <c r="G4" s="31"/>
      <c r="H4" s="32"/>
      <c r="I4" s="32"/>
      <c r="J4" s="32"/>
      <c r="K4" s="10"/>
      <c r="L4" s="11"/>
      <c r="M4" s="33"/>
      <c r="N4" s="43">
        <v>40</v>
      </c>
      <c r="O4" s="44" t="s">
        <v>7</v>
      </c>
      <c r="P4" s="45"/>
      <c r="Q4" s="46"/>
      <c r="R4" s="34"/>
      <c r="S4" s="47" t="s">
        <v>8</v>
      </c>
      <c r="T4" s="48" t="s">
        <v>9</v>
      </c>
      <c r="U4" s="49"/>
      <c r="V4" s="42"/>
      <c r="W4" s="18"/>
      <c r="X4" s="19"/>
    </row>
    <row r="5" spans="1:256" x14ac:dyDescent="0.25">
      <c r="A5" s="25"/>
      <c r="B5" s="35"/>
      <c r="C5" s="36"/>
      <c r="D5" s="29"/>
      <c r="E5" s="29"/>
      <c r="F5" s="30"/>
      <c r="G5" s="31"/>
      <c r="H5" s="32"/>
      <c r="I5" s="50"/>
      <c r="J5" s="9"/>
      <c r="K5" s="10"/>
      <c r="L5" s="11"/>
      <c r="M5" s="11"/>
      <c r="N5" s="51" t="e">
        <f>SUM(N7:N639)</f>
        <v>#VALUE!</v>
      </c>
      <c r="O5" s="52" t="s">
        <v>10</v>
      </c>
      <c r="P5" s="13"/>
      <c r="Q5" s="53"/>
      <c r="R5" s="54"/>
      <c r="S5" s="47" t="s">
        <v>11</v>
      </c>
      <c r="T5" s="55" t="s">
        <v>12</v>
      </c>
      <c r="U5" s="56"/>
      <c r="V5" s="42"/>
      <c r="W5" s="18"/>
      <c r="X5" s="19"/>
    </row>
    <row r="6" spans="1:256" s="75" customFormat="1" ht="24.75" customHeight="1" thickBot="1" x14ac:dyDescent="0.3">
      <c r="A6" s="57"/>
      <c r="B6" s="58" t="s">
        <v>13</v>
      </c>
      <c r="C6" s="59"/>
      <c r="D6" s="60" t="s">
        <v>14</v>
      </c>
      <c r="E6" s="60" t="s">
        <v>15</v>
      </c>
      <c r="F6" s="61" t="s">
        <v>16</v>
      </c>
      <c r="G6" s="62" t="s">
        <v>17</v>
      </c>
      <c r="H6" s="63" t="s">
        <v>18</v>
      </c>
      <c r="I6" s="64" t="s">
        <v>19</v>
      </c>
      <c r="J6" s="60" t="s">
        <v>20</v>
      </c>
      <c r="K6" s="65" t="s">
        <v>21</v>
      </c>
      <c r="L6" s="62" t="s">
        <v>22</v>
      </c>
      <c r="M6" s="62" t="s">
        <v>23</v>
      </c>
      <c r="N6" s="66" t="s">
        <v>24</v>
      </c>
      <c r="O6" s="66" t="s">
        <v>25</v>
      </c>
      <c r="P6" s="67" t="s">
        <v>26</v>
      </c>
      <c r="Q6" s="66" t="s">
        <v>27</v>
      </c>
      <c r="R6" s="68" t="s">
        <v>28</v>
      </c>
      <c r="S6" s="69" t="s">
        <v>29</v>
      </c>
      <c r="T6" s="70" t="s">
        <v>30</v>
      </c>
      <c r="U6" s="70" t="s">
        <v>31</v>
      </c>
      <c r="V6" s="71" t="s">
        <v>32</v>
      </c>
      <c r="W6" s="62" t="s">
        <v>33</v>
      </c>
      <c r="X6" s="72" t="s">
        <v>34</v>
      </c>
      <c r="Y6" s="73"/>
      <c r="Z6" s="74" t="s">
        <v>35</v>
      </c>
      <c r="AC6" s="76" t="s">
        <v>36</v>
      </c>
      <c r="AD6" s="77"/>
      <c r="AE6" s="77"/>
      <c r="AM6" s="78" t="s">
        <v>37</v>
      </c>
    </row>
    <row r="7" spans="1:256" ht="22.35" customHeight="1" thickBot="1" x14ac:dyDescent="0.3">
      <c r="A7" s="79"/>
      <c r="B7" s="80">
        <v>9002517105101</v>
      </c>
      <c r="C7" s="81">
        <v>8</v>
      </c>
      <c r="D7" s="23" t="s">
        <v>38</v>
      </c>
      <c r="E7" s="23" t="s">
        <v>39</v>
      </c>
      <c r="F7" s="82" t="s">
        <v>40</v>
      </c>
      <c r="G7" s="21">
        <v>1</v>
      </c>
      <c r="H7" s="83">
        <v>275</v>
      </c>
      <c r="I7" s="84">
        <v>267.68</v>
      </c>
      <c r="J7" s="23" t="s">
        <v>41</v>
      </c>
      <c r="K7" s="85">
        <v>1051049</v>
      </c>
      <c r="L7" s="86">
        <v>1</v>
      </c>
      <c r="M7" s="86"/>
      <c r="O7" s="88">
        <v>32</v>
      </c>
      <c r="P7" s="89">
        <v>1</v>
      </c>
      <c r="Q7" s="90">
        <v>1</v>
      </c>
      <c r="R7" s="91">
        <v>305</v>
      </c>
      <c r="S7" s="92" t="s">
        <v>42</v>
      </c>
      <c r="T7" s="93" t="s">
        <v>43</v>
      </c>
      <c r="U7" s="94" t="s">
        <v>44</v>
      </c>
      <c r="V7" s="95">
        <v>1</v>
      </c>
      <c r="W7" s="96"/>
      <c r="X7" s="97" t="s">
        <v>45</v>
      </c>
      <c r="Y7" s="20">
        <f t="shared" ref="Y7:Y70" si="0">COUNTIF(K:K,K7)</f>
        <v>1</v>
      </c>
      <c r="AA7" s="98">
        <f>H7-I7</f>
        <v>7.3199999999999932</v>
      </c>
      <c r="AB7" s="98">
        <f>R7-H7</f>
        <v>30</v>
      </c>
    </row>
    <row r="8" spans="1:256" ht="22.35" customHeight="1" thickBot="1" x14ac:dyDescent="0.3">
      <c r="A8" s="79"/>
      <c r="B8" s="80">
        <v>4006067060977</v>
      </c>
      <c r="C8" s="81">
        <v>6</v>
      </c>
      <c r="D8" s="23" t="s">
        <v>46</v>
      </c>
      <c r="E8" s="23" t="s">
        <v>47</v>
      </c>
      <c r="F8" s="82" t="s">
        <v>48</v>
      </c>
      <c r="G8" s="21">
        <v>4</v>
      </c>
      <c r="H8" s="99">
        <v>125</v>
      </c>
      <c r="I8" s="21">
        <v>120.46</v>
      </c>
      <c r="J8" s="23" t="s">
        <v>49</v>
      </c>
      <c r="K8" s="86">
        <v>1040048</v>
      </c>
      <c r="L8" s="86">
        <v>1</v>
      </c>
      <c r="M8" s="86"/>
      <c r="O8" s="100">
        <v>70</v>
      </c>
      <c r="P8" s="101">
        <v>2</v>
      </c>
      <c r="Q8" s="102">
        <v>2</v>
      </c>
      <c r="R8" s="103">
        <v>135</v>
      </c>
      <c r="S8" s="104" t="s">
        <v>42</v>
      </c>
      <c r="T8" s="105" t="s">
        <v>43</v>
      </c>
      <c r="U8" s="106" t="s">
        <v>44</v>
      </c>
      <c r="V8" s="107">
        <v>1</v>
      </c>
      <c r="W8" s="108"/>
      <c r="X8" s="109" t="s">
        <v>50</v>
      </c>
      <c r="Y8" s="20">
        <f t="shared" si="0"/>
        <v>1</v>
      </c>
      <c r="AA8" s="98">
        <f t="shared" ref="AA8:AA71" si="1">H8-I8</f>
        <v>4.5400000000000063</v>
      </c>
      <c r="AB8" s="98">
        <f t="shared" ref="AB8:AB71" si="2">R8-H8</f>
        <v>10</v>
      </c>
    </row>
    <row r="9" spans="1:256" s="75" customFormat="1" ht="22.35" customHeight="1" thickBot="1" x14ac:dyDescent="0.3">
      <c r="A9" s="79"/>
      <c r="B9" s="80">
        <v>5908243700532</v>
      </c>
      <c r="C9" s="81">
        <v>20</v>
      </c>
      <c r="D9" s="23" t="s">
        <v>51</v>
      </c>
      <c r="E9" s="23" t="s">
        <v>52</v>
      </c>
      <c r="F9" s="82" t="s">
        <v>53</v>
      </c>
      <c r="G9" s="21">
        <v>1</v>
      </c>
      <c r="H9" s="99">
        <v>48.9</v>
      </c>
      <c r="I9" s="21">
        <v>47.6</v>
      </c>
      <c r="J9" s="23" t="s">
        <v>54</v>
      </c>
      <c r="K9" s="86">
        <v>2017390</v>
      </c>
      <c r="L9" s="86">
        <v>2</v>
      </c>
      <c r="M9" s="86"/>
      <c r="N9" s="87"/>
      <c r="O9" s="100">
        <v>182</v>
      </c>
      <c r="P9" s="101">
        <v>1</v>
      </c>
      <c r="Q9" s="102">
        <v>1</v>
      </c>
      <c r="R9" s="103">
        <v>56.9</v>
      </c>
      <c r="S9" s="104" t="s">
        <v>42</v>
      </c>
      <c r="T9" s="105" t="s">
        <v>43</v>
      </c>
      <c r="U9" s="106" t="s">
        <v>44</v>
      </c>
      <c r="V9" s="107">
        <v>1</v>
      </c>
      <c r="W9" s="108"/>
      <c r="X9" s="109" t="s">
        <v>55</v>
      </c>
      <c r="Y9" s="20">
        <f t="shared" si="0"/>
        <v>1</v>
      </c>
      <c r="Z9" s="21"/>
      <c r="AA9" s="98">
        <f t="shared" si="1"/>
        <v>1.2999999999999972</v>
      </c>
      <c r="AB9" s="98">
        <f t="shared" si="2"/>
        <v>8</v>
      </c>
      <c r="AC9" s="110"/>
      <c r="AD9" s="77"/>
      <c r="AE9" s="77"/>
      <c r="AM9" s="111"/>
    </row>
    <row r="10" spans="1:256" ht="22.35" customHeight="1" thickBot="1" x14ac:dyDescent="0.3">
      <c r="A10" s="79"/>
      <c r="B10" s="80">
        <v>4000539398469</v>
      </c>
      <c r="C10" s="81">
        <v>6</v>
      </c>
      <c r="D10" s="23" t="s">
        <v>56</v>
      </c>
      <c r="E10" s="23" t="s">
        <v>57</v>
      </c>
      <c r="F10" s="82" t="s">
        <v>58</v>
      </c>
      <c r="G10" s="21">
        <v>1</v>
      </c>
      <c r="H10" s="99">
        <v>145</v>
      </c>
      <c r="I10" s="21">
        <v>139.24</v>
      </c>
      <c r="J10" s="23" t="s">
        <v>54</v>
      </c>
      <c r="K10" s="86">
        <v>2015994</v>
      </c>
      <c r="L10" s="86">
        <v>1</v>
      </c>
      <c r="M10" s="86"/>
      <c r="O10" s="100">
        <v>133</v>
      </c>
      <c r="P10" s="101">
        <v>0</v>
      </c>
      <c r="Q10" s="102">
        <v>1</v>
      </c>
      <c r="R10" s="103">
        <v>159</v>
      </c>
      <c r="S10" s="104" t="s">
        <v>42</v>
      </c>
      <c r="T10" s="112" t="s">
        <v>43</v>
      </c>
      <c r="U10" s="106" t="s">
        <v>44</v>
      </c>
      <c r="V10" s="107">
        <v>1</v>
      </c>
      <c r="W10" s="108"/>
      <c r="X10" s="109" t="s">
        <v>59</v>
      </c>
      <c r="Y10" s="20">
        <f t="shared" si="0"/>
        <v>1</v>
      </c>
      <c r="AA10" s="98">
        <f t="shared" si="1"/>
        <v>5.7599999999999909</v>
      </c>
      <c r="AB10" s="98">
        <f t="shared" si="2"/>
        <v>14</v>
      </c>
      <c r="AC10" s="110"/>
      <c r="AD10" s="77"/>
      <c r="AE10" s="77"/>
      <c r="AF10" s="75"/>
      <c r="AG10" s="75"/>
      <c r="AH10" s="75"/>
      <c r="AI10" s="75"/>
      <c r="AL10" s="75"/>
    </row>
    <row r="11" spans="1:256" ht="22.35" customHeight="1" thickBot="1" x14ac:dyDescent="0.3">
      <c r="A11" s="79"/>
      <c r="B11" s="80">
        <v>8699462609924</v>
      </c>
      <c r="C11" s="81">
        <v>24</v>
      </c>
      <c r="D11" s="23" t="s">
        <v>60</v>
      </c>
      <c r="E11" s="23" t="s">
        <v>57</v>
      </c>
      <c r="F11" s="82" t="s">
        <v>61</v>
      </c>
      <c r="G11" s="21">
        <v>2</v>
      </c>
      <c r="H11" s="99">
        <v>28.9</v>
      </c>
      <c r="I11" s="21">
        <v>27.94</v>
      </c>
      <c r="J11" s="23" t="s">
        <v>62</v>
      </c>
      <c r="K11" s="86">
        <v>2115158</v>
      </c>
      <c r="L11" s="86">
        <v>1</v>
      </c>
      <c r="M11" s="86"/>
      <c r="O11" s="100">
        <v>490</v>
      </c>
      <c r="P11" s="101">
        <v>1</v>
      </c>
      <c r="Q11" s="102">
        <v>1</v>
      </c>
      <c r="R11" s="103">
        <v>31.9</v>
      </c>
      <c r="S11" s="104" t="s">
        <v>42</v>
      </c>
      <c r="T11" s="112" t="s">
        <v>43</v>
      </c>
      <c r="U11" s="106" t="s">
        <v>44</v>
      </c>
      <c r="V11" s="107">
        <v>1</v>
      </c>
      <c r="W11" s="108"/>
      <c r="X11" s="109" t="s">
        <v>63</v>
      </c>
      <c r="Y11" s="20">
        <f t="shared" si="0"/>
        <v>1</v>
      </c>
      <c r="AA11" s="98">
        <f t="shared" si="1"/>
        <v>0.9599999999999973</v>
      </c>
      <c r="AB11" s="98">
        <f t="shared" si="2"/>
        <v>3</v>
      </c>
      <c r="AC11" s="110"/>
      <c r="AD11" s="77"/>
      <c r="AE11" s="77"/>
      <c r="AF11" s="75"/>
      <c r="AG11" s="75"/>
      <c r="AH11" s="75"/>
      <c r="AI11" s="75"/>
      <c r="AL11" s="75"/>
    </row>
    <row r="12" spans="1:256" s="115" customFormat="1" ht="22.35" customHeight="1" thickBot="1" x14ac:dyDescent="0.3">
      <c r="A12" s="79"/>
      <c r="B12" s="80">
        <v>8699462608392</v>
      </c>
      <c r="C12" s="81">
        <v>12</v>
      </c>
      <c r="D12" s="23" t="s">
        <v>64</v>
      </c>
      <c r="E12" s="23" t="s">
        <v>57</v>
      </c>
      <c r="F12" s="82" t="s">
        <v>65</v>
      </c>
      <c r="G12" s="21">
        <v>3</v>
      </c>
      <c r="H12" s="99">
        <v>52.9</v>
      </c>
      <c r="I12" s="21">
        <v>51.46</v>
      </c>
      <c r="J12" s="23" t="s">
        <v>62</v>
      </c>
      <c r="K12" s="86">
        <v>2016775</v>
      </c>
      <c r="L12" s="86">
        <v>1</v>
      </c>
      <c r="M12" s="86"/>
      <c r="N12" s="87"/>
      <c r="O12" s="100">
        <v>200</v>
      </c>
      <c r="P12" s="101">
        <v>1</v>
      </c>
      <c r="Q12" s="102">
        <v>1</v>
      </c>
      <c r="R12" s="103">
        <v>59.9</v>
      </c>
      <c r="S12" s="104" t="s">
        <v>42</v>
      </c>
      <c r="T12" s="112" t="s">
        <v>43</v>
      </c>
      <c r="U12" s="106" t="s">
        <v>44</v>
      </c>
      <c r="V12" s="107">
        <v>1</v>
      </c>
      <c r="W12" s="113"/>
      <c r="X12" s="114" t="s">
        <v>66</v>
      </c>
      <c r="Y12" s="20">
        <f t="shared" si="0"/>
        <v>1</v>
      </c>
      <c r="Z12" s="21"/>
      <c r="AA12" s="98">
        <f t="shared" si="1"/>
        <v>1.4399999999999977</v>
      </c>
      <c r="AB12" s="98">
        <f t="shared" si="2"/>
        <v>7</v>
      </c>
      <c r="AC12" s="23"/>
      <c r="AD12" s="22"/>
      <c r="AE12" s="22"/>
      <c r="AF12" s="22"/>
      <c r="AG12" s="22"/>
      <c r="AH12" s="22"/>
      <c r="AI12" s="22"/>
      <c r="AJ12" s="22"/>
      <c r="AK12" s="22"/>
      <c r="AL12" s="75"/>
      <c r="AM12" s="24"/>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row>
    <row r="13" spans="1:256" ht="22.35" customHeight="1" thickBot="1" x14ac:dyDescent="0.3">
      <c r="A13" s="79"/>
      <c r="B13" s="80">
        <v>5901177153689</v>
      </c>
      <c r="C13" s="81">
        <v>6</v>
      </c>
      <c r="D13" s="23" t="s">
        <v>67</v>
      </c>
      <c r="E13" s="23" t="s">
        <v>57</v>
      </c>
      <c r="F13" s="82" t="s">
        <v>68</v>
      </c>
      <c r="G13" s="21">
        <v>1</v>
      </c>
      <c r="H13" s="99">
        <v>122.9</v>
      </c>
      <c r="I13" s="21">
        <v>119.73</v>
      </c>
      <c r="J13" s="23" t="s">
        <v>69</v>
      </c>
      <c r="K13" s="86">
        <v>2013590</v>
      </c>
      <c r="L13" s="86">
        <v>1</v>
      </c>
      <c r="M13" s="86"/>
      <c r="O13" s="100">
        <v>85</v>
      </c>
      <c r="P13" s="101">
        <v>1</v>
      </c>
      <c r="Q13" s="102">
        <v>1</v>
      </c>
      <c r="R13" s="103">
        <v>137.9</v>
      </c>
      <c r="S13" s="104" t="s">
        <v>42</v>
      </c>
      <c r="T13" s="112" t="s">
        <v>43</v>
      </c>
      <c r="U13" s="106" t="s">
        <v>44</v>
      </c>
      <c r="V13" s="107">
        <v>1</v>
      </c>
      <c r="W13" s="116"/>
      <c r="X13" s="117" t="s">
        <v>70</v>
      </c>
      <c r="Y13" s="20">
        <f t="shared" si="0"/>
        <v>1</v>
      </c>
      <c r="AA13" s="98">
        <f t="shared" si="1"/>
        <v>3.1700000000000017</v>
      </c>
      <c r="AB13" s="98">
        <f t="shared" si="2"/>
        <v>15</v>
      </c>
    </row>
    <row r="14" spans="1:256" ht="22.35" customHeight="1" thickBot="1" x14ac:dyDescent="0.3">
      <c r="A14" s="80"/>
      <c r="B14" s="80"/>
      <c r="H14" s="99"/>
      <c r="K14" s="86"/>
      <c r="L14" s="86"/>
      <c r="M14" s="86"/>
      <c r="N14" s="118"/>
      <c r="O14" s="119"/>
      <c r="P14" s="120"/>
      <c r="Q14" s="121"/>
      <c r="R14" s="122"/>
      <c r="S14" s="123" t="s">
        <v>42</v>
      </c>
      <c r="T14" s="124" t="s">
        <v>43</v>
      </c>
      <c r="U14" s="125"/>
      <c r="V14" s="126">
        <v>1</v>
      </c>
      <c r="W14" s="116"/>
      <c r="X14" s="117"/>
      <c r="Y14" s="20">
        <f t="shared" si="0"/>
        <v>0</v>
      </c>
      <c r="AA14" s="98">
        <f t="shared" si="1"/>
        <v>0</v>
      </c>
      <c r="AB14" s="98">
        <f t="shared" si="2"/>
        <v>0</v>
      </c>
    </row>
    <row r="15" spans="1:256" ht="22.35" customHeight="1" thickBot="1" x14ac:dyDescent="0.3">
      <c r="A15" s="127"/>
      <c r="B15" s="127">
        <v>7622210928603</v>
      </c>
      <c r="C15" s="128">
        <v>12</v>
      </c>
      <c r="D15" s="129" t="s">
        <v>71</v>
      </c>
      <c r="E15" s="129" t="s">
        <v>72</v>
      </c>
      <c r="F15" s="130" t="s">
        <v>73</v>
      </c>
      <c r="G15" s="131">
        <v>2</v>
      </c>
      <c r="H15" s="99">
        <v>32.9</v>
      </c>
      <c r="I15" s="132">
        <v>31.67</v>
      </c>
      <c r="J15" s="129" t="s">
        <v>74</v>
      </c>
      <c r="K15" s="133">
        <v>2013640</v>
      </c>
      <c r="L15" s="133"/>
      <c r="M15" s="133"/>
      <c r="N15" s="134"/>
      <c r="O15" s="135">
        <v>2184</v>
      </c>
      <c r="P15" s="136">
        <v>2</v>
      </c>
      <c r="Q15" s="137">
        <v>2</v>
      </c>
      <c r="R15" s="138">
        <v>37.9</v>
      </c>
      <c r="S15" s="139" t="s">
        <v>22</v>
      </c>
      <c r="T15" s="140" t="s">
        <v>43</v>
      </c>
      <c r="U15" s="94" t="s">
        <v>75</v>
      </c>
      <c r="V15" s="95">
        <v>2</v>
      </c>
      <c r="W15" s="116"/>
      <c r="X15" s="117"/>
      <c r="Y15" s="20">
        <f t="shared" si="0"/>
        <v>1</v>
      </c>
      <c r="AA15" s="98">
        <f t="shared" si="1"/>
        <v>1.2299999999999969</v>
      </c>
      <c r="AB15" s="98">
        <f t="shared" si="2"/>
        <v>5</v>
      </c>
      <c r="AC15" s="110"/>
      <c r="AD15" s="77"/>
      <c r="AE15" s="77"/>
      <c r="AF15" s="75"/>
      <c r="AG15" s="75"/>
      <c r="AH15" s="75"/>
      <c r="AI15" s="75"/>
      <c r="AL15" s="75"/>
    </row>
    <row r="16" spans="1:256" ht="22.35" customHeight="1" thickBot="1" x14ac:dyDescent="0.3">
      <c r="A16" s="79"/>
      <c r="B16" s="80">
        <v>7622210594785</v>
      </c>
      <c r="C16" s="81">
        <v>10</v>
      </c>
      <c r="D16" s="23" t="s">
        <v>71</v>
      </c>
      <c r="E16" s="23" t="s">
        <v>72</v>
      </c>
      <c r="F16" s="141" t="s">
        <v>61</v>
      </c>
      <c r="G16" s="21">
        <v>4</v>
      </c>
      <c r="H16" s="99">
        <v>52.9</v>
      </c>
      <c r="I16" s="84">
        <v>51.09</v>
      </c>
      <c r="J16" s="23" t="s">
        <v>74</v>
      </c>
      <c r="K16" s="142" t="s">
        <v>76</v>
      </c>
      <c r="L16" s="86"/>
      <c r="M16" s="86"/>
      <c r="O16" s="100">
        <v>893</v>
      </c>
      <c r="P16" s="143">
        <v>2</v>
      </c>
      <c r="Q16" s="102">
        <v>2</v>
      </c>
      <c r="R16" s="103">
        <v>59.9</v>
      </c>
      <c r="S16" s="144" t="s">
        <v>22</v>
      </c>
      <c r="T16" s="112" t="s">
        <v>43</v>
      </c>
      <c r="U16" s="106" t="s">
        <v>75</v>
      </c>
      <c r="V16" s="107">
        <v>2</v>
      </c>
      <c r="W16" s="116"/>
      <c r="X16" s="117"/>
      <c r="Y16" s="20">
        <f t="shared" si="0"/>
        <v>1</v>
      </c>
      <c r="AA16" s="98">
        <f t="shared" si="1"/>
        <v>1.8099999999999952</v>
      </c>
      <c r="AB16" s="98">
        <f t="shared" si="2"/>
        <v>7</v>
      </c>
      <c r="AC16" s="110"/>
      <c r="AD16" s="77"/>
      <c r="AE16" s="77"/>
      <c r="AF16" s="75"/>
      <c r="AG16" s="75"/>
      <c r="AH16" s="75"/>
      <c r="AI16" s="75"/>
      <c r="AL16" s="75"/>
    </row>
    <row r="17" spans="1:35" ht="22.35" customHeight="1" thickBot="1" x14ac:dyDescent="0.3">
      <c r="A17" s="79"/>
      <c r="B17" s="80">
        <v>8000500023976</v>
      </c>
      <c r="C17" s="81">
        <v>6</v>
      </c>
      <c r="D17" s="23" t="s">
        <v>77</v>
      </c>
      <c r="E17" s="23" t="s">
        <v>78</v>
      </c>
      <c r="F17" s="141" t="s">
        <v>65</v>
      </c>
      <c r="G17" s="21">
        <v>1</v>
      </c>
      <c r="H17" s="99">
        <v>64.900000000000006</v>
      </c>
      <c r="I17" s="84">
        <v>63.14</v>
      </c>
      <c r="J17" s="23" t="s">
        <v>74</v>
      </c>
      <c r="K17" s="86">
        <v>2010640</v>
      </c>
      <c r="M17" s="86"/>
      <c r="O17" s="100">
        <v>7239</v>
      </c>
      <c r="P17" s="143">
        <v>2</v>
      </c>
      <c r="Q17" s="102">
        <v>2</v>
      </c>
      <c r="R17" s="145">
        <v>65.900000000000006</v>
      </c>
      <c r="S17" s="144" t="s">
        <v>22</v>
      </c>
      <c r="T17" s="112" t="s">
        <v>43</v>
      </c>
      <c r="U17" s="106" t="s">
        <v>75</v>
      </c>
      <c r="V17" s="107">
        <v>2</v>
      </c>
      <c r="W17" s="108"/>
      <c r="X17" s="109"/>
      <c r="Y17" s="20">
        <f t="shared" si="0"/>
        <v>1</v>
      </c>
      <c r="AA17" s="98">
        <f t="shared" si="1"/>
        <v>1.7600000000000051</v>
      </c>
      <c r="AB17" s="98">
        <f t="shared" si="2"/>
        <v>1</v>
      </c>
      <c r="AC17" s="110"/>
      <c r="AD17" s="77"/>
      <c r="AE17" s="77"/>
      <c r="AF17" s="75"/>
      <c r="AG17" s="75"/>
      <c r="AH17" s="75"/>
      <c r="AI17" s="75"/>
    </row>
    <row r="18" spans="1:35" ht="22.35" customHeight="1" thickBot="1" x14ac:dyDescent="0.3">
      <c r="A18" s="79"/>
      <c r="B18" s="80">
        <v>40084084</v>
      </c>
      <c r="C18" s="81">
        <v>15</v>
      </c>
      <c r="D18" s="23" t="s">
        <v>79</v>
      </c>
      <c r="E18" s="23" t="s">
        <v>80</v>
      </c>
      <c r="F18" s="141" t="s">
        <v>81</v>
      </c>
      <c r="G18" s="21">
        <v>1</v>
      </c>
      <c r="H18" s="99">
        <v>26.9</v>
      </c>
      <c r="I18" s="84">
        <v>25.97</v>
      </c>
      <c r="J18" s="23" t="s">
        <v>74</v>
      </c>
      <c r="K18" s="86">
        <v>2014744</v>
      </c>
      <c r="M18" s="86"/>
      <c r="O18" s="100">
        <v>3839</v>
      </c>
      <c r="P18" s="143">
        <v>2</v>
      </c>
      <c r="Q18" s="102">
        <v>2</v>
      </c>
      <c r="R18" s="146">
        <v>28.9</v>
      </c>
      <c r="S18" s="144" t="s">
        <v>22</v>
      </c>
      <c r="T18" s="112" t="s">
        <v>43</v>
      </c>
      <c r="U18" s="106" t="s">
        <v>75</v>
      </c>
      <c r="V18" s="107">
        <v>2</v>
      </c>
      <c r="W18" s="108"/>
      <c r="X18" s="109"/>
      <c r="Y18" s="20">
        <f t="shared" si="0"/>
        <v>1</v>
      </c>
      <c r="AA18" s="98">
        <f t="shared" si="1"/>
        <v>0.92999999999999972</v>
      </c>
      <c r="AB18" s="98">
        <f t="shared" si="2"/>
        <v>2</v>
      </c>
      <c r="AC18" s="110"/>
      <c r="AD18" s="77"/>
      <c r="AE18" s="77"/>
      <c r="AF18" s="75"/>
      <c r="AG18" s="75"/>
      <c r="AH18" s="75"/>
      <c r="AI18" s="75"/>
    </row>
    <row r="19" spans="1:35" ht="22.35" customHeight="1" thickBot="1" x14ac:dyDescent="0.3">
      <c r="A19" s="79"/>
      <c r="B19" s="80">
        <v>4008400101521</v>
      </c>
      <c r="C19" s="81">
        <v>8</v>
      </c>
      <c r="D19" s="23" t="s">
        <v>79</v>
      </c>
      <c r="E19" s="23" t="s">
        <v>82</v>
      </c>
      <c r="F19" s="141" t="s">
        <v>83</v>
      </c>
      <c r="G19" s="21">
        <v>1</v>
      </c>
      <c r="H19" s="99">
        <v>57.9</v>
      </c>
      <c r="I19" s="84">
        <v>56.32</v>
      </c>
      <c r="J19" s="23" t="s">
        <v>74</v>
      </c>
      <c r="K19" s="86">
        <v>2014742</v>
      </c>
      <c r="M19" s="86"/>
      <c r="O19" s="100">
        <v>276</v>
      </c>
      <c r="P19" s="143">
        <v>2</v>
      </c>
      <c r="Q19" s="102">
        <v>2</v>
      </c>
      <c r="R19" s="146">
        <v>65.900000000000006</v>
      </c>
      <c r="S19" s="144" t="s">
        <v>22</v>
      </c>
      <c r="T19" s="112" t="s">
        <v>43</v>
      </c>
      <c r="U19" s="106" t="s">
        <v>75</v>
      </c>
      <c r="V19" s="107">
        <v>2</v>
      </c>
      <c r="W19" s="108"/>
      <c r="X19" s="109"/>
      <c r="Y19" s="20">
        <f t="shared" si="0"/>
        <v>1</v>
      </c>
      <c r="AA19" s="98">
        <f t="shared" si="1"/>
        <v>1.5799999999999983</v>
      </c>
      <c r="AB19" s="98">
        <f t="shared" si="2"/>
        <v>8.0000000000000071</v>
      </c>
      <c r="AC19" s="110"/>
      <c r="AD19" s="77"/>
      <c r="AE19" s="77"/>
      <c r="AF19" s="75"/>
      <c r="AG19" s="75"/>
      <c r="AH19" s="75"/>
      <c r="AI19" s="75"/>
    </row>
    <row r="20" spans="1:35" ht="22.35" customHeight="1" thickBot="1" x14ac:dyDescent="0.3">
      <c r="A20" s="79"/>
      <c r="B20" s="80">
        <v>8000500192801</v>
      </c>
      <c r="C20" s="81">
        <v>8</v>
      </c>
      <c r="D20" s="23" t="s">
        <v>84</v>
      </c>
      <c r="E20" s="23" t="s">
        <v>85</v>
      </c>
      <c r="F20" s="141" t="s">
        <v>86</v>
      </c>
      <c r="G20" s="21">
        <v>1</v>
      </c>
      <c r="H20" s="99">
        <v>61.9</v>
      </c>
      <c r="I20" s="84">
        <v>59.63</v>
      </c>
      <c r="J20" s="23" t="s">
        <v>74</v>
      </c>
      <c r="K20" s="86">
        <v>2015661</v>
      </c>
      <c r="M20" s="86"/>
      <c r="O20" s="100">
        <v>3862</v>
      </c>
      <c r="P20" s="143">
        <v>2</v>
      </c>
      <c r="Q20" s="102">
        <v>2</v>
      </c>
      <c r="R20" s="146">
        <v>69.900000000000006</v>
      </c>
      <c r="S20" s="144" t="s">
        <v>22</v>
      </c>
      <c r="T20" s="112" t="s">
        <v>43</v>
      </c>
      <c r="U20" s="106" t="s">
        <v>75</v>
      </c>
      <c r="V20" s="107">
        <v>2</v>
      </c>
      <c r="W20" s="108"/>
      <c r="X20" s="109"/>
      <c r="Y20" s="20">
        <f t="shared" si="0"/>
        <v>1</v>
      </c>
      <c r="AA20" s="98">
        <f t="shared" si="1"/>
        <v>2.269999999999996</v>
      </c>
      <c r="AB20" s="98">
        <f t="shared" si="2"/>
        <v>8.0000000000000071</v>
      </c>
      <c r="AC20" s="110"/>
      <c r="AD20" s="77"/>
      <c r="AE20" s="77"/>
      <c r="AF20" s="75"/>
      <c r="AG20" s="75"/>
      <c r="AH20" s="75"/>
      <c r="AI20" s="75"/>
    </row>
    <row r="21" spans="1:35" ht="22.35" customHeight="1" thickBot="1" x14ac:dyDescent="0.3">
      <c r="A21" s="79"/>
      <c r="B21" s="80">
        <v>5901177158516</v>
      </c>
      <c r="C21" s="81">
        <v>14</v>
      </c>
      <c r="D21" s="23" t="s">
        <v>87</v>
      </c>
      <c r="E21" s="23" t="s">
        <v>72</v>
      </c>
      <c r="F21" s="141" t="s">
        <v>88</v>
      </c>
      <c r="G21" s="21" t="s">
        <v>89</v>
      </c>
      <c r="H21" s="99">
        <v>39.9</v>
      </c>
      <c r="I21" s="84">
        <v>38.64</v>
      </c>
      <c r="J21" s="23" t="s">
        <v>69</v>
      </c>
      <c r="K21" s="86">
        <v>2115906</v>
      </c>
      <c r="M21" s="86"/>
      <c r="O21" s="100">
        <v>122</v>
      </c>
      <c r="P21" s="143">
        <v>1</v>
      </c>
      <c r="Q21" s="102">
        <v>1</v>
      </c>
      <c r="R21" s="146">
        <v>44.9</v>
      </c>
      <c r="S21" s="144" t="s">
        <v>22</v>
      </c>
      <c r="T21" s="112" t="s">
        <v>43</v>
      </c>
      <c r="U21" s="106" t="s">
        <v>75</v>
      </c>
      <c r="V21" s="107">
        <v>2</v>
      </c>
      <c r="W21" s="108"/>
      <c r="X21" s="109"/>
      <c r="Y21" s="20">
        <f t="shared" si="0"/>
        <v>1</v>
      </c>
      <c r="AA21" s="98">
        <f t="shared" si="1"/>
        <v>1.259999999999998</v>
      </c>
      <c r="AB21" s="98">
        <f t="shared" si="2"/>
        <v>5</v>
      </c>
      <c r="AC21" s="110"/>
      <c r="AD21" s="77"/>
      <c r="AE21" s="77"/>
      <c r="AF21" s="75"/>
      <c r="AG21" s="75"/>
      <c r="AH21" s="75"/>
      <c r="AI21" s="75"/>
    </row>
    <row r="22" spans="1:35" ht="22.35" customHeight="1" thickBot="1" x14ac:dyDescent="0.3">
      <c r="A22" s="79"/>
      <c r="B22" s="80"/>
      <c r="C22" s="147"/>
      <c r="F22" s="141"/>
      <c r="H22" s="99"/>
      <c r="I22" s="84"/>
      <c r="K22" s="86"/>
      <c r="M22" s="86"/>
      <c r="O22" s="100"/>
      <c r="P22" s="143"/>
      <c r="Q22" s="102"/>
      <c r="R22" s="103"/>
      <c r="S22" s="144" t="s">
        <v>22</v>
      </c>
      <c r="T22" s="112" t="s">
        <v>43</v>
      </c>
      <c r="U22" s="106" t="s">
        <v>75</v>
      </c>
      <c r="V22" s="107">
        <v>2</v>
      </c>
      <c r="W22" s="108"/>
      <c r="X22" s="109"/>
      <c r="Y22" s="20">
        <f t="shared" si="0"/>
        <v>0</v>
      </c>
      <c r="AA22" s="98">
        <f t="shared" si="1"/>
        <v>0</v>
      </c>
      <c r="AB22" s="98">
        <f t="shared" si="2"/>
        <v>0</v>
      </c>
      <c r="AC22" s="110"/>
      <c r="AD22" s="77"/>
      <c r="AE22" s="77"/>
      <c r="AF22" s="75"/>
      <c r="AG22" s="75"/>
      <c r="AH22" s="75"/>
      <c r="AI22" s="75"/>
    </row>
    <row r="23" spans="1:35" ht="22.35" customHeight="1" thickBot="1" x14ac:dyDescent="0.3">
      <c r="A23" s="79"/>
      <c r="B23" s="80"/>
      <c r="C23" s="147"/>
      <c r="F23" s="141"/>
      <c r="H23" s="99"/>
      <c r="I23" s="84"/>
      <c r="K23" s="86"/>
      <c r="M23" s="86"/>
      <c r="O23" s="100"/>
      <c r="P23" s="143"/>
      <c r="Q23" s="90"/>
      <c r="R23" s="91"/>
      <c r="S23" s="144" t="s">
        <v>22</v>
      </c>
      <c r="T23" s="112" t="s">
        <v>43</v>
      </c>
      <c r="U23" s="106" t="s">
        <v>75</v>
      </c>
      <c r="V23" s="107">
        <v>2</v>
      </c>
      <c r="W23" s="108"/>
      <c r="X23" s="109"/>
      <c r="Y23" s="20">
        <f t="shared" si="0"/>
        <v>0</v>
      </c>
      <c r="AA23" s="98">
        <f t="shared" si="1"/>
        <v>0</v>
      </c>
      <c r="AB23" s="98">
        <f t="shared" si="2"/>
        <v>0</v>
      </c>
      <c r="AC23" s="110"/>
      <c r="AD23" s="77"/>
      <c r="AE23" s="77"/>
      <c r="AF23" s="75"/>
      <c r="AG23" s="75"/>
      <c r="AH23" s="75"/>
      <c r="AI23" s="75"/>
    </row>
    <row r="24" spans="1:35" ht="22.35" customHeight="1" thickBot="1" x14ac:dyDescent="0.3">
      <c r="A24" s="79"/>
      <c r="B24" s="80"/>
      <c r="C24" s="147"/>
      <c r="F24" s="141"/>
      <c r="H24" s="99"/>
      <c r="I24" s="84"/>
      <c r="K24" s="86"/>
      <c r="L24" s="86"/>
      <c r="M24" s="86"/>
      <c r="O24" s="100"/>
      <c r="P24" s="143"/>
      <c r="Q24" s="90"/>
      <c r="R24" s="91"/>
      <c r="S24" s="144" t="s">
        <v>22</v>
      </c>
      <c r="T24" s="112" t="s">
        <v>43</v>
      </c>
      <c r="U24" s="106" t="s">
        <v>75</v>
      </c>
      <c r="V24" s="107">
        <v>2</v>
      </c>
      <c r="W24" s="108"/>
      <c r="X24" s="109"/>
      <c r="Y24" s="20">
        <f t="shared" si="0"/>
        <v>0</v>
      </c>
      <c r="AA24" s="98">
        <f t="shared" si="1"/>
        <v>0</v>
      </c>
      <c r="AB24" s="98">
        <f t="shared" si="2"/>
        <v>0</v>
      </c>
      <c r="AC24" s="110"/>
      <c r="AD24" s="77"/>
      <c r="AE24" s="77"/>
      <c r="AF24" s="75"/>
      <c r="AG24" s="75"/>
      <c r="AH24" s="75"/>
      <c r="AI24" s="75"/>
    </row>
    <row r="25" spans="1:35" ht="22.35" customHeight="1" thickBot="1" x14ac:dyDescent="0.3">
      <c r="A25" s="148"/>
      <c r="B25" s="149"/>
      <c r="C25" s="150"/>
      <c r="D25" s="151"/>
      <c r="E25" s="151"/>
      <c r="F25" s="141"/>
      <c r="H25" s="99"/>
      <c r="I25" s="152"/>
      <c r="J25" s="153"/>
      <c r="K25" s="85"/>
      <c r="L25" s="85"/>
      <c r="M25" s="85"/>
      <c r="O25" s="100"/>
      <c r="P25" s="143"/>
      <c r="Q25" s="90"/>
      <c r="R25" s="91"/>
      <c r="S25" s="144" t="s">
        <v>22</v>
      </c>
      <c r="T25" s="112" t="s">
        <v>43</v>
      </c>
      <c r="U25" s="106" t="s">
        <v>75</v>
      </c>
      <c r="V25" s="107">
        <v>2</v>
      </c>
      <c r="W25" s="108"/>
      <c r="X25" s="109"/>
      <c r="Y25" s="20">
        <f t="shared" si="0"/>
        <v>0</v>
      </c>
      <c r="AA25" s="98">
        <f t="shared" si="1"/>
        <v>0</v>
      </c>
      <c r="AB25" s="98">
        <f t="shared" si="2"/>
        <v>0</v>
      </c>
      <c r="AC25" s="110"/>
      <c r="AD25" s="77"/>
      <c r="AE25" s="77"/>
      <c r="AF25" s="75"/>
      <c r="AG25" s="75"/>
      <c r="AH25" s="75"/>
      <c r="AI25" s="75"/>
    </row>
    <row r="26" spans="1:35" ht="22.35" customHeight="1" thickBot="1" x14ac:dyDescent="0.3">
      <c r="A26" s="148"/>
      <c r="B26" s="149"/>
      <c r="C26" s="150"/>
      <c r="D26" s="151"/>
      <c r="E26" s="151"/>
      <c r="F26" s="141"/>
      <c r="H26" s="99"/>
      <c r="I26" s="152"/>
      <c r="J26" s="153"/>
      <c r="K26" s="85"/>
      <c r="L26" s="85"/>
      <c r="M26" s="85"/>
      <c r="O26" s="100"/>
      <c r="P26" s="154"/>
      <c r="Q26" s="90"/>
      <c r="R26" s="91"/>
      <c r="S26" s="155" t="s">
        <v>22</v>
      </c>
      <c r="T26" s="124" t="s">
        <v>43</v>
      </c>
      <c r="U26" s="125" t="s">
        <v>75</v>
      </c>
      <c r="V26" s="156">
        <v>2</v>
      </c>
      <c r="W26" s="108"/>
      <c r="X26" s="109"/>
      <c r="Y26" s="20">
        <f t="shared" si="0"/>
        <v>0</v>
      </c>
      <c r="AA26" s="98">
        <f t="shared" si="1"/>
        <v>0</v>
      </c>
      <c r="AB26" s="98">
        <f t="shared" si="2"/>
        <v>0</v>
      </c>
      <c r="AC26" s="110"/>
    </row>
    <row r="27" spans="1:35" ht="22.35" customHeight="1" thickBot="1" x14ac:dyDescent="0.3">
      <c r="A27" s="157"/>
      <c r="B27" s="127"/>
      <c r="C27" s="128"/>
      <c r="D27" s="129"/>
      <c r="E27" s="129"/>
      <c r="F27" s="130"/>
      <c r="G27" s="132"/>
      <c r="H27" s="99"/>
      <c r="I27" s="158"/>
      <c r="J27" s="129"/>
      <c r="K27" s="159"/>
      <c r="L27" s="133"/>
      <c r="M27" s="133"/>
      <c r="N27" s="134"/>
      <c r="O27" s="135"/>
      <c r="P27" s="136"/>
      <c r="Q27" s="137"/>
      <c r="R27" s="138"/>
      <c r="S27" s="139" t="s">
        <v>90</v>
      </c>
      <c r="T27" s="140" t="s">
        <v>43</v>
      </c>
      <c r="U27" s="94"/>
      <c r="V27" s="95">
        <v>3</v>
      </c>
      <c r="W27" s="96"/>
      <c r="X27" s="97"/>
      <c r="Y27" s="20">
        <f t="shared" si="0"/>
        <v>0</v>
      </c>
      <c r="AA27" s="98">
        <f t="shared" si="1"/>
        <v>0</v>
      </c>
      <c r="AB27" s="98">
        <f t="shared" si="2"/>
        <v>0</v>
      </c>
      <c r="AC27" s="110"/>
      <c r="AD27" s="77"/>
      <c r="AE27" s="77"/>
      <c r="AF27" s="75"/>
      <c r="AG27" s="75"/>
      <c r="AH27" s="75"/>
      <c r="AI27" s="75"/>
    </row>
    <row r="28" spans="1:35" ht="22.35" customHeight="1" thickBot="1" x14ac:dyDescent="0.3">
      <c r="A28" s="79"/>
      <c r="B28" s="80"/>
      <c r="F28" s="141"/>
      <c r="H28" s="99"/>
      <c r="I28" s="84"/>
      <c r="K28" s="86"/>
      <c r="L28" s="86"/>
      <c r="M28" s="86"/>
      <c r="O28" s="100"/>
      <c r="P28" s="143"/>
      <c r="Q28" s="102"/>
      <c r="R28" s="103"/>
      <c r="S28" s="144" t="s">
        <v>90</v>
      </c>
      <c r="T28" s="112" t="s">
        <v>43</v>
      </c>
      <c r="U28" s="106"/>
      <c r="V28" s="107">
        <v>3</v>
      </c>
      <c r="W28" s="108"/>
      <c r="X28" s="109"/>
      <c r="Y28" s="20">
        <f t="shared" si="0"/>
        <v>0</v>
      </c>
      <c r="AA28" s="98">
        <f t="shared" si="1"/>
        <v>0</v>
      </c>
      <c r="AB28" s="98">
        <f t="shared" si="2"/>
        <v>0</v>
      </c>
      <c r="AC28" s="110"/>
      <c r="AD28" s="77"/>
      <c r="AE28" s="77"/>
      <c r="AF28" s="75"/>
      <c r="AG28" s="75"/>
      <c r="AH28" s="75"/>
      <c r="AI28" s="75"/>
    </row>
    <row r="29" spans="1:35" ht="22.35" customHeight="1" thickBot="1" x14ac:dyDescent="0.3">
      <c r="A29" s="79"/>
      <c r="B29" s="80"/>
      <c r="F29" s="141"/>
      <c r="H29" s="99"/>
      <c r="I29" s="84"/>
      <c r="K29" s="86"/>
      <c r="L29" s="86"/>
      <c r="M29" s="86"/>
      <c r="O29" s="100"/>
      <c r="P29" s="143"/>
      <c r="Q29" s="90"/>
      <c r="R29" s="91"/>
      <c r="S29" s="144" t="s">
        <v>90</v>
      </c>
      <c r="T29" s="112" t="s">
        <v>43</v>
      </c>
      <c r="U29" s="106"/>
      <c r="V29" s="107">
        <v>3</v>
      </c>
      <c r="W29" s="108"/>
      <c r="X29" s="109"/>
      <c r="Y29" s="20">
        <f t="shared" si="0"/>
        <v>0</v>
      </c>
      <c r="AA29" s="98">
        <f t="shared" si="1"/>
        <v>0</v>
      </c>
      <c r="AB29" s="98">
        <f t="shared" si="2"/>
        <v>0</v>
      </c>
      <c r="AC29" s="110"/>
      <c r="AD29" s="77"/>
      <c r="AE29" s="77"/>
      <c r="AF29" s="75"/>
      <c r="AG29" s="75"/>
      <c r="AH29" s="75"/>
      <c r="AI29" s="75"/>
    </row>
    <row r="30" spans="1:35" ht="22.35" customHeight="1" thickBot="1" x14ac:dyDescent="0.3">
      <c r="A30" s="79"/>
      <c r="B30" s="80"/>
      <c r="F30" s="141"/>
      <c r="H30" s="99"/>
      <c r="I30" s="84"/>
      <c r="K30" s="86"/>
      <c r="L30" s="86"/>
      <c r="M30" s="86"/>
      <c r="O30" s="100"/>
      <c r="P30" s="143"/>
      <c r="Q30" s="90"/>
      <c r="R30" s="91"/>
      <c r="S30" s="144" t="s">
        <v>90</v>
      </c>
      <c r="T30" s="112" t="s">
        <v>43</v>
      </c>
      <c r="U30" s="106"/>
      <c r="V30" s="107">
        <v>3</v>
      </c>
      <c r="W30" s="160"/>
      <c r="X30" s="161"/>
      <c r="Y30" s="20">
        <f t="shared" si="0"/>
        <v>0</v>
      </c>
      <c r="AA30" s="98">
        <f t="shared" si="1"/>
        <v>0</v>
      </c>
      <c r="AB30" s="98">
        <f t="shared" si="2"/>
        <v>0</v>
      </c>
      <c r="AC30" s="110"/>
      <c r="AD30" s="77"/>
      <c r="AE30" s="77"/>
      <c r="AF30" s="75"/>
      <c r="AG30" s="75"/>
      <c r="AH30" s="75"/>
      <c r="AI30" s="75"/>
    </row>
    <row r="31" spans="1:35" ht="22.35" customHeight="1" thickBot="1" x14ac:dyDescent="0.3">
      <c r="A31" s="79"/>
      <c r="B31" s="80"/>
      <c r="F31" s="141"/>
      <c r="H31" s="99"/>
      <c r="I31" s="84"/>
      <c r="K31" s="86"/>
      <c r="L31" s="86"/>
      <c r="M31" s="86"/>
      <c r="O31" s="100"/>
      <c r="P31" s="143"/>
      <c r="Q31" s="90"/>
      <c r="R31" s="91"/>
      <c r="S31" s="144" t="s">
        <v>90</v>
      </c>
      <c r="T31" s="112" t="s">
        <v>43</v>
      </c>
      <c r="U31" s="106"/>
      <c r="V31" s="107">
        <v>3</v>
      </c>
      <c r="W31" s="160"/>
      <c r="X31" s="161"/>
      <c r="Y31" s="20">
        <f t="shared" si="0"/>
        <v>0</v>
      </c>
      <c r="AA31" s="98">
        <f t="shared" si="1"/>
        <v>0</v>
      </c>
      <c r="AB31" s="98">
        <f t="shared" si="2"/>
        <v>0</v>
      </c>
      <c r="AC31" s="110"/>
      <c r="AD31" s="77"/>
      <c r="AE31" s="77"/>
      <c r="AF31" s="75"/>
      <c r="AG31" s="75"/>
      <c r="AH31" s="75"/>
      <c r="AI31" s="75"/>
    </row>
    <row r="32" spans="1:35" ht="22.35" customHeight="1" thickBot="1" x14ac:dyDescent="0.3">
      <c r="A32" s="79"/>
      <c r="B32" s="80"/>
      <c r="D32" s="23" t="s">
        <v>91</v>
      </c>
      <c r="F32" s="141"/>
      <c r="H32" s="99"/>
      <c r="I32" s="84"/>
      <c r="K32" s="86"/>
      <c r="L32" s="86"/>
      <c r="M32" s="86"/>
      <c r="O32" s="100"/>
      <c r="P32" s="143"/>
      <c r="Q32" s="90"/>
      <c r="R32" s="91"/>
      <c r="S32" s="144" t="s">
        <v>90</v>
      </c>
      <c r="T32" s="112" t="s">
        <v>43</v>
      </c>
      <c r="U32" s="106"/>
      <c r="V32" s="107">
        <v>3</v>
      </c>
      <c r="W32" s="160"/>
      <c r="X32" s="161"/>
      <c r="Y32" s="20">
        <f t="shared" si="0"/>
        <v>0</v>
      </c>
      <c r="AA32" s="98">
        <f t="shared" si="1"/>
        <v>0</v>
      </c>
      <c r="AB32" s="98">
        <f t="shared" si="2"/>
        <v>0</v>
      </c>
      <c r="AC32" s="110"/>
      <c r="AD32" s="77"/>
      <c r="AE32" s="77"/>
      <c r="AF32" s="75"/>
      <c r="AG32" s="75"/>
      <c r="AH32" s="75"/>
      <c r="AI32" s="75"/>
    </row>
    <row r="33" spans="1:35" ht="22.35" customHeight="1" thickBot="1" x14ac:dyDescent="0.3">
      <c r="A33" s="79"/>
      <c r="B33" s="80"/>
      <c r="F33" s="141"/>
      <c r="H33" s="99"/>
      <c r="I33" s="84"/>
      <c r="K33" s="86"/>
      <c r="L33" s="86"/>
      <c r="M33" s="86"/>
      <c r="O33" s="100"/>
      <c r="P33" s="143"/>
      <c r="Q33" s="90"/>
      <c r="R33" s="91"/>
      <c r="S33" s="144" t="s">
        <v>90</v>
      </c>
      <c r="T33" s="112" t="s">
        <v>43</v>
      </c>
      <c r="U33" s="106"/>
      <c r="V33" s="107">
        <v>3</v>
      </c>
      <c r="W33" s="160"/>
      <c r="X33" s="161"/>
      <c r="Y33" s="20">
        <f t="shared" si="0"/>
        <v>0</v>
      </c>
      <c r="AA33" s="98">
        <f t="shared" si="1"/>
        <v>0</v>
      </c>
      <c r="AB33" s="98">
        <f t="shared" si="2"/>
        <v>0</v>
      </c>
      <c r="AC33" s="110"/>
      <c r="AD33" s="77"/>
      <c r="AE33" s="77"/>
      <c r="AF33" s="75"/>
      <c r="AG33" s="75"/>
      <c r="AH33" s="75"/>
      <c r="AI33" s="75"/>
    </row>
    <row r="34" spans="1:35" ht="22.35" customHeight="1" thickBot="1" x14ac:dyDescent="0.3">
      <c r="A34" s="79"/>
      <c r="B34" s="80"/>
      <c r="F34" s="141"/>
      <c r="H34" s="99"/>
      <c r="I34" s="84"/>
      <c r="K34" s="86"/>
      <c r="L34" s="86"/>
      <c r="M34" s="86"/>
      <c r="O34" s="100"/>
      <c r="P34" s="143"/>
      <c r="Q34" s="90"/>
      <c r="R34" s="91"/>
      <c r="S34" s="144" t="s">
        <v>90</v>
      </c>
      <c r="T34" s="112" t="s">
        <v>43</v>
      </c>
      <c r="U34" s="106"/>
      <c r="V34" s="107">
        <v>3</v>
      </c>
      <c r="W34" s="160"/>
      <c r="X34" s="161"/>
      <c r="Y34" s="20">
        <f t="shared" si="0"/>
        <v>0</v>
      </c>
      <c r="AA34" s="98">
        <f t="shared" si="1"/>
        <v>0</v>
      </c>
      <c r="AB34" s="98">
        <f t="shared" si="2"/>
        <v>0</v>
      </c>
      <c r="AC34" s="110"/>
      <c r="AD34" s="77"/>
      <c r="AE34" s="77"/>
      <c r="AF34" s="75"/>
      <c r="AG34" s="75"/>
      <c r="AH34" s="75"/>
      <c r="AI34" s="75"/>
    </row>
    <row r="35" spans="1:35" ht="22.35" customHeight="1" thickBot="1" x14ac:dyDescent="0.3">
      <c r="A35" s="79"/>
      <c r="B35" s="80"/>
      <c r="F35" s="141"/>
      <c r="H35" s="99"/>
      <c r="I35" s="84"/>
      <c r="K35" s="86"/>
      <c r="L35" s="86"/>
      <c r="M35" s="86"/>
      <c r="O35" s="100"/>
      <c r="P35" s="143"/>
      <c r="Q35" s="90"/>
      <c r="R35" s="91"/>
      <c r="S35" s="144" t="s">
        <v>90</v>
      </c>
      <c r="T35" s="112" t="s">
        <v>43</v>
      </c>
      <c r="U35" s="106"/>
      <c r="V35" s="107">
        <v>3</v>
      </c>
      <c r="W35" s="160"/>
      <c r="X35" s="161"/>
      <c r="Y35" s="20">
        <f t="shared" si="0"/>
        <v>0</v>
      </c>
      <c r="AA35" s="98">
        <f t="shared" si="1"/>
        <v>0</v>
      </c>
      <c r="AB35" s="98">
        <f t="shared" si="2"/>
        <v>0</v>
      </c>
      <c r="AC35" s="110"/>
      <c r="AD35" s="77"/>
      <c r="AE35" s="77"/>
      <c r="AF35" s="75"/>
      <c r="AG35" s="75"/>
      <c r="AH35" s="75"/>
      <c r="AI35" s="75"/>
    </row>
    <row r="36" spans="1:35" ht="22.35" customHeight="1" thickBot="1" x14ac:dyDescent="0.3">
      <c r="A36" s="79"/>
      <c r="B36" s="80"/>
      <c r="F36" s="141"/>
      <c r="H36" s="99"/>
      <c r="I36" s="84"/>
      <c r="K36" s="86"/>
      <c r="L36" s="86"/>
      <c r="M36" s="86"/>
      <c r="O36" s="100"/>
      <c r="P36" s="143"/>
      <c r="Q36" s="90"/>
      <c r="R36" s="91"/>
      <c r="S36" s="144" t="s">
        <v>90</v>
      </c>
      <c r="T36" s="112" t="s">
        <v>43</v>
      </c>
      <c r="U36" s="106"/>
      <c r="V36" s="107">
        <v>3</v>
      </c>
      <c r="W36" s="160"/>
      <c r="X36" s="161"/>
      <c r="Y36" s="20">
        <f t="shared" si="0"/>
        <v>0</v>
      </c>
      <c r="AA36" s="98">
        <f t="shared" si="1"/>
        <v>0</v>
      </c>
      <c r="AB36" s="98">
        <f t="shared" si="2"/>
        <v>0</v>
      </c>
      <c r="AC36" s="110"/>
      <c r="AD36" s="77"/>
      <c r="AE36" s="77"/>
      <c r="AF36" s="75"/>
      <c r="AG36" s="75"/>
      <c r="AH36" s="75"/>
      <c r="AI36" s="75"/>
    </row>
    <row r="37" spans="1:35" ht="22.35" customHeight="1" thickBot="1" x14ac:dyDescent="0.3">
      <c r="A37" s="79"/>
      <c r="B37" s="80"/>
      <c r="F37" s="141"/>
      <c r="H37" s="99"/>
      <c r="I37" s="84"/>
      <c r="K37" s="86"/>
      <c r="L37" s="86"/>
      <c r="M37" s="86"/>
      <c r="O37" s="100"/>
      <c r="P37" s="143"/>
      <c r="Q37" s="90"/>
      <c r="R37" s="91"/>
      <c r="S37" s="144" t="s">
        <v>90</v>
      </c>
      <c r="T37" s="112" t="s">
        <v>43</v>
      </c>
      <c r="U37" s="106"/>
      <c r="V37" s="107">
        <v>3</v>
      </c>
      <c r="W37" s="160"/>
      <c r="X37" s="161"/>
      <c r="Y37" s="20">
        <f t="shared" si="0"/>
        <v>0</v>
      </c>
      <c r="AA37" s="98">
        <f t="shared" si="1"/>
        <v>0</v>
      </c>
      <c r="AB37" s="98">
        <f t="shared" si="2"/>
        <v>0</v>
      </c>
      <c r="AC37" s="110"/>
      <c r="AD37" s="77"/>
      <c r="AE37" s="77"/>
      <c r="AF37" s="75"/>
      <c r="AG37" s="75"/>
      <c r="AH37" s="75"/>
      <c r="AI37" s="75"/>
    </row>
    <row r="38" spans="1:35" ht="22.35" customHeight="1" thickBot="1" x14ac:dyDescent="0.3">
      <c r="A38" s="148"/>
      <c r="B38" s="149"/>
      <c r="C38" s="150"/>
      <c r="D38" s="151"/>
      <c r="E38" s="151"/>
      <c r="F38" s="141"/>
      <c r="H38" s="99"/>
      <c r="I38" s="152"/>
      <c r="J38" s="153"/>
      <c r="K38" s="85"/>
      <c r="L38" s="85"/>
      <c r="M38" s="85"/>
      <c r="O38" s="100"/>
      <c r="P38" s="154"/>
      <c r="Q38" s="90"/>
      <c r="R38" s="91"/>
      <c r="S38" s="155" t="s">
        <v>90</v>
      </c>
      <c r="T38" s="124" t="s">
        <v>43</v>
      </c>
      <c r="U38" s="125"/>
      <c r="V38" s="156">
        <v>3</v>
      </c>
      <c r="W38" s="113"/>
      <c r="X38" s="114"/>
      <c r="Y38" s="20">
        <f t="shared" si="0"/>
        <v>0</v>
      </c>
      <c r="AA38" s="98">
        <f t="shared" si="1"/>
        <v>0</v>
      </c>
      <c r="AB38" s="98">
        <f t="shared" si="2"/>
        <v>0</v>
      </c>
      <c r="AC38" s="110"/>
      <c r="AD38" s="77"/>
      <c r="AE38" s="77"/>
      <c r="AF38" s="75"/>
      <c r="AG38" s="75"/>
      <c r="AH38" s="75"/>
      <c r="AI38" s="75"/>
    </row>
    <row r="39" spans="1:35" ht="22.35" customHeight="1" thickBot="1" x14ac:dyDescent="0.3">
      <c r="A39" s="157"/>
      <c r="B39" s="127"/>
      <c r="C39" s="128"/>
      <c r="D39" s="129"/>
      <c r="E39" s="129"/>
      <c r="F39" s="130"/>
      <c r="G39" s="132"/>
      <c r="H39" s="99"/>
      <c r="I39" s="158"/>
      <c r="J39" s="129"/>
      <c r="K39" s="159"/>
      <c r="L39" s="133"/>
      <c r="M39" s="133"/>
      <c r="N39" s="134"/>
      <c r="O39" s="135"/>
      <c r="P39" s="136"/>
      <c r="Q39" s="137"/>
      <c r="R39" s="138"/>
      <c r="S39" s="139" t="s">
        <v>90</v>
      </c>
      <c r="T39" s="140" t="s">
        <v>43</v>
      </c>
      <c r="U39" s="94"/>
      <c r="V39" s="95">
        <v>4</v>
      </c>
      <c r="W39" s="96"/>
      <c r="X39" s="97"/>
      <c r="Y39" s="20">
        <f t="shared" si="0"/>
        <v>0</v>
      </c>
      <c r="AA39" s="98">
        <f t="shared" si="1"/>
        <v>0</v>
      </c>
      <c r="AB39" s="98">
        <f t="shared" si="2"/>
        <v>0</v>
      </c>
      <c r="AC39" s="110"/>
      <c r="AD39" s="77"/>
      <c r="AE39" s="77"/>
      <c r="AF39" s="75"/>
      <c r="AG39" s="75"/>
      <c r="AH39" s="75"/>
      <c r="AI39" s="75"/>
    </row>
    <row r="40" spans="1:35" ht="22.35" customHeight="1" thickBot="1" x14ac:dyDescent="0.3">
      <c r="A40" s="79"/>
      <c r="B40" s="80"/>
      <c r="F40" s="141"/>
      <c r="H40" s="99"/>
      <c r="I40" s="84"/>
      <c r="K40" s="86"/>
      <c r="L40" s="86"/>
      <c r="M40" s="86"/>
      <c r="O40" s="100"/>
      <c r="P40" s="143"/>
      <c r="Q40" s="102"/>
      <c r="R40" s="103"/>
      <c r="S40" s="144" t="s">
        <v>90</v>
      </c>
      <c r="T40" s="112" t="s">
        <v>43</v>
      </c>
      <c r="U40" s="106"/>
      <c r="V40" s="107">
        <v>4</v>
      </c>
      <c r="W40" s="108"/>
      <c r="X40" s="109"/>
      <c r="Y40" s="20">
        <f t="shared" si="0"/>
        <v>0</v>
      </c>
      <c r="AA40" s="98">
        <f t="shared" si="1"/>
        <v>0</v>
      </c>
      <c r="AB40" s="98">
        <f t="shared" si="2"/>
        <v>0</v>
      </c>
      <c r="AC40" s="110"/>
      <c r="AD40" s="77"/>
      <c r="AE40" s="77"/>
      <c r="AF40" s="75"/>
      <c r="AG40" s="75"/>
      <c r="AH40" s="75"/>
      <c r="AI40" s="75"/>
    </row>
    <row r="41" spans="1:35" ht="22.35" customHeight="1" thickBot="1" x14ac:dyDescent="0.3">
      <c r="A41" s="79"/>
      <c r="B41" s="80"/>
      <c r="F41" s="141"/>
      <c r="H41" s="99"/>
      <c r="I41" s="84"/>
      <c r="K41" s="86"/>
      <c r="L41" s="86"/>
      <c r="M41" s="86"/>
      <c r="O41" s="100"/>
      <c r="P41" s="143"/>
      <c r="Q41" s="90"/>
      <c r="R41" s="91"/>
      <c r="S41" s="144" t="s">
        <v>90</v>
      </c>
      <c r="T41" s="112" t="s">
        <v>43</v>
      </c>
      <c r="U41" s="106"/>
      <c r="V41" s="107">
        <v>4</v>
      </c>
      <c r="W41" s="108"/>
      <c r="X41" s="109"/>
      <c r="Y41" s="20">
        <f t="shared" si="0"/>
        <v>0</v>
      </c>
      <c r="AA41" s="98">
        <f t="shared" si="1"/>
        <v>0</v>
      </c>
      <c r="AB41" s="98">
        <f t="shared" si="2"/>
        <v>0</v>
      </c>
      <c r="AC41" s="110"/>
      <c r="AD41" s="77"/>
      <c r="AE41" s="77"/>
      <c r="AF41" s="75"/>
      <c r="AG41" s="75"/>
      <c r="AH41" s="75"/>
      <c r="AI41" s="75"/>
    </row>
    <row r="42" spans="1:35" ht="22.35" customHeight="1" thickBot="1" x14ac:dyDescent="0.3">
      <c r="A42" s="79"/>
      <c r="B42" s="80"/>
      <c r="F42" s="141"/>
      <c r="H42" s="99"/>
      <c r="I42" s="84"/>
      <c r="K42" s="86"/>
      <c r="L42" s="86"/>
      <c r="M42" s="86"/>
      <c r="O42" s="100"/>
      <c r="P42" s="143"/>
      <c r="Q42" s="90"/>
      <c r="R42" s="91"/>
      <c r="S42" s="144" t="s">
        <v>90</v>
      </c>
      <c r="T42" s="112" t="s">
        <v>43</v>
      </c>
      <c r="U42" s="106"/>
      <c r="V42" s="107">
        <v>4</v>
      </c>
      <c r="W42" s="108"/>
      <c r="X42" s="109"/>
      <c r="Y42" s="20">
        <f t="shared" si="0"/>
        <v>0</v>
      </c>
      <c r="AA42" s="98">
        <f t="shared" si="1"/>
        <v>0</v>
      </c>
      <c r="AB42" s="98">
        <f t="shared" si="2"/>
        <v>0</v>
      </c>
      <c r="AC42" s="110"/>
      <c r="AD42" s="77"/>
      <c r="AE42" s="77"/>
      <c r="AF42" s="75"/>
      <c r="AG42" s="75"/>
      <c r="AH42" s="75"/>
      <c r="AI42" s="75"/>
    </row>
    <row r="43" spans="1:35" ht="22.35" customHeight="1" thickBot="1" x14ac:dyDescent="0.3">
      <c r="A43" s="79"/>
      <c r="B43" s="80"/>
      <c r="F43" s="141"/>
      <c r="H43" s="99"/>
      <c r="I43" s="84"/>
      <c r="K43" s="86"/>
      <c r="L43" s="86"/>
      <c r="M43" s="86"/>
      <c r="O43" s="100"/>
      <c r="P43" s="143"/>
      <c r="Q43" s="90"/>
      <c r="R43" s="91"/>
      <c r="S43" s="144" t="s">
        <v>90</v>
      </c>
      <c r="T43" s="112" t="s">
        <v>43</v>
      </c>
      <c r="U43" s="106"/>
      <c r="V43" s="107">
        <v>4</v>
      </c>
      <c r="W43" s="108"/>
      <c r="X43" s="109"/>
      <c r="Y43" s="20">
        <f t="shared" si="0"/>
        <v>0</v>
      </c>
      <c r="AA43" s="98">
        <f t="shared" si="1"/>
        <v>0</v>
      </c>
      <c r="AB43" s="98">
        <f t="shared" si="2"/>
        <v>0</v>
      </c>
      <c r="AC43" s="110"/>
      <c r="AD43" s="77"/>
      <c r="AE43" s="77"/>
      <c r="AF43" s="75"/>
      <c r="AG43" s="75"/>
      <c r="AH43" s="75"/>
      <c r="AI43" s="75"/>
    </row>
    <row r="44" spans="1:35" ht="22.35" customHeight="1" thickBot="1" x14ac:dyDescent="0.3">
      <c r="A44" s="79"/>
      <c r="B44" s="80"/>
      <c r="D44" s="23" t="s">
        <v>92</v>
      </c>
      <c r="F44" s="141"/>
      <c r="H44" s="99"/>
      <c r="I44" s="84"/>
      <c r="K44" s="86"/>
      <c r="L44" s="86"/>
      <c r="M44" s="86"/>
      <c r="O44" s="100"/>
      <c r="P44" s="143"/>
      <c r="Q44" s="90"/>
      <c r="R44" s="91"/>
      <c r="S44" s="144" t="s">
        <v>90</v>
      </c>
      <c r="T44" s="112" t="s">
        <v>43</v>
      </c>
      <c r="U44" s="106"/>
      <c r="V44" s="107">
        <v>4</v>
      </c>
      <c r="W44" s="108"/>
      <c r="X44" s="109"/>
      <c r="Y44" s="20">
        <f t="shared" si="0"/>
        <v>0</v>
      </c>
      <c r="AA44" s="98">
        <f t="shared" si="1"/>
        <v>0</v>
      </c>
      <c r="AB44" s="98">
        <f t="shared" si="2"/>
        <v>0</v>
      </c>
      <c r="AC44" s="110"/>
      <c r="AD44" s="77"/>
      <c r="AE44" s="77"/>
      <c r="AF44" s="75"/>
      <c r="AG44" s="75"/>
      <c r="AH44" s="75"/>
      <c r="AI44" s="75"/>
    </row>
    <row r="45" spans="1:35" ht="22.35" customHeight="1" thickBot="1" x14ac:dyDescent="0.3">
      <c r="A45" s="79"/>
      <c r="B45" s="80"/>
      <c r="F45" s="141"/>
      <c r="H45" s="99"/>
      <c r="I45" s="84"/>
      <c r="K45" s="86"/>
      <c r="L45" s="86"/>
      <c r="M45" s="86"/>
      <c r="O45" s="100"/>
      <c r="P45" s="143"/>
      <c r="Q45" s="90"/>
      <c r="R45" s="91"/>
      <c r="S45" s="144" t="s">
        <v>90</v>
      </c>
      <c r="T45" s="112" t="s">
        <v>43</v>
      </c>
      <c r="U45" s="106"/>
      <c r="V45" s="107">
        <v>4</v>
      </c>
      <c r="W45" s="108"/>
      <c r="X45" s="109"/>
      <c r="Y45" s="20">
        <f t="shared" si="0"/>
        <v>0</v>
      </c>
      <c r="AA45" s="98">
        <f t="shared" si="1"/>
        <v>0</v>
      </c>
      <c r="AB45" s="98">
        <f t="shared" si="2"/>
        <v>0</v>
      </c>
      <c r="AC45" s="110"/>
      <c r="AD45" s="77"/>
      <c r="AE45" s="77"/>
      <c r="AF45" s="75"/>
      <c r="AG45" s="75"/>
      <c r="AH45" s="75"/>
      <c r="AI45" s="75"/>
    </row>
    <row r="46" spans="1:35" ht="22.35" customHeight="1" thickBot="1" x14ac:dyDescent="0.3">
      <c r="A46" s="79"/>
      <c r="B46" s="80"/>
      <c r="F46" s="141"/>
      <c r="H46" s="99"/>
      <c r="I46" s="84"/>
      <c r="K46" s="86"/>
      <c r="L46" s="86"/>
      <c r="M46" s="86"/>
      <c r="O46" s="100"/>
      <c r="P46" s="143"/>
      <c r="Q46" s="90"/>
      <c r="R46" s="91"/>
      <c r="S46" s="144" t="s">
        <v>90</v>
      </c>
      <c r="T46" s="112" t="s">
        <v>43</v>
      </c>
      <c r="U46" s="106"/>
      <c r="V46" s="107">
        <v>4</v>
      </c>
      <c r="W46" s="108"/>
      <c r="X46" s="109"/>
      <c r="Y46" s="20">
        <f t="shared" si="0"/>
        <v>0</v>
      </c>
      <c r="AA46" s="98">
        <f t="shared" si="1"/>
        <v>0</v>
      </c>
      <c r="AB46" s="98">
        <f t="shared" si="2"/>
        <v>0</v>
      </c>
      <c r="AC46" s="110"/>
      <c r="AD46" s="77"/>
      <c r="AE46" s="77"/>
      <c r="AF46" s="75"/>
      <c r="AG46" s="75"/>
      <c r="AH46" s="75"/>
      <c r="AI46" s="75"/>
    </row>
    <row r="47" spans="1:35" ht="22.35" customHeight="1" thickBot="1" x14ac:dyDescent="0.3">
      <c r="A47" s="79"/>
      <c r="B47" s="80"/>
      <c r="F47" s="141"/>
      <c r="H47" s="99"/>
      <c r="I47" s="84"/>
      <c r="K47" s="86"/>
      <c r="L47" s="86"/>
      <c r="M47" s="86"/>
      <c r="O47" s="100"/>
      <c r="P47" s="143"/>
      <c r="Q47" s="90"/>
      <c r="R47" s="91"/>
      <c r="S47" s="144" t="s">
        <v>90</v>
      </c>
      <c r="T47" s="112" t="s">
        <v>43</v>
      </c>
      <c r="U47" s="106"/>
      <c r="V47" s="107">
        <v>4</v>
      </c>
      <c r="W47" s="108"/>
      <c r="X47" s="109"/>
      <c r="Y47" s="20">
        <f t="shared" si="0"/>
        <v>0</v>
      </c>
      <c r="AA47" s="98">
        <f t="shared" si="1"/>
        <v>0</v>
      </c>
      <c r="AB47" s="98">
        <f t="shared" si="2"/>
        <v>0</v>
      </c>
      <c r="AC47" s="110"/>
      <c r="AD47" s="77"/>
      <c r="AE47" s="77"/>
      <c r="AF47" s="75"/>
      <c r="AG47" s="75"/>
      <c r="AH47" s="75"/>
      <c r="AI47" s="75"/>
    </row>
    <row r="48" spans="1:35" ht="22.35" customHeight="1" thickBot="1" x14ac:dyDescent="0.3">
      <c r="A48" s="79"/>
      <c r="B48" s="80"/>
      <c r="F48" s="141"/>
      <c r="H48" s="99"/>
      <c r="I48" s="84"/>
      <c r="K48" s="86"/>
      <c r="L48" s="86"/>
      <c r="M48" s="86"/>
      <c r="O48" s="100"/>
      <c r="P48" s="143"/>
      <c r="Q48" s="90"/>
      <c r="R48" s="91"/>
      <c r="S48" s="144" t="s">
        <v>90</v>
      </c>
      <c r="T48" s="112" t="s">
        <v>43</v>
      </c>
      <c r="U48" s="106"/>
      <c r="V48" s="107">
        <v>4</v>
      </c>
      <c r="W48" s="160"/>
      <c r="X48" s="161"/>
      <c r="Y48" s="20">
        <f t="shared" si="0"/>
        <v>0</v>
      </c>
      <c r="AA48" s="98">
        <f t="shared" si="1"/>
        <v>0</v>
      </c>
      <c r="AB48" s="98">
        <f t="shared" si="2"/>
        <v>0</v>
      </c>
      <c r="AC48" s="110"/>
      <c r="AD48" s="77"/>
      <c r="AE48" s="77"/>
      <c r="AF48" s="75"/>
      <c r="AG48" s="75"/>
      <c r="AH48" s="75"/>
      <c r="AI48" s="75"/>
    </row>
    <row r="49" spans="1:35" ht="22.35" customHeight="1" thickBot="1" x14ac:dyDescent="0.3">
      <c r="A49" s="79"/>
      <c r="B49" s="80"/>
      <c r="F49" s="141"/>
      <c r="H49" s="99"/>
      <c r="I49" s="84"/>
      <c r="K49" s="86"/>
      <c r="L49" s="86"/>
      <c r="M49" s="86"/>
      <c r="O49" s="100"/>
      <c r="P49" s="143"/>
      <c r="Q49" s="90"/>
      <c r="R49" s="91"/>
      <c r="S49" s="144" t="s">
        <v>90</v>
      </c>
      <c r="T49" s="112" t="s">
        <v>43</v>
      </c>
      <c r="U49" s="106"/>
      <c r="V49" s="107">
        <v>4</v>
      </c>
      <c r="W49" s="160"/>
      <c r="X49" s="161"/>
      <c r="Y49" s="20">
        <f t="shared" si="0"/>
        <v>0</v>
      </c>
      <c r="AA49" s="98">
        <f t="shared" si="1"/>
        <v>0</v>
      </c>
      <c r="AB49" s="98">
        <f t="shared" si="2"/>
        <v>0</v>
      </c>
      <c r="AC49" s="110"/>
      <c r="AD49" s="77"/>
      <c r="AE49" s="77"/>
      <c r="AF49" s="75"/>
      <c r="AG49" s="75"/>
      <c r="AH49" s="75"/>
      <c r="AI49" s="75"/>
    </row>
    <row r="50" spans="1:35" ht="22.35" customHeight="1" thickBot="1" x14ac:dyDescent="0.3">
      <c r="A50" s="148"/>
      <c r="B50" s="149"/>
      <c r="C50" s="150"/>
      <c r="D50" s="151"/>
      <c r="E50" s="151"/>
      <c r="F50" s="141"/>
      <c r="H50" s="99"/>
      <c r="I50" s="152"/>
      <c r="J50" s="153"/>
      <c r="K50" s="85"/>
      <c r="L50" s="85"/>
      <c r="M50" s="85"/>
      <c r="O50" s="100"/>
      <c r="P50" s="154"/>
      <c r="Q50" s="90"/>
      <c r="R50" s="91"/>
      <c r="S50" s="155" t="s">
        <v>90</v>
      </c>
      <c r="T50" s="124" t="s">
        <v>43</v>
      </c>
      <c r="U50" s="125"/>
      <c r="V50" s="156">
        <v>4</v>
      </c>
      <c r="W50" s="113"/>
      <c r="X50" s="114"/>
      <c r="Y50" s="20">
        <f t="shared" si="0"/>
        <v>0</v>
      </c>
      <c r="AA50" s="98">
        <f t="shared" si="1"/>
        <v>0</v>
      </c>
      <c r="AB50" s="98">
        <f t="shared" si="2"/>
        <v>0</v>
      </c>
      <c r="AC50" s="110"/>
      <c r="AD50" s="77"/>
      <c r="AE50" s="77"/>
      <c r="AF50" s="75"/>
      <c r="AG50" s="75"/>
      <c r="AH50" s="75"/>
      <c r="AI50" s="75"/>
    </row>
    <row r="51" spans="1:35" ht="22.35" customHeight="1" thickBot="1" x14ac:dyDescent="0.3">
      <c r="A51" s="157"/>
      <c r="B51" s="127"/>
      <c r="C51" s="128"/>
      <c r="D51" s="129"/>
      <c r="E51" s="129"/>
      <c r="F51" s="130"/>
      <c r="G51" s="132"/>
      <c r="H51" s="99"/>
      <c r="I51" s="158"/>
      <c r="J51" s="129"/>
      <c r="K51" s="159"/>
      <c r="L51" s="133"/>
      <c r="M51" s="133"/>
      <c r="N51" s="134"/>
      <c r="O51" s="135"/>
      <c r="P51" s="136"/>
      <c r="Q51" s="137"/>
      <c r="R51" s="138"/>
      <c r="S51" s="139" t="s">
        <v>90</v>
      </c>
      <c r="T51" s="140" t="s">
        <v>43</v>
      </c>
      <c r="U51" s="94"/>
      <c r="V51" s="95">
        <v>5</v>
      </c>
      <c r="W51" s="96"/>
      <c r="X51" s="97"/>
      <c r="Y51" s="20">
        <f t="shared" si="0"/>
        <v>0</v>
      </c>
      <c r="AA51" s="98">
        <f t="shared" si="1"/>
        <v>0</v>
      </c>
      <c r="AB51" s="98">
        <f t="shared" si="2"/>
        <v>0</v>
      </c>
      <c r="AC51" s="110"/>
      <c r="AD51" s="77"/>
      <c r="AE51" s="77"/>
      <c r="AF51" s="75"/>
      <c r="AG51" s="75"/>
      <c r="AH51" s="75"/>
      <c r="AI51" s="75"/>
    </row>
    <row r="52" spans="1:35" ht="22.35" customHeight="1" thickBot="1" x14ac:dyDescent="0.3">
      <c r="A52" s="79"/>
      <c r="B52" s="80"/>
      <c r="F52" s="141"/>
      <c r="H52" s="99"/>
      <c r="I52" s="84"/>
      <c r="K52" s="86"/>
      <c r="L52" s="86"/>
      <c r="M52" s="86"/>
      <c r="O52" s="100"/>
      <c r="P52" s="143"/>
      <c r="Q52" s="102"/>
      <c r="R52" s="103"/>
      <c r="S52" s="144" t="s">
        <v>90</v>
      </c>
      <c r="T52" s="112" t="s">
        <v>43</v>
      </c>
      <c r="U52" s="106"/>
      <c r="V52" s="107">
        <v>5</v>
      </c>
      <c r="W52" s="108"/>
      <c r="X52" s="109"/>
      <c r="Y52" s="20">
        <f t="shared" si="0"/>
        <v>0</v>
      </c>
      <c r="AA52" s="98">
        <f t="shared" si="1"/>
        <v>0</v>
      </c>
      <c r="AB52" s="98">
        <f t="shared" si="2"/>
        <v>0</v>
      </c>
      <c r="AC52" s="110"/>
      <c r="AD52" s="77"/>
      <c r="AE52" s="77"/>
      <c r="AF52" s="75"/>
      <c r="AG52" s="75"/>
      <c r="AH52" s="75"/>
      <c r="AI52" s="75"/>
    </row>
    <row r="53" spans="1:35" ht="22.35" customHeight="1" thickBot="1" x14ac:dyDescent="0.3">
      <c r="A53" s="79"/>
      <c r="B53" s="80"/>
      <c r="F53" s="141"/>
      <c r="H53" s="99"/>
      <c r="I53" s="84"/>
      <c r="K53" s="86"/>
      <c r="L53" s="86"/>
      <c r="M53" s="86"/>
      <c r="O53" s="100"/>
      <c r="P53" s="143"/>
      <c r="Q53" s="90"/>
      <c r="R53" s="91"/>
      <c r="S53" s="144" t="s">
        <v>90</v>
      </c>
      <c r="T53" s="112" t="s">
        <v>43</v>
      </c>
      <c r="U53" s="106"/>
      <c r="V53" s="107">
        <v>5</v>
      </c>
      <c r="W53" s="108"/>
      <c r="X53" s="109"/>
      <c r="Y53" s="20">
        <f t="shared" si="0"/>
        <v>0</v>
      </c>
      <c r="AA53" s="98">
        <f t="shared" si="1"/>
        <v>0</v>
      </c>
      <c r="AB53" s="98">
        <f t="shared" si="2"/>
        <v>0</v>
      </c>
      <c r="AC53" s="110"/>
      <c r="AD53" s="77"/>
      <c r="AE53" s="77"/>
      <c r="AF53" s="75"/>
      <c r="AG53" s="75"/>
      <c r="AH53" s="75"/>
      <c r="AI53" s="75"/>
    </row>
    <row r="54" spans="1:35" ht="22.35" customHeight="1" thickBot="1" x14ac:dyDescent="0.3">
      <c r="A54" s="79"/>
      <c r="B54" s="80"/>
      <c r="F54" s="141"/>
      <c r="H54" s="99"/>
      <c r="I54" s="84"/>
      <c r="K54" s="86"/>
      <c r="L54" s="86"/>
      <c r="M54" s="86"/>
      <c r="O54" s="100"/>
      <c r="P54" s="143"/>
      <c r="Q54" s="90"/>
      <c r="R54" s="91"/>
      <c r="S54" s="144" t="s">
        <v>90</v>
      </c>
      <c r="T54" s="112" t="s">
        <v>43</v>
      </c>
      <c r="U54" s="106"/>
      <c r="V54" s="107">
        <v>5</v>
      </c>
      <c r="W54" s="108"/>
      <c r="X54" s="109"/>
      <c r="Y54" s="20">
        <f t="shared" si="0"/>
        <v>0</v>
      </c>
      <c r="AA54" s="98">
        <f t="shared" si="1"/>
        <v>0</v>
      </c>
      <c r="AB54" s="98">
        <f t="shared" si="2"/>
        <v>0</v>
      </c>
      <c r="AC54" s="110"/>
      <c r="AD54" s="77"/>
      <c r="AE54" s="77"/>
      <c r="AF54" s="75"/>
      <c r="AG54" s="75"/>
      <c r="AH54" s="75"/>
      <c r="AI54" s="75"/>
    </row>
    <row r="55" spans="1:35" ht="22.35" customHeight="1" thickBot="1" x14ac:dyDescent="0.3">
      <c r="A55" s="79"/>
      <c r="B55" s="80"/>
      <c r="F55" s="141"/>
      <c r="H55" s="99"/>
      <c r="I55" s="84"/>
      <c r="K55" s="86"/>
      <c r="L55" s="86"/>
      <c r="M55" s="86"/>
      <c r="O55" s="100"/>
      <c r="P55" s="143"/>
      <c r="Q55" s="90"/>
      <c r="R55" s="91"/>
      <c r="S55" s="144" t="s">
        <v>90</v>
      </c>
      <c r="T55" s="112" t="s">
        <v>43</v>
      </c>
      <c r="U55" s="106"/>
      <c r="V55" s="107">
        <v>5</v>
      </c>
      <c r="W55" s="108"/>
      <c r="X55" s="109"/>
      <c r="Y55" s="20">
        <f t="shared" si="0"/>
        <v>0</v>
      </c>
      <c r="AA55" s="98">
        <f t="shared" si="1"/>
        <v>0</v>
      </c>
      <c r="AB55" s="98">
        <f t="shared" si="2"/>
        <v>0</v>
      </c>
      <c r="AC55" s="110"/>
      <c r="AD55" s="77"/>
      <c r="AE55" s="77"/>
      <c r="AF55" s="75"/>
      <c r="AG55" s="75"/>
      <c r="AH55" s="75"/>
      <c r="AI55" s="75"/>
    </row>
    <row r="56" spans="1:35" ht="22.35" customHeight="1" thickBot="1" x14ac:dyDescent="0.3">
      <c r="A56" s="79"/>
      <c r="B56" s="80"/>
      <c r="F56" s="141"/>
      <c r="H56" s="99"/>
      <c r="I56" s="84"/>
      <c r="K56" s="86"/>
      <c r="L56" s="86"/>
      <c r="M56" s="86"/>
      <c r="O56" s="100"/>
      <c r="P56" s="143"/>
      <c r="Q56" s="90"/>
      <c r="R56" s="91"/>
      <c r="S56" s="144" t="s">
        <v>90</v>
      </c>
      <c r="T56" s="112" t="s">
        <v>43</v>
      </c>
      <c r="U56" s="106"/>
      <c r="V56" s="107">
        <v>5</v>
      </c>
      <c r="W56" s="108"/>
      <c r="X56" s="109"/>
      <c r="Y56" s="20">
        <f t="shared" si="0"/>
        <v>0</v>
      </c>
      <c r="AA56" s="98">
        <f t="shared" si="1"/>
        <v>0</v>
      </c>
      <c r="AB56" s="98">
        <f t="shared" si="2"/>
        <v>0</v>
      </c>
      <c r="AC56" s="110"/>
      <c r="AD56" s="77"/>
      <c r="AE56" s="77"/>
      <c r="AF56" s="75"/>
      <c r="AG56" s="75"/>
      <c r="AH56" s="75"/>
      <c r="AI56" s="75"/>
    </row>
    <row r="57" spans="1:35" ht="22.35" customHeight="1" thickBot="1" x14ac:dyDescent="0.3">
      <c r="A57" s="79"/>
      <c r="B57" s="80"/>
      <c r="D57" s="23" t="s">
        <v>93</v>
      </c>
      <c r="F57" s="141"/>
      <c r="H57" s="99"/>
      <c r="I57" s="84"/>
      <c r="K57" s="86"/>
      <c r="L57" s="86"/>
      <c r="M57" s="86"/>
      <c r="O57" s="100"/>
      <c r="P57" s="143"/>
      <c r="Q57" s="90"/>
      <c r="R57" s="91"/>
      <c r="S57" s="144" t="s">
        <v>90</v>
      </c>
      <c r="T57" s="112" t="s">
        <v>43</v>
      </c>
      <c r="U57" s="106"/>
      <c r="V57" s="107">
        <v>5</v>
      </c>
      <c r="W57" s="108"/>
      <c r="X57" s="109"/>
      <c r="Y57" s="20">
        <f t="shared" si="0"/>
        <v>0</v>
      </c>
      <c r="AA57" s="98">
        <f t="shared" si="1"/>
        <v>0</v>
      </c>
      <c r="AB57" s="98">
        <f t="shared" si="2"/>
        <v>0</v>
      </c>
      <c r="AC57" s="110"/>
      <c r="AD57" s="77"/>
      <c r="AE57" s="77"/>
      <c r="AF57" s="75"/>
      <c r="AG57" s="75"/>
      <c r="AH57" s="75"/>
      <c r="AI57" s="75"/>
    </row>
    <row r="58" spans="1:35" ht="22.35" customHeight="1" thickBot="1" x14ac:dyDescent="0.3">
      <c r="A58" s="79"/>
      <c r="B58" s="80"/>
      <c r="F58" s="141"/>
      <c r="H58" s="99"/>
      <c r="I58" s="84"/>
      <c r="K58" s="86"/>
      <c r="L58" s="86"/>
      <c r="M58" s="86"/>
      <c r="O58" s="100"/>
      <c r="P58" s="143"/>
      <c r="Q58" s="90"/>
      <c r="R58" s="91"/>
      <c r="S58" s="144" t="s">
        <v>90</v>
      </c>
      <c r="T58" s="112" t="s">
        <v>43</v>
      </c>
      <c r="U58" s="106"/>
      <c r="V58" s="107">
        <v>5</v>
      </c>
      <c r="W58" s="108"/>
      <c r="X58" s="109"/>
      <c r="Y58" s="20">
        <f t="shared" si="0"/>
        <v>0</v>
      </c>
      <c r="AA58" s="98">
        <f t="shared" si="1"/>
        <v>0</v>
      </c>
      <c r="AB58" s="98">
        <f t="shared" si="2"/>
        <v>0</v>
      </c>
      <c r="AC58" s="110"/>
      <c r="AD58" s="77"/>
      <c r="AE58" s="77"/>
      <c r="AF58" s="75"/>
      <c r="AG58" s="75"/>
      <c r="AH58" s="75"/>
      <c r="AI58" s="75"/>
    </row>
    <row r="59" spans="1:35" ht="22.35" customHeight="1" thickBot="1" x14ac:dyDescent="0.3">
      <c r="A59" s="79"/>
      <c r="B59" s="80"/>
      <c r="F59" s="141"/>
      <c r="H59" s="99"/>
      <c r="I59" s="84"/>
      <c r="K59" s="86"/>
      <c r="L59" s="86"/>
      <c r="M59" s="86"/>
      <c r="O59" s="100"/>
      <c r="P59" s="143"/>
      <c r="Q59" s="90"/>
      <c r="R59" s="91"/>
      <c r="S59" s="144" t="s">
        <v>90</v>
      </c>
      <c r="T59" s="112" t="s">
        <v>43</v>
      </c>
      <c r="U59" s="106"/>
      <c r="V59" s="107">
        <v>5</v>
      </c>
      <c r="W59" s="108"/>
      <c r="X59" s="109"/>
      <c r="Y59" s="20">
        <f t="shared" si="0"/>
        <v>0</v>
      </c>
      <c r="AA59" s="98">
        <f t="shared" si="1"/>
        <v>0</v>
      </c>
      <c r="AB59" s="98">
        <f t="shared" si="2"/>
        <v>0</v>
      </c>
      <c r="AC59" s="110"/>
      <c r="AD59" s="77"/>
      <c r="AE59" s="77"/>
      <c r="AF59" s="75"/>
      <c r="AG59" s="75"/>
      <c r="AH59" s="75"/>
      <c r="AI59" s="75"/>
    </row>
    <row r="60" spans="1:35" ht="22.35" customHeight="1" thickBot="1" x14ac:dyDescent="0.3">
      <c r="A60" s="79"/>
      <c r="B60" s="80"/>
      <c r="F60" s="141"/>
      <c r="H60" s="99"/>
      <c r="I60" s="84"/>
      <c r="K60" s="86"/>
      <c r="L60" s="86"/>
      <c r="M60" s="86"/>
      <c r="O60" s="100"/>
      <c r="P60" s="143"/>
      <c r="Q60" s="90"/>
      <c r="R60" s="91"/>
      <c r="S60" s="144" t="s">
        <v>90</v>
      </c>
      <c r="T60" s="112" t="s">
        <v>43</v>
      </c>
      <c r="U60" s="106"/>
      <c r="V60" s="107">
        <v>5</v>
      </c>
      <c r="W60" s="160"/>
      <c r="X60" s="161"/>
      <c r="Y60" s="20">
        <f t="shared" si="0"/>
        <v>0</v>
      </c>
      <c r="AA60" s="98">
        <f t="shared" si="1"/>
        <v>0</v>
      </c>
      <c r="AB60" s="98">
        <f t="shared" si="2"/>
        <v>0</v>
      </c>
      <c r="AC60" s="110"/>
      <c r="AD60" s="77"/>
      <c r="AE60" s="77"/>
      <c r="AF60" s="75"/>
      <c r="AG60" s="75"/>
      <c r="AH60" s="75"/>
      <c r="AI60" s="75"/>
    </row>
    <row r="61" spans="1:35" ht="22.35" customHeight="1" thickBot="1" x14ac:dyDescent="0.3">
      <c r="A61" s="79"/>
      <c r="B61" s="80"/>
      <c r="F61" s="141"/>
      <c r="H61" s="99"/>
      <c r="I61" s="84"/>
      <c r="K61" s="86"/>
      <c r="L61" s="86"/>
      <c r="M61" s="86"/>
      <c r="O61" s="100"/>
      <c r="P61" s="143"/>
      <c r="Q61" s="90"/>
      <c r="R61" s="91"/>
      <c r="S61" s="144" t="s">
        <v>90</v>
      </c>
      <c r="T61" s="112" t="s">
        <v>43</v>
      </c>
      <c r="U61" s="106"/>
      <c r="V61" s="107">
        <v>5</v>
      </c>
      <c r="W61" s="160"/>
      <c r="X61" s="161"/>
      <c r="Y61" s="20">
        <f t="shared" si="0"/>
        <v>0</v>
      </c>
      <c r="AA61" s="98">
        <f t="shared" si="1"/>
        <v>0</v>
      </c>
      <c r="AB61" s="98">
        <f t="shared" si="2"/>
        <v>0</v>
      </c>
      <c r="AC61" s="110"/>
      <c r="AD61" s="77"/>
      <c r="AE61" s="77"/>
      <c r="AF61" s="75"/>
      <c r="AG61" s="75"/>
      <c r="AH61" s="75"/>
      <c r="AI61" s="75"/>
    </row>
    <row r="62" spans="1:35" ht="22.35" customHeight="1" thickBot="1" x14ac:dyDescent="0.3">
      <c r="A62" s="148"/>
      <c r="B62" s="149"/>
      <c r="C62" s="150"/>
      <c r="D62" s="151"/>
      <c r="E62" s="151"/>
      <c r="F62" s="141"/>
      <c r="H62" s="99"/>
      <c r="I62" s="152"/>
      <c r="J62" s="153"/>
      <c r="K62" s="85"/>
      <c r="L62" s="85"/>
      <c r="M62" s="85"/>
      <c r="O62" s="100"/>
      <c r="P62" s="154"/>
      <c r="Q62" s="90"/>
      <c r="R62" s="91"/>
      <c r="S62" s="155" t="s">
        <v>90</v>
      </c>
      <c r="T62" s="124" t="s">
        <v>43</v>
      </c>
      <c r="U62" s="125"/>
      <c r="V62" s="156">
        <v>5</v>
      </c>
      <c r="W62" s="113"/>
      <c r="X62" s="114"/>
      <c r="Y62" s="20">
        <f t="shared" si="0"/>
        <v>0</v>
      </c>
      <c r="AA62" s="98">
        <f t="shared" si="1"/>
        <v>0</v>
      </c>
      <c r="AB62" s="98">
        <f t="shared" si="2"/>
        <v>0</v>
      </c>
      <c r="AC62" s="110"/>
      <c r="AD62" s="77"/>
      <c r="AE62" s="77"/>
      <c r="AF62" s="75"/>
      <c r="AG62" s="75"/>
      <c r="AH62" s="75"/>
      <c r="AI62" s="75"/>
    </row>
    <row r="63" spans="1:35" ht="22.35" customHeight="1" thickBot="1" x14ac:dyDescent="0.3">
      <c r="A63" s="157"/>
      <c r="B63" s="127"/>
      <c r="C63" s="128"/>
      <c r="D63" s="129"/>
      <c r="E63" s="129"/>
      <c r="F63" s="130"/>
      <c r="G63" s="132"/>
      <c r="H63" s="99"/>
      <c r="I63" s="158"/>
      <c r="J63" s="129"/>
      <c r="K63" s="159"/>
      <c r="L63" s="133"/>
      <c r="M63" s="133"/>
      <c r="N63" s="134"/>
      <c r="O63" s="135"/>
      <c r="P63" s="136"/>
      <c r="Q63" s="137"/>
      <c r="R63" s="138"/>
      <c r="S63" s="139" t="s">
        <v>90</v>
      </c>
      <c r="T63" s="140" t="s">
        <v>43</v>
      </c>
      <c r="U63" s="94"/>
      <c r="V63" s="95">
        <v>6</v>
      </c>
      <c r="W63" s="96"/>
      <c r="X63" s="97"/>
      <c r="Y63" s="20">
        <f t="shared" si="0"/>
        <v>0</v>
      </c>
      <c r="AA63" s="98">
        <f t="shared" si="1"/>
        <v>0</v>
      </c>
      <c r="AB63" s="98">
        <f t="shared" si="2"/>
        <v>0</v>
      </c>
      <c r="AC63" s="110"/>
      <c r="AD63" s="77"/>
      <c r="AE63" s="77"/>
      <c r="AF63" s="75"/>
      <c r="AG63" s="75"/>
      <c r="AH63" s="75"/>
      <c r="AI63" s="75"/>
    </row>
    <row r="64" spans="1:35" ht="22.35" customHeight="1" thickBot="1" x14ac:dyDescent="0.3">
      <c r="A64" s="79"/>
      <c r="B64" s="80"/>
      <c r="F64" s="141"/>
      <c r="H64" s="99"/>
      <c r="I64" s="84"/>
      <c r="K64" s="86"/>
      <c r="L64" s="86"/>
      <c r="M64" s="86"/>
      <c r="O64" s="100"/>
      <c r="P64" s="143"/>
      <c r="Q64" s="102"/>
      <c r="R64" s="103"/>
      <c r="S64" s="144" t="s">
        <v>90</v>
      </c>
      <c r="T64" s="112" t="s">
        <v>43</v>
      </c>
      <c r="U64" s="106"/>
      <c r="V64" s="107">
        <v>6</v>
      </c>
      <c r="W64" s="108"/>
      <c r="X64" s="109"/>
      <c r="Y64" s="20">
        <f t="shared" si="0"/>
        <v>0</v>
      </c>
      <c r="AA64" s="98">
        <f t="shared" si="1"/>
        <v>0</v>
      </c>
      <c r="AB64" s="98">
        <f t="shared" si="2"/>
        <v>0</v>
      </c>
      <c r="AC64" s="110"/>
      <c r="AD64" s="77"/>
      <c r="AE64" s="77"/>
      <c r="AF64" s="75"/>
      <c r="AG64" s="75"/>
      <c r="AH64" s="75"/>
      <c r="AI64" s="75"/>
    </row>
    <row r="65" spans="1:35" ht="22.35" customHeight="1" thickBot="1" x14ac:dyDescent="0.3">
      <c r="A65" s="79"/>
      <c r="B65" s="80"/>
      <c r="F65" s="141"/>
      <c r="H65" s="99"/>
      <c r="I65" s="84"/>
      <c r="K65" s="86"/>
      <c r="L65" s="86"/>
      <c r="M65" s="86"/>
      <c r="O65" s="100"/>
      <c r="P65" s="143"/>
      <c r="Q65" s="90"/>
      <c r="R65" s="91"/>
      <c r="S65" s="144" t="s">
        <v>90</v>
      </c>
      <c r="T65" s="112" t="s">
        <v>43</v>
      </c>
      <c r="U65" s="106"/>
      <c r="V65" s="107">
        <v>6</v>
      </c>
      <c r="W65" s="108"/>
      <c r="X65" s="109"/>
      <c r="Y65" s="20">
        <f t="shared" si="0"/>
        <v>0</v>
      </c>
      <c r="AA65" s="98">
        <f t="shared" si="1"/>
        <v>0</v>
      </c>
      <c r="AB65" s="98">
        <f t="shared" si="2"/>
        <v>0</v>
      </c>
      <c r="AC65" s="110"/>
      <c r="AD65" s="77"/>
      <c r="AE65" s="77"/>
      <c r="AF65" s="75"/>
      <c r="AG65" s="75"/>
      <c r="AH65" s="75"/>
      <c r="AI65" s="75"/>
    </row>
    <row r="66" spans="1:35" ht="22.35" customHeight="1" thickBot="1" x14ac:dyDescent="0.3">
      <c r="A66" s="79"/>
      <c r="B66" s="80"/>
      <c r="F66" s="141"/>
      <c r="H66" s="99"/>
      <c r="I66" s="84"/>
      <c r="K66" s="86"/>
      <c r="L66" s="86"/>
      <c r="M66" s="86"/>
      <c r="O66" s="100"/>
      <c r="P66" s="143"/>
      <c r="Q66" s="90"/>
      <c r="R66" s="91"/>
      <c r="S66" s="144" t="s">
        <v>90</v>
      </c>
      <c r="T66" s="112" t="s">
        <v>43</v>
      </c>
      <c r="U66" s="106"/>
      <c r="V66" s="107">
        <v>6</v>
      </c>
      <c r="W66" s="108"/>
      <c r="X66" s="109"/>
      <c r="Y66" s="20">
        <f t="shared" si="0"/>
        <v>0</v>
      </c>
      <c r="AA66" s="98">
        <f t="shared" si="1"/>
        <v>0</v>
      </c>
      <c r="AB66" s="98">
        <f t="shared" si="2"/>
        <v>0</v>
      </c>
      <c r="AC66" s="110"/>
      <c r="AD66" s="77"/>
      <c r="AE66" s="77"/>
      <c r="AF66" s="75"/>
      <c r="AG66" s="75"/>
      <c r="AH66" s="75"/>
      <c r="AI66" s="75"/>
    </row>
    <row r="67" spans="1:35" ht="22.35" customHeight="1" thickBot="1" x14ac:dyDescent="0.3">
      <c r="A67" s="79"/>
      <c r="B67" s="80"/>
      <c r="F67" s="141"/>
      <c r="H67" s="99"/>
      <c r="I67" s="84"/>
      <c r="K67" s="86"/>
      <c r="L67" s="86"/>
      <c r="M67" s="86"/>
      <c r="O67" s="100"/>
      <c r="P67" s="143"/>
      <c r="Q67" s="90"/>
      <c r="R67" s="91"/>
      <c r="S67" s="144" t="s">
        <v>90</v>
      </c>
      <c r="T67" s="112" t="s">
        <v>43</v>
      </c>
      <c r="U67" s="106"/>
      <c r="V67" s="107">
        <v>6</v>
      </c>
      <c r="W67" s="108"/>
      <c r="X67" s="109"/>
      <c r="Y67" s="20">
        <f t="shared" si="0"/>
        <v>0</v>
      </c>
      <c r="AA67" s="98">
        <f t="shared" si="1"/>
        <v>0</v>
      </c>
      <c r="AB67" s="98">
        <f t="shared" si="2"/>
        <v>0</v>
      </c>
      <c r="AC67" s="110"/>
      <c r="AD67" s="77"/>
      <c r="AE67" s="77"/>
      <c r="AF67" s="75"/>
      <c r="AG67" s="75"/>
      <c r="AH67" s="75"/>
      <c r="AI67" s="75"/>
    </row>
    <row r="68" spans="1:35" ht="22.35" customHeight="1" thickBot="1" x14ac:dyDescent="0.3">
      <c r="A68" s="79"/>
      <c r="B68" s="80"/>
      <c r="D68" s="23" t="s">
        <v>94</v>
      </c>
      <c r="F68" s="141"/>
      <c r="H68" s="99"/>
      <c r="I68" s="84"/>
      <c r="K68" s="86"/>
      <c r="L68" s="86"/>
      <c r="M68" s="86"/>
      <c r="O68" s="100"/>
      <c r="P68" s="143"/>
      <c r="Q68" s="90"/>
      <c r="R68" s="91"/>
      <c r="S68" s="144" t="s">
        <v>90</v>
      </c>
      <c r="T68" s="112" t="s">
        <v>43</v>
      </c>
      <c r="U68" s="106"/>
      <c r="V68" s="107">
        <v>6</v>
      </c>
      <c r="W68" s="108"/>
      <c r="X68" s="109"/>
      <c r="Y68" s="20">
        <f t="shared" si="0"/>
        <v>0</v>
      </c>
      <c r="AA68" s="98">
        <f t="shared" si="1"/>
        <v>0</v>
      </c>
      <c r="AB68" s="98">
        <f t="shared" si="2"/>
        <v>0</v>
      </c>
      <c r="AC68" s="110"/>
      <c r="AD68" s="77"/>
      <c r="AE68" s="77"/>
      <c r="AF68" s="75"/>
      <c r="AG68" s="75"/>
      <c r="AH68" s="75"/>
      <c r="AI68" s="75"/>
    </row>
    <row r="69" spans="1:35" ht="22.35" customHeight="1" thickBot="1" x14ac:dyDescent="0.3">
      <c r="A69" s="79"/>
      <c r="B69" s="80"/>
      <c r="F69" s="141"/>
      <c r="H69" s="99"/>
      <c r="I69" s="84"/>
      <c r="K69" s="86"/>
      <c r="L69" s="86"/>
      <c r="M69" s="86"/>
      <c r="O69" s="100"/>
      <c r="P69" s="143"/>
      <c r="Q69" s="90"/>
      <c r="R69" s="91"/>
      <c r="S69" s="144" t="s">
        <v>90</v>
      </c>
      <c r="T69" s="112" t="s">
        <v>43</v>
      </c>
      <c r="U69" s="106"/>
      <c r="V69" s="107">
        <v>6</v>
      </c>
      <c r="W69" s="108"/>
      <c r="X69" s="109"/>
      <c r="Y69" s="20">
        <f t="shared" si="0"/>
        <v>0</v>
      </c>
      <c r="AA69" s="98">
        <f t="shared" si="1"/>
        <v>0</v>
      </c>
      <c r="AB69" s="98">
        <f t="shared" si="2"/>
        <v>0</v>
      </c>
      <c r="AC69" s="110"/>
      <c r="AD69" s="77"/>
      <c r="AE69" s="77"/>
      <c r="AF69" s="75"/>
      <c r="AG69" s="75"/>
      <c r="AH69" s="75"/>
      <c r="AI69" s="75"/>
    </row>
    <row r="70" spans="1:35" ht="22.35" customHeight="1" thickBot="1" x14ac:dyDescent="0.3">
      <c r="A70" s="79"/>
      <c r="B70" s="80"/>
      <c r="F70" s="141"/>
      <c r="H70" s="99"/>
      <c r="I70" s="84"/>
      <c r="K70" s="86"/>
      <c r="L70" s="86"/>
      <c r="M70" s="86"/>
      <c r="O70" s="100"/>
      <c r="P70" s="143"/>
      <c r="Q70" s="90"/>
      <c r="R70" s="91"/>
      <c r="S70" s="144" t="s">
        <v>90</v>
      </c>
      <c r="T70" s="112" t="s">
        <v>43</v>
      </c>
      <c r="U70" s="106"/>
      <c r="V70" s="107">
        <v>6</v>
      </c>
      <c r="W70" s="108"/>
      <c r="X70" s="109"/>
      <c r="Y70" s="20">
        <f t="shared" si="0"/>
        <v>0</v>
      </c>
      <c r="AA70" s="98">
        <f t="shared" si="1"/>
        <v>0</v>
      </c>
      <c r="AB70" s="98">
        <f t="shared" si="2"/>
        <v>0</v>
      </c>
      <c r="AC70" s="110"/>
      <c r="AD70" s="77"/>
      <c r="AE70" s="77"/>
      <c r="AF70" s="75"/>
      <c r="AG70" s="75"/>
      <c r="AH70" s="75"/>
      <c r="AI70" s="75"/>
    </row>
    <row r="71" spans="1:35" ht="22.35" customHeight="1" thickBot="1" x14ac:dyDescent="0.3">
      <c r="A71" s="79"/>
      <c r="B71" s="80"/>
      <c r="F71" s="141"/>
      <c r="H71" s="99"/>
      <c r="I71" s="84"/>
      <c r="K71" s="86"/>
      <c r="L71" s="86"/>
      <c r="M71" s="86"/>
      <c r="O71" s="100"/>
      <c r="P71" s="143"/>
      <c r="Q71" s="90"/>
      <c r="R71" s="91"/>
      <c r="S71" s="144" t="s">
        <v>90</v>
      </c>
      <c r="T71" s="112" t="s">
        <v>43</v>
      </c>
      <c r="U71" s="106"/>
      <c r="V71" s="107">
        <v>6</v>
      </c>
      <c r="W71" s="108"/>
      <c r="X71" s="109"/>
      <c r="Y71" s="20">
        <f t="shared" ref="Y71:Y134" si="3">COUNTIF(K:K,K71)</f>
        <v>0</v>
      </c>
      <c r="AA71" s="98">
        <f t="shared" si="1"/>
        <v>0</v>
      </c>
      <c r="AB71" s="98">
        <f t="shared" si="2"/>
        <v>0</v>
      </c>
      <c r="AC71" s="110"/>
      <c r="AD71" s="77"/>
      <c r="AE71" s="77"/>
      <c r="AF71" s="75"/>
      <c r="AG71" s="75"/>
      <c r="AH71" s="75"/>
      <c r="AI71" s="75"/>
    </row>
    <row r="72" spans="1:35" ht="22.35" customHeight="1" thickBot="1" x14ac:dyDescent="0.3">
      <c r="A72" s="79"/>
      <c r="B72" s="80"/>
      <c r="F72" s="141"/>
      <c r="H72" s="99"/>
      <c r="I72" s="84"/>
      <c r="K72" s="86"/>
      <c r="L72" s="86"/>
      <c r="M72" s="86"/>
      <c r="O72" s="100"/>
      <c r="P72" s="143"/>
      <c r="Q72" s="90"/>
      <c r="R72" s="91"/>
      <c r="S72" s="144" t="s">
        <v>90</v>
      </c>
      <c r="T72" s="112" t="s">
        <v>43</v>
      </c>
      <c r="U72" s="106"/>
      <c r="V72" s="107">
        <v>6</v>
      </c>
      <c r="W72" s="160"/>
      <c r="X72" s="161"/>
      <c r="Y72" s="20">
        <f t="shared" si="3"/>
        <v>0</v>
      </c>
      <c r="AA72" s="98">
        <f t="shared" ref="AA72:AA135" si="4">H72-I72</f>
        <v>0</v>
      </c>
      <c r="AB72" s="98">
        <f t="shared" ref="AB72:AB135" si="5">R72-H72</f>
        <v>0</v>
      </c>
      <c r="AC72" s="110"/>
      <c r="AD72" s="77"/>
      <c r="AE72" s="77"/>
      <c r="AF72" s="75"/>
      <c r="AG72" s="75"/>
      <c r="AH72" s="75"/>
      <c r="AI72" s="75"/>
    </row>
    <row r="73" spans="1:35" ht="22.35" customHeight="1" thickBot="1" x14ac:dyDescent="0.3">
      <c r="A73" s="79"/>
      <c r="B73" s="80"/>
      <c r="F73" s="141"/>
      <c r="H73" s="99"/>
      <c r="I73" s="84"/>
      <c r="K73" s="86"/>
      <c r="L73" s="86"/>
      <c r="M73" s="86"/>
      <c r="O73" s="100"/>
      <c r="P73" s="143"/>
      <c r="Q73" s="90"/>
      <c r="R73" s="91"/>
      <c r="S73" s="144" t="s">
        <v>90</v>
      </c>
      <c r="T73" s="112" t="s">
        <v>43</v>
      </c>
      <c r="U73" s="106"/>
      <c r="V73" s="107">
        <v>6</v>
      </c>
      <c r="W73" s="160"/>
      <c r="X73" s="161"/>
      <c r="Y73" s="20">
        <f t="shared" si="3"/>
        <v>0</v>
      </c>
      <c r="AA73" s="98">
        <f t="shared" si="4"/>
        <v>0</v>
      </c>
      <c r="AB73" s="98">
        <f t="shared" si="5"/>
        <v>0</v>
      </c>
      <c r="AC73" s="110"/>
      <c r="AD73" s="77"/>
      <c r="AE73" s="77"/>
      <c r="AF73" s="75"/>
      <c r="AG73" s="75"/>
      <c r="AH73" s="75"/>
      <c r="AI73" s="75"/>
    </row>
    <row r="74" spans="1:35" ht="22.35" customHeight="1" thickBot="1" x14ac:dyDescent="0.3">
      <c r="A74" s="148"/>
      <c r="B74" s="149"/>
      <c r="C74" s="150"/>
      <c r="D74" s="151"/>
      <c r="E74" s="151"/>
      <c r="F74" s="141"/>
      <c r="H74" s="99"/>
      <c r="I74" s="152"/>
      <c r="J74" s="153"/>
      <c r="K74" s="85"/>
      <c r="L74" s="85"/>
      <c r="M74" s="85"/>
      <c r="O74" s="100"/>
      <c r="P74" s="154"/>
      <c r="Q74" s="90"/>
      <c r="R74" s="91"/>
      <c r="S74" s="155" t="s">
        <v>90</v>
      </c>
      <c r="T74" s="124" t="s">
        <v>43</v>
      </c>
      <c r="U74" s="125"/>
      <c r="V74" s="156">
        <v>6</v>
      </c>
      <c r="W74" s="113"/>
      <c r="X74" s="114"/>
      <c r="Y74" s="20">
        <f t="shared" si="3"/>
        <v>0</v>
      </c>
      <c r="AA74" s="98">
        <f t="shared" si="4"/>
        <v>0</v>
      </c>
      <c r="AB74" s="98">
        <f t="shared" si="5"/>
        <v>0</v>
      </c>
      <c r="AC74" s="110"/>
      <c r="AD74" s="77"/>
      <c r="AE74" s="77"/>
      <c r="AF74" s="75"/>
      <c r="AG74" s="75"/>
      <c r="AH74" s="75"/>
      <c r="AI74" s="75"/>
    </row>
    <row r="75" spans="1:35" ht="22.35" customHeight="1" thickBot="1" x14ac:dyDescent="0.3">
      <c r="A75" s="157"/>
      <c r="B75" s="127"/>
      <c r="C75" s="128"/>
      <c r="D75" s="129"/>
      <c r="E75" s="129"/>
      <c r="F75" s="130"/>
      <c r="G75" s="132"/>
      <c r="H75" s="99"/>
      <c r="I75" s="158"/>
      <c r="J75" s="129"/>
      <c r="K75" s="159"/>
      <c r="L75" s="133"/>
      <c r="M75" s="133"/>
      <c r="N75" s="134"/>
      <c r="O75" s="135"/>
      <c r="P75" s="136"/>
      <c r="Q75" s="137"/>
      <c r="R75" s="138"/>
      <c r="S75" s="139" t="s">
        <v>90</v>
      </c>
      <c r="T75" s="140" t="s">
        <v>43</v>
      </c>
      <c r="U75" s="94"/>
      <c r="V75" s="95">
        <v>7</v>
      </c>
      <c r="W75" s="96"/>
      <c r="X75" s="97"/>
      <c r="Y75" s="20">
        <f t="shared" si="3"/>
        <v>0</v>
      </c>
      <c r="AA75" s="98">
        <f t="shared" si="4"/>
        <v>0</v>
      </c>
      <c r="AB75" s="98">
        <f t="shared" si="5"/>
        <v>0</v>
      </c>
      <c r="AC75" s="110"/>
      <c r="AD75" s="77"/>
      <c r="AE75" s="77"/>
      <c r="AF75" s="75"/>
      <c r="AG75" s="75"/>
      <c r="AH75" s="75"/>
      <c r="AI75" s="75"/>
    </row>
    <row r="76" spans="1:35" ht="22.35" customHeight="1" thickBot="1" x14ac:dyDescent="0.3">
      <c r="A76" s="79"/>
      <c r="B76" s="80"/>
      <c r="F76" s="141"/>
      <c r="H76" s="99"/>
      <c r="I76" s="84"/>
      <c r="K76" s="86"/>
      <c r="L76" s="86"/>
      <c r="M76" s="86"/>
      <c r="O76" s="100"/>
      <c r="P76" s="143"/>
      <c r="Q76" s="102"/>
      <c r="R76" s="103"/>
      <c r="S76" s="144" t="s">
        <v>90</v>
      </c>
      <c r="T76" s="112" t="s">
        <v>43</v>
      </c>
      <c r="U76" s="106"/>
      <c r="V76" s="107">
        <v>7</v>
      </c>
      <c r="W76" s="108"/>
      <c r="X76" s="109"/>
      <c r="Y76" s="20">
        <f t="shared" si="3"/>
        <v>0</v>
      </c>
      <c r="AA76" s="98">
        <f t="shared" si="4"/>
        <v>0</v>
      </c>
      <c r="AB76" s="98">
        <f t="shared" si="5"/>
        <v>0</v>
      </c>
      <c r="AC76" s="110"/>
      <c r="AD76" s="77"/>
      <c r="AE76" s="77"/>
      <c r="AF76" s="75"/>
      <c r="AG76" s="75"/>
      <c r="AH76" s="75"/>
      <c r="AI76" s="75"/>
    </row>
    <row r="77" spans="1:35" ht="22.35" customHeight="1" thickBot="1" x14ac:dyDescent="0.3">
      <c r="A77" s="79"/>
      <c r="B77" s="80"/>
      <c r="F77" s="141"/>
      <c r="H77" s="99"/>
      <c r="I77" s="84"/>
      <c r="K77" s="86"/>
      <c r="L77" s="86"/>
      <c r="M77" s="86"/>
      <c r="O77" s="100"/>
      <c r="P77" s="143"/>
      <c r="Q77" s="90"/>
      <c r="R77" s="91"/>
      <c r="S77" s="144" t="s">
        <v>90</v>
      </c>
      <c r="T77" s="112" t="s">
        <v>43</v>
      </c>
      <c r="U77" s="106"/>
      <c r="V77" s="107">
        <v>7</v>
      </c>
      <c r="W77" s="108"/>
      <c r="X77" s="109"/>
      <c r="Y77" s="20">
        <f t="shared" si="3"/>
        <v>0</v>
      </c>
      <c r="AA77" s="98">
        <f t="shared" si="4"/>
        <v>0</v>
      </c>
      <c r="AB77" s="98">
        <f t="shared" si="5"/>
        <v>0</v>
      </c>
      <c r="AC77" s="110"/>
      <c r="AD77" s="77"/>
      <c r="AE77" s="77"/>
      <c r="AF77" s="75"/>
      <c r="AG77" s="75"/>
      <c r="AH77" s="75"/>
      <c r="AI77" s="75"/>
    </row>
    <row r="78" spans="1:35" ht="22.35" customHeight="1" thickBot="1" x14ac:dyDescent="0.3">
      <c r="A78" s="79"/>
      <c r="B78" s="80"/>
      <c r="F78" s="141"/>
      <c r="H78" s="99"/>
      <c r="I78" s="84"/>
      <c r="K78" s="86"/>
      <c r="L78" s="86"/>
      <c r="M78" s="86"/>
      <c r="O78" s="100"/>
      <c r="P78" s="143"/>
      <c r="Q78" s="90"/>
      <c r="R78" s="91"/>
      <c r="S78" s="144" t="s">
        <v>90</v>
      </c>
      <c r="T78" s="112" t="s">
        <v>43</v>
      </c>
      <c r="U78" s="106"/>
      <c r="V78" s="107">
        <v>7</v>
      </c>
      <c r="W78" s="108"/>
      <c r="X78" s="109"/>
      <c r="Y78" s="20">
        <f t="shared" si="3"/>
        <v>0</v>
      </c>
      <c r="AA78" s="98">
        <f t="shared" si="4"/>
        <v>0</v>
      </c>
      <c r="AB78" s="98">
        <f t="shared" si="5"/>
        <v>0</v>
      </c>
      <c r="AC78" s="110"/>
      <c r="AD78" s="77"/>
      <c r="AE78" s="77"/>
      <c r="AF78" s="75"/>
      <c r="AG78" s="75"/>
      <c r="AH78" s="75"/>
      <c r="AI78" s="75"/>
    </row>
    <row r="79" spans="1:35" ht="22.35" customHeight="1" thickBot="1" x14ac:dyDescent="0.3">
      <c r="A79" s="79"/>
      <c r="B79" s="80"/>
      <c r="F79" s="141"/>
      <c r="H79" s="99"/>
      <c r="I79" s="84"/>
      <c r="K79" s="86"/>
      <c r="L79" s="86"/>
      <c r="M79" s="86"/>
      <c r="O79" s="100"/>
      <c r="P79" s="143"/>
      <c r="Q79" s="90"/>
      <c r="R79" s="91"/>
      <c r="S79" s="144" t="s">
        <v>90</v>
      </c>
      <c r="T79" s="112" t="s">
        <v>43</v>
      </c>
      <c r="U79" s="106"/>
      <c r="V79" s="107">
        <v>7</v>
      </c>
      <c r="W79" s="108"/>
      <c r="X79" s="109"/>
      <c r="Y79" s="20">
        <f t="shared" si="3"/>
        <v>0</v>
      </c>
      <c r="AA79" s="98">
        <f t="shared" si="4"/>
        <v>0</v>
      </c>
      <c r="AB79" s="98">
        <f t="shared" si="5"/>
        <v>0</v>
      </c>
      <c r="AC79" s="110"/>
      <c r="AD79" s="77"/>
      <c r="AE79" s="77"/>
      <c r="AF79" s="75"/>
      <c r="AG79" s="75"/>
      <c r="AH79" s="75"/>
      <c r="AI79" s="75"/>
    </row>
    <row r="80" spans="1:35" ht="22.35" customHeight="1" thickBot="1" x14ac:dyDescent="0.3">
      <c r="A80" s="79"/>
      <c r="B80" s="80"/>
      <c r="F80" s="141"/>
      <c r="H80" s="99"/>
      <c r="I80" s="84"/>
      <c r="K80" s="86"/>
      <c r="L80" s="86"/>
      <c r="M80" s="86"/>
      <c r="O80" s="100"/>
      <c r="P80" s="143"/>
      <c r="Q80" s="90"/>
      <c r="R80" s="91"/>
      <c r="S80" s="144" t="s">
        <v>90</v>
      </c>
      <c r="T80" s="112" t="s">
        <v>43</v>
      </c>
      <c r="U80" s="106"/>
      <c r="V80" s="107">
        <v>7</v>
      </c>
      <c r="W80" s="108"/>
      <c r="X80" s="109"/>
      <c r="Y80" s="20">
        <f t="shared" si="3"/>
        <v>0</v>
      </c>
      <c r="AA80" s="98">
        <f t="shared" si="4"/>
        <v>0</v>
      </c>
      <c r="AB80" s="98">
        <f t="shared" si="5"/>
        <v>0</v>
      </c>
      <c r="AC80" s="110"/>
      <c r="AD80" s="77"/>
      <c r="AE80" s="77"/>
      <c r="AF80" s="75"/>
      <c r="AG80" s="75"/>
      <c r="AH80" s="75"/>
      <c r="AI80" s="75"/>
    </row>
    <row r="81" spans="1:35" ht="22.35" customHeight="1" thickBot="1" x14ac:dyDescent="0.3">
      <c r="A81" s="79"/>
      <c r="B81" s="80"/>
      <c r="D81" s="23" t="s">
        <v>95</v>
      </c>
      <c r="F81" s="141"/>
      <c r="H81" s="99"/>
      <c r="I81" s="84"/>
      <c r="K81" s="86"/>
      <c r="L81" s="86"/>
      <c r="M81" s="86"/>
      <c r="O81" s="100"/>
      <c r="P81" s="143"/>
      <c r="Q81" s="90"/>
      <c r="R81" s="91"/>
      <c r="S81" s="144" t="s">
        <v>90</v>
      </c>
      <c r="T81" s="112" t="s">
        <v>43</v>
      </c>
      <c r="U81" s="106"/>
      <c r="V81" s="107">
        <v>7</v>
      </c>
      <c r="W81" s="108"/>
      <c r="X81" s="109"/>
      <c r="Y81" s="20">
        <f t="shared" si="3"/>
        <v>0</v>
      </c>
      <c r="AA81" s="98">
        <f t="shared" si="4"/>
        <v>0</v>
      </c>
      <c r="AB81" s="98">
        <f t="shared" si="5"/>
        <v>0</v>
      </c>
      <c r="AC81" s="110"/>
      <c r="AD81" s="77"/>
      <c r="AE81" s="77"/>
      <c r="AF81" s="75"/>
      <c r="AG81" s="75"/>
      <c r="AH81" s="75"/>
      <c r="AI81" s="75"/>
    </row>
    <row r="82" spans="1:35" ht="22.35" customHeight="1" thickBot="1" x14ac:dyDescent="0.3">
      <c r="A82" s="79"/>
      <c r="B82" s="80"/>
      <c r="F82" s="141"/>
      <c r="H82" s="99"/>
      <c r="I82" s="84"/>
      <c r="K82" s="86"/>
      <c r="L82" s="86"/>
      <c r="M82" s="86"/>
      <c r="O82" s="100"/>
      <c r="P82" s="143"/>
      <c r="Q82" s="90"/>
      <c r="R82" s="91"/>
      <c r="S82" s="144" t="s">
        <v>90</v>
      </c>
      <c r="T82" s="112" t="s">
        <v>43</v>
      </c>
      <c r="U82" s="106"/>
      <c r="V82" s="107">
        <v>7</v>
      </c>
      <c r="W82" s="108"/>
      <c r="X82" s="109"/>
      <c r="Y82" s="20">
        <f t="shared" si="3"/>
        <v>0</v>
      </c>
      <c r="AA82" s="98">
        <f t="shared" si="4"/>
        <v>0</v>
      </c>
      <c r="AB82" s="98">
        <f t="shared" si="5"/>
        <v>0</v>
      </c>
      <c r="AC82" s="110"/>
      <c r="AD82" s="77"/>
      <c r="AE82" s="77"/>
      <c r="AF82" s="75"/>
      <c r="AG82" s="75"/>
      <c r="AH82" s="75"/>
      <c r="AI82" s="75"/>
    </row>
    <row r="83" spans="1:35" ht="22.35" customHeight="1" thickBot="1" x14ac:dyDescent="0.3">
      <c r="A83" s="79"/>
      <c r="B83" s="80"/>
      <c r="F83" s="141"/>
      <c r="H83" s="99"/>
      <c r="I83" s="84"/>
      <c r="K83" s="86"/>
      <c r="L83" s="86"/>
      <c r="M83" s="86"/>
      <c r="O83" s="100"/>
      <c r="P83" s="143"/>
      <c r="Q83" s="90"/>
      <c r="R83" s="91"/>
      <c r="S83" s="144" t="s">
        <v>90</v>
      </c>
      <c r="T83" s="112" t="s">
        <v>43</v>
      </c>
      <c r="U83" s="106"/>
      <c r="V83" s="107">
        <v>7</v>
      </c>
      <c r="W83" s="108"/>
      <c r="X83" s="109"/>
      <c r="Y83" s="20">
        <f t="shared" si="3"/>
        <v>0</v>
      </c>
      <c r="AA83" s="98">
        <f t="shared" si="4"/>
        <v>0</v>
      </c>
      <c r="AB83" s="98">
        <f t="shared" si="5"/>
        <v>0</v>
      </c>
      <c r="AC83" s="110"/>
      <c r="AD83" s="77"/>
      <c r="AE83" s="77"/>
      <c r="AF83" s="75"/>
      <c r="AG83" s="75"/>
      <c r="AH83" s="75"/>
      <c r="AI83" s="75"/>
    </row>
    <row r="84" spans="1:35" ht="22.35" customHeight="1" thickBot="1" x14ac:dyDescent="0.3">
      <c r="A84" s="79"/>
      <c r="B84" s="80"/>
      <c r="F84" s="141"/>
      <c r="H84" s="99"/>
      <c r="I84" s="84"/>
      <c r="K84" s="86"/>
      <c r="L84" s="86"/>
      <c r="M84" s="86"/>
      <c r="O84" s="100"/>
      <c r="P84" s="143"/>
      <c r="Q84" s="90"/>
      <c r="R84" s="91"/>
      <c r="S84" s="144" t="s">
        <v>90</v>
      </c>
      <c r="T84" s="112" t="s">
        <v>43</v>
      </c>
      <c r="U84" s="106"/>
      <c r="V84" s="107">
        <v>7</v>
      </c>
      <c r="W84" s="160"/>
      <c r="X84" s="161"/>
      <c r="Y84" s="20">
        <f t="shared" si="3"/>
        <v>0</v>
      </c>
      <c r="AA84" s="98">
        <f t="shared" si="4"/>
        <v>0</v>
      </c>
      <c r="AB84" s="98">
        <f t="shared" si="5"/>
        <v>0</v>
      </c>
      <c r="AC84" s="110"/>
      <c r="AD84" s="77"/>
      <c r="AE84" s="77"/>
      <c r="AF84" s="75"/>
      <c r="AG84" s="75"/>
      <c r="AH84" s="75"/>
      <c r="AI84" s="75"/>
    </row>
    <row r="85" spans="1:35" ht="22.35" customHeight="1" thickBot="1" x14ac:dyDescent="0.3">
      <c r="A85" s="79"/>
      <c r="B85" s="80"/>
      <c r="F85" s="141"/>
      <c r="H85" s="99"/>
      <c r="I85" s="84"/>
      <c r="K85" s="86"/>
      <c r="L85" s="86"/>
      <c r="M85" s="86"/>
      <c r="O85" s="100"/>
      <c r="P85" s="143"/>
      <c r="Q85" s="90"/>
      <c r="R85" s="91"/>
      <c r="S85" s="144" t="s">
        <v>90</v>
      </c>
      <c r="T85" s="112" t="s">
        <v>43</v>
      </c>
      <c r="U85" s="106"/>
      <c r="V85" s="107">
        <v>7</v>
      </c>
      <c r="W85" s="160"/>
      <c r="X85" s="161"/>
      <c r="Y85" s="20">
        <f t="shared" si="3"/>
        <v>0</v>
      </c>
      <c r="AA85" s="98">
        <f t="shared" si="4"/>
        <v>0</v>
      </c>
      <c r="AB85" s="98">
        <f t="shared" si="5"/>
        <v>0</v>
      </c>
      <c r="AC85" s="110"/>
      <c r="AD85" s="77"/>
      <c r="AE85" s="77"/>
      <c r="AF85" s="75"/>
      <c r="AG85" s="75"/>
      <c r="AH85" s="75"/>
      <c r="AI85" s="75"/>
    </row>
    <row r="86" spans="1:35" ht="22.35" customHeight="1" thickBot="1" x14ac:dyDescent="0.3">
      <c r="A86" s="148"/>
      <c r="B86" s="149"/>
      <c r="C86" s="150"/>
      <c r="D86" s="151"/>
      <c r="E86" s="151"/>
      <c r="F86" s="141"/>
      <c r="H86" s="99"/>
      <c r="I86" s="152"/>
      <c r="J86" s="153"/>
      <c r="K86" s="85"/>
      <c r="L86" s="85"/>
      <c r="M86" s="85"/>
      <c r="O86" s="100"/>
      <c r="P86" s="154"/>
      <c r="Q86" s="90"/>
      <c r="R86" s="91"/>
      <c r="S86" s="155" t="s">
        <v>90</v>
      </c>
      <c r="T86" s="124" t="s">
        <v>43</v>
      </c>
      <c r="U86" s="125"/>
      <c r="V86" s="156">
        <v>7</v>
      </c>
      <c r="W86" s="113"/>
      <c r="X86" s="114"/>
      <c r="Y86" s="20">
        <f t="shared" si="3"/>
        <v>0</v>
      </c>
      <c r="AA86" s="98">
        <f t="shared" si="4"/>
        <v>0</v>
      </c>
      <c r="AB86" s="98">
        <f t="shared" si="5"/>
        <v>0</v>
      </c>
      <c r="AC86" s="110"/>
      <c r="AD86" s="77"/>
      <c r="AE86" s="77"/>
      <c r="AF86" s="75"/>
      <c r="AG86" s="75"/>
      <c r="AH86" s="75"/>
      <c r="AI86" s="75"/>
    </row>
    <row r="87" spans="1:35" ht="22.35" customHeight="1" thickBot="1" x14ac:dyDescent="0.3">
      <c r="A87" s="157"/>
      <c r="B87" s="127"/>
      <c r="C87" s="128"/>
      <c r="D87" s="129"/>
      <c r="E87" s="129"/>
      <c r="F87" s="130"/>
      <c r="G87" s="132"/>
      <c r="H87" s="99"/>
      <c r="I87" s="158"/>
      <c r="J87" s="129"/>
      <c r="K87" s="159"/>
      <c r="L87" s="133"/>
      <c r="M87" s="133"/>
      <c r="N87" s="134"/>
      <c r="O87" s="135"/>
      <c r="P87" s="136"/>
      <c r="Q87" s="137"/>
      <c r="R87" s="138"/>
      <c r="S87" s="139" t="s">
        <v>90</v>
      </c>
      <c r="T87" s="140" t="s">
        <v>43</v>
      </c>
      <c r="U87" s="94"/>
      <c r="V87" s="95">
        <v>8</v>
      </c>
      <c r="W87" s="96"/>
      <c r="X87" s="97"/>
      <c r="Y87" s="20">
        <f t="shared" si="3"/>
        <v>0</v>
      </c>
      <c r="AA87" s="98">
        <f t="shared" si="4"/>
        <v>0</v>
      </c>
      <c r="AB87" s="98">
        <f t="shared" si="5"/>
        <v>0</v>
      </c>
      <c r="AC87" s="110"/>
      <c r="AD87" s="77"/>
      <c r="AE87" s="77"/>
      <c r="AF87" s="75"/>
      <c r="AG87" s="75"/>
      <c r="AH87" s="75"/>
      <c r="AI87" s="75"/>
    </row>
    <row r="88" spans="1:35" ht="22.35" customHeight="1" thickBot="1" x14ac:dyDescent="0.3">
      <c r="A88" s="79"/>
      <c r="B88" s="80"/>
      <c r="F88" s="141"/>
      <c r="H88" s="99"/>
      <c r="I88" s="84"/>
      <c r="K88" s="86"/>
      <c r="L88" s="86"/>
      <c r="M88" s="86"/>
      <c r="O88" s="100"/>
      <c r="P88" s="143"/>
      <c r="Q88" s="102"/>
      <c r="R88" s="103"/>
      <c r="S88" s="144" t="s">
        <v>90</v>
      </c>
      <c r="T88" s="112" t="s">
        <v>43</v>
      </c>
      <c r="U88" s="106"/>
      <c r="V88" s="107">
        <v>8</v>
      </c>
      <c r="W88" s="108"/>
      <c r="X88" s="109"/>
      <c r="Y88" s="20">
        <f t="shared" si="3"/>
        <v>0</v>
      </c>
      <c r="AA88" s="98">
        <f t="shared" si="4"/>
        <v>0</v>
      </c>
      <c r="AB88" s="98">
        <f t="shared" si="5"/>
        <v>0</v>
      </c>
      <c r="AC88" s="110"/>
      <c r="AD88" s="77"/>
      <c r="AE88" s="77"/>
      <c r="AF88" s="75"/>
      <c r="AG88" s="75"/>
      <c r="AH88" s="75"/>
      <c r="AI88" s="75"/>
    </row>
    <row r="89" spans="1:35" ht="22.35" customHeight="1" thickBot="1" x14ac:dyDescent="0.3">
      <c r="A89" s="79"/>
      <c r="B89" s="80"/>
      <c r="F89" s="141"/>
      <c r="H89" s="99"/>
      <c r="I89" s="84"/>
      <c r="K89" s="86"/>
      <c r="L89" s="86"/>
      <c r="M89" s="86"/>
      <c r="O89" s="100"/>
      <c r="P89" s="143"/>
      <c r="Q89" s="90"/>
      <c r="R89" s="91"/>
      <c r="S89" s="144" t="s">
        <v>90</v>
      </c>
      <c r="T89" s="112" t="s">
        <v>43</v>
      </c>
      <c r="U89" s="106"/>
      <c r="V89" s="107">
        <v>8</v>
      </c>
      <c r="W89" s="108"/>
      <c r="X89" s="109"/>
      <c r="Y89" s="20">
        <f t="shared" si="3"/>
        <v>0</v>
      </c>
      <c r="AA89" s="98">
        <f t="shared" si="4"/>
        <v>0</v>
      </c>
      <c r="AB89" s="98">
        <f t="shared" si="5"/>
        <v>0</v>
      </c>
      <c r="AC89" s="110"/>
      <c r="AD89" s="77"/>
      <c r="AE89" s="77"/>
      <c r="AF89" s="75"/>
      <c r="AG89" s="75"/>
      <c r="AH89" s="75"/>
      <c r="AI89" s="75"/>
    </row>
    <row r="90" spans="1:35" ht="22.35" customHeight="1" thickBot="1" x14ac:dyDescent="0.3">
      <c r="A90" s="79"/>
      <c r="B90" s="80"/>
      <c r="F90" s="141"/>
      <c r="H90" s="99"/>
      <c r="I90" s="84"/>
      <c r="K90" s="86"/>
      <c r="L90" s="86"/>
      <c r="M90" s="86"/>
      <c r="O90" s="100"/>
      <c r="P90" s="143"/>
      <c r="Q90" s="90"/>
      <c r="R90" s="91"/>
      <c r="S90" s="144" t="s">
        <v>90</v>
      </c>
      <c r="T90" s="112" t="s">
        <v>43</v>
      </c>
      <c r="U90" s="106"/>
      <c r="V90" s="107">
        <v>8</v>
      </c>
      <c r="W90" s="108"/>
      <c r="X90" s="109"/>
      <c r="Y90" s="20">
        <f t="shared" si="3"/>
        <v>0</v>
      </c>
      <c r="AA90" s="98">
        <f t="shared" si="4"/>
        <v>0</v>
      </c>
      <c r="AB90" s="98">
        <f t="shared" si="5"/>
        <v>0</v>
      </c>
      <c r="AC90" s="110"/>
      <c r="AD90" s="77"/>
      <c r="AE90" s="77"/>
      <c r="AF90" s="75"/>
      <c r="AG90" s="75"/>
      <c r="AH90" s="75"/>
      <c r="AI90" s="75"/>
    </row>
    <row r="91" spans="1:35" ht="22.35" customHeight="1" thickBot="1" x14ac:dyDescent="0.3">
      <c r="A91" s="79"/>
      <c r="B91" s="80"/>
      <c r="F91" s="141"/>
      <c r="H91" s="99"/>
      <c r="I91" s="84"/>
      <c r="K91" s="86"/>
      <c r="L91" s="86"/>
      <c r="M91" s="86"/>
      <c r="O91" s="100"/>
      <c r="P91" s="143"/>
      <c r="Q91" s="90"/>
      <c r="R91" s="91"/>
      <c r="S91" s="144" t="s">
        <v>90</v>
      </c>
      <c r="T91" s="112" t="s">
        <v>43</v>
      </c>
      <c r="U91" s="106"/>
      <c r="V91" s="107">
        <v>8</v>
      </c>
      <c r="W91" s="108"/>
      <c r="X91" s="109"/>
      <c r="Y91" s="20">
        <f t="shared" si="3"/>
        <v>0</v>
      </c>
      <c r="AA91" s="98">
        <f t="shared" si="4"/>
        <v>0</v>
      </c>
      <c r="AB91" s="98">
        <f t="shared" si="5"/>
        <v>0</v>
      </c>
      <c r="AC91" s="110"/>
      <c r="AD91" s="77"/>
      <c r="AE91" s="77"/>
      <c r="AF91" s="75"/>
      <c r="AG91" s="75"/>
      <c r="AH91" s="75"/>
      <c r="AI91" s="75"/>
    </row>
    <row r="92" spans="1:35" ht="22.35" customHeight="1" thickBot="1" x14ac:dyDescent="0.3">
      <c r="A92" s="79"/>
      <c r="B92" s="80"/>
      <c r="F92" s="141"/>
      <c r="H92" s="99"/>
      <c r="I92" s="84"/>
      <c r="K92" s="86"/>
      <c r="L92" s="86"/>
      <c r="M92" s="86"/>
      <c r="O92" s="100"/>
      <c r="P92" s="143"/>
      <c r="Q92" s="90"/>
      <c r="R92" s="91"/>
      <c r="S92" s="144" t="s">
        <v>90</v>
      </c>
      <c r="T92" s="112" t="s">
        <v>43</v>
      </c>
      <c r="U92" s="106"/>
      <c r="V92" s="107">
        <v>8</v>
      </c>
      <c r="W92" s="108"/>
      <c r="X92" s="109"/>
      <c r="Y92" s="20">
        <f t="shared" si="3"/>
        <v>0</v>
      </c>
      <c r="AA92" s="98">
        <f t="shared" si="4"/>
        <v>0</v>
      </c>
      <c r="AB92" s="98">
        <f t="shared" si="5"/>
        <v>0</v>
      </c>
      <c r="AC92" s="110"/>
      <c r="AD92" s="77"/>
      <c r="AE92" s="77"/>
      <c r="AF92" s="75"/>
      <c r="AG92" s="75"/>
      <c r="AH92" s="75"/>
      <c r="AI92" s="75"/>
    </row>
    <row r="93" spans="1:35" ht="22.35" customHeight="1" thickBot="1" x14ac:dyDescent="0.3">
      <c r="A93" s="79"/>
      <c r="B93" s="80"/>
      <c r="D93" s="23" t="s">
        <v>96</v>
      </c>
      <c r="F93" s="141"/>
      <c r="H93" s="99"/>
      <c r="I93" s="84"/>
      <c r="K93" s="86"/>
      <c r="L93" s="86"/>
      <c r="M93" s="86"/>
      <c r="O93" s="100"/>
      <c r="P93" s="143"/>
      <c r="Q93" s="90"/>
      <c r="R93" s="91"/>
      <c r="S93" s="144" t="s">
        <v>90</v>
      </c>
      <c r="T93" s="112" t="s">
        <v>43</v>
      </c>
      <c r="U93" s="106"/>
      <c r="V93" s="107">
        <v>8</v>
      </c>
      <c r="W93" s="108"/>
      <c r="X93" s="109"/>
      <c r="Y93" s="20">
        <f t="shared" si="3"/>
        <v>0</v>
      </c>
      <c r="AA93" s="98">
        <f t="shared" si="4"/>
        <v>0</v>
      </c>
      <c r="AB93" s="98">
        <f t="shared" si="5"/>
        <v>0</v>
      </c>
      <c r="AC93" s="110"/>
      <c r="AD93" s="77"/>
      <c r="AE93" s="77"/>
      <c r="AF93" s="75"/>
      <c r="AG93" s="75"/>
      <c r="AH93" s="75"/>
      <c r="AI93" s="75"/>
    </row>
    <row r="94" spans="1:35" ht="22.35" customHeight="1" thickBot="1" x14ac:dyDescent="0.3">
      <c r="A94" s="79"/>
      <c r="B94" s="80"/>
      <c r="F94" s="141"/>
      <c r="H94" s="99"/>
      <c r="I94" s="84"/>
      <c r="K94" s="86"/>
      <c r="L94" s="86"/>
      <c r="M94" s="86"/>
      <c r="O94" s="100"/>
      <c r="P94" s="143"/>
      <c r="Q94" s="90"/>
      <c r="R94" s="91"/>
      <c r="S94" s="144" t="s">
        <v>90</v>
      </c>
      <c r="T94" s="112" t="s">
        <v>43</v>
      </c>
      <c r="U94" s="106"/>
      <c r="V94" s="107">
        <v>8</v>
      </c>
      <c r="W94" s="108"/>
      <c r="X94" s="109"/>
      <c r="Y94" s="20">
        <f t="shared" si="3"/>
        <v>0</v>
      </c>
      <c r="AA94" s="98">
        <f t="shared" si="4"/>
        <v>0</v>
      </c>
      <c r="AB94" s="98">
        <f t="shared" si="5"/>
        <v>0</v>
      </c>
      <c r="AC94" s="110"/>
      <c r="AD94" s="77"/>
      <c r="AE94" s="77"/>
      <c r="AF94" s="75"/>
      <c r="AG94" s="75"/>
      <c r="AH94" s="75"/>
      <c r="AI94" s="75"/>
    </row>
    <row r="95" spans="1:35" ht="22.35" customHeight="1" thickBot="1" x14ac:dyDescent="0.3">
      <c r="A95" s="79"/>
      <c r="B95" s="80"/>
      <c r="F95" s="141"/>
      <c r="H95" s="99"/>
      <c r="I95" s="84"/>
      <c r="K95" s="86"/>
      <c r="L95" s="86"/>
      <c r="M95" s="86"/>
      <c r="O95" s="100"/>
      <c r="P95" s="143"/>
      <c r="Q95" s="90"/>
      <c r="R95" s="91"/>
      <c r="S95" s="144" t="s">
        <v>90</v>
      </c>
      <c r="T95" s="112" t="s">
        <v>43</v>
      </c>
      <c r="U95" s="106"/>
      <c r="V95" s="107">
        <v>8</v>
      </c>
      <c r="W95" s="108"/>
      <c r="X95" s="109"/>
      <c r="Y95" s="20">
        <f t="shared" si="3"/>
        <v>0</v>
      </c>
      <c r="AA95" s="98">
        <f t="shared" si="4"/>
        <v>0</v>
      </c>
      <c r="AB95" s="98">
        <f t="shared" si="5"/>
        <v>0</v>
      </c>
      <c r="AC95" s="110"/>
      <c r="AD95" s="77"/>
      <c r="AE95" s="77"/>
      <c r="AF95" s="75"/>
      <c r="AG95" s="75"/>
      <c r="AH95" s="75"/>
      <c r="AI95" s="75"/>
    </row>
    <row r="96" spans="1:35" ht="22.35" customHeight="1" thickBot="1" x14ac:dyDescent="0.3">
      <c r="A96" s="79"/>
      <c r="B96" s="80"/>
      <c r="F96" s="141"/>
      <c r="H96" s="99"/>
      <c r="I96" s="84"/>
      <c r="K96" s="86"/>
      <c r="L96" s="86"/>
      <c r="M96" s="86"/>
      <c r="O96" s="100"/>
      <c r="P96" s="143"/>
      <c r="Q96" s="90"/>
      <c r="R96" s="91"/>
      <c r="S96" s="144" t="s">
        <v>90</v>
      </c>
      <c r="T96" s="112" t="s">
        <v>43</v>
      </c>
      <c r="U96" s="106"/>
      <c r="V96" s="107">
        <v>8</v>
      </c>
      <c r="W96" s="160"/>
      <c r="X96" s="161"/>
      <c r="Y96" s="20">
        <f t="shared" si="3"/>
        <v>0</v>
      </c>
      <c r="AA96" s="98">
        <f t="shared" si="4"/>
        <v>0</v>
      </c>
      <c r="AB96" s="98">
        <f t="shared" si="5"/>
        <v>0</v>
      </c>
      <c r="AC96" s="110"/>
      <c r="AD96" s="77"/>
      <c r="AE96" s="77"/>
      <c r="AF96" s="75"/>
      <c r="AG96" s="75"/>
      <c r="AH96" s="75"/>
      <c r="AI96" s="75"/>
    </row>
    <row r="97" spans="1:35" ht="22.35" customHeight="1" thickBot="1" x14ac:dyDescent="0.3">
      <c r="A97" s="79"/>
      <c r="B97" s="80"/>
      <c r="F97" s="141"/>
      <c r="H97" s="99"/>
      <c r="I97" s="84"/>
      <c r="K97" s="86"/>
      <c r="L97" s="86"/>
      <c r="M97" s="86"/>
      <c r="O97" s="100"/>
      <c r="P97" s="143"/>
      <c r="Q97" s="90"/>
      <c r="R97" s="91"/>
      <c r="S97" s="144" t="s">
        <v>90</v>
      </c>
      <c r="T97" s="112" t="s">
        <v>43</v>
      </c>
      <c r="U97" s="106"/>
      <c r="V97" s="107">
        <v>8</v>
      </c>
      <c r="W97" s="160"/>
      <c r="X97" s="161"/>
      <c r="Y97" s="20">
        <f t="shared" si="3"/>
        <v>0</v>
      </c>
      <c r="AA97" s="98">
        <f t="shared" si="4"/>
        <v>0</v>
      </c>
      <c r="AB97" s="98">
        <f t="shared" si="5"/>
        <v>0</v>
      </c>
      <c r="AC97" s="110"/>
      <c r="AD97" s="77"/>
      <c r="AE97" s="77"/>
      <c r="AF97" s="75"/>
      <c r="AG97" s="75"/>
      <c r="AH97" s="75"/>
      <c r="AI97" s="75"/>
    </row>
    <row r="98" spans="1:35" ht="22.35" customHeight="1" thickBot="1" x14ac:dyDescent="0.3">
      <c r="A98" s="148"/>
      <c r="B98" s="149"/>
      <c r="C98" s="150"/>
      <c r="D98" s="151"/>
      <c r="E98" s="151"/>
      <c r="F98" s="141"/>
      <c r="H98" s="99"/>
      <c r="I98" s="152"/>
      <c r="J98" s="153"/>
      <c r="K98" s="85"/>
      <c r="L98" s="85"/>
      <c r="M98" s="85"/>
      <c r="O98" s="100"/>
      <c r="P98" s="154"/>
      <c r="Q98" s="90"/>
      <c r="R98" s="91"/>
      <c r="S98" s="155" t="s">
        <v>90</v>
      </c>
      <c r="T98" s="124" t="s">
        <v>43</v>
      </c>
      <c r="U98" s="125"/>
      <c r="V98" s="156">
        <v>8</v>
      </c>
      <c r="W98" s="113"/>
      <c r="X98" s="114"/>
      <c r="Y98" s="20">
        <f t="shared" si="3"/>
        <v>0</v>
      </c>
      <c r="AA98" s="98">
        <f t="shared" si="4"/>
        <v>0</v>
      </c>
      <c r="AB98" s="98">
        <f t="shared" si="5"/>
        <v>0</v>
      </c>
      <c r="AC98" s="110"/>
      <c r="AD98" s="77"/>
      <c r="AE98" s="77"/>
      <c r="AF98" s="75"/>
      <c r="AG98" s="75"/>
      <c r="AH98" s="75"/>
      <c r="AI98" s="75"/>
    </row>
    <row r="99" spans="1:35" ht="22.35" customHeight="1" thickBot="1" x14ac:dyDescent="0.3">
      <c r="A99" s="157"/>
      <c r="B99" s="127"/>
      <c r="C99" s="128"/>
      <c r="D99" s="129"/>
      <c r="E99" s="129"/>
      <c r="F99" s="130"/>
      <c r="G99" s="132"/>
      <c r="H99" s="99"/>
      <c r="I99" s="158"/>
      <c r="J99" s="129"/>
      <c r="K99" s="159"/>
      <c r="L99" s="133"/>
      <c r="M99" s="133"/>
      <c r="N99" s="134"/>
      <c r="O99" s="135"/>
      <c r="P99" s="136"/>
      <c r="Q99" s="137"/>
      <c r="R99" s="138"/>
      <c r="S99" s="139" t="s">
        <v>90</v>
      </c>
      <c r="T99" s="140" t="s">
        <v>43</v>
      </c>
      <c r="U99" s="94"/>
      <c r="V99" s="95">
        <v>9</v>
      </c>
      <c r="W99" s="96"/>
      <c r="X99" s="97"/>
      <c r="Y99" s="20">
        <f t="shared" si="3"/>
        <v>0</v>
      </c>
      <c r="AA99" s="98">
        <f t="shared" si="4"/>
        <v>0</v>
      </c>
      <c r="AB99" s="98">
        <f t="shared" si="5"/>
        <v>0</v>
      </c>
      <c r="AC99" s="110"/>
      <c r="AD99" s="77"/>
      <c r="AE99" s="77"/>
      <c r="AF99" s="75"/>
      <c r="AG99" s="75"/>
      <c r="AH99" s="75"/>
      <c r="AI99" s="75"/>
    </row>
    <row r="100" spans="1:35" ht="22.35" customHeight="1" thickBot="1" x14ac:dyDescent="0.3">
      <c r="A100" s="79"/>
      <c r="B100" s="80"/>
      <c r="F100" s="141"/>
      <c r="H100" s="99"/>
      <c r="I100" s="84"/>
      <c r="K100" s="86"/>
      <c r="L100" s="86"/>
      <c r="M100" s="86"/>
      <c r="O100" s="100"/>
      <c r="P100" s="143"/>
      <c r="Q100" s="102"/>
      <c r="R100" s="103"/>
      <c r="S100" s="144" t="s">
        <v>90</v>
      </c>
      <c r="T100" s="112" t="s">
        <v>43</v>
      </c>
      <c r="U100" s="106"/>
      <c r="V100" s="107">
        <v>9</v>
      </c>
      <c r="W100" s="108"/>
      <c r="X100" s="109"/>
      <c r="Y100" s="20">
        <f t="shared" si="3"/>
        <v>0</v>
      </c>
      <c r="AA100" s="98">
        <f t="shared" si="4"/>
        <v>0</v>
      </c>
      <c r="AB100" s="98">
        <f t="shared" si="5"/>
        <v>0</v>
      </c>
      <c r="AC100" s="110"/>
      <c r="AD100" s="77"/>
      <c r="AE100" s="77"/>
      <c r="AF100" s="75"/>
      <c r="AG100" s="75"/>
      <c r="AH100" s="75"/>
      <c r="AI100" s="75"/>
    </row>
    <row r="101" spans="1:35" ht="22.35" customHeight="1" thickBot="1" x14ac:dyDescent="0.3">
      <c r="A101" s="79"/>
      <c r="B101" s="80"/>
      <c r="F101" s="141"/>
      <c r="H101" s="99"/>
      <c r="I101" s="84"/>
      <c r="K101" s="86"/>
      <c r="L101" s="86"/>
      <c r="M101" s="86"/>
      <c r="O101" s="100"/>
      <c r="P101" s="143"/>
      <c r="Q101" s="90"/>
      <c r="R101" s="91"/>
      <c r="S101" s="144" t="s">
        <v>90</v>
      </c>
      <c r="T101" s="112" t="s">
        <v>43</v>
      </c>
      <c r="U101" s="106"/>
      <c r="V101" s="107">
        <v>9</v>
      </c>
      <c r="W101" s="108"/>
      <c r="X101" s="109"/>
      <c r="Y101" s="20">
        <f t="shared" si="3"/>
        <v>0</v>
      </c>
      <c r="AA101" s="98">
        <f t="shared" si="4"/>
        <v>0</v>
      </c>
      <c r="AB101" s="98">
        <f t="shared" si="5"/>
        <v>0</v>
      </c>
      <c r="AC101" s="110"/>
      <c r="AD101" s="77"/>
      <c r="AE101" s="77"/>
      <c r="AF101" s="75"/>
      <c r="AG101" s="75"/>
      <c r="AH101" s="75"/>
      <c r="AI101" s="75"/>
    </row>
    <row r="102" spans="1:35" ht="22.35" customHeight="1" thickBot="1" x14ac:dyDescent="0.3">
      <c r="A102" s="79"/>
      <c r="B102" s="80"/>
      <c r="F102" s="141"/>
      <c r="H102" s="99"/>
      <c r="I102" s="84"/>
      <c r="K102" s="86"/>
      <c r="L102" s="86"/>
      <c r="M102" s="86"/>
      <c r="O102" s="100"/>
      <c r="P102" s="143"/>
      <c r="Q102" s="90"/>
      <c r="R102" s="91"/>
      <c r="S102" s="144" t="s">
        <v>90</v>
      </c>
      <c r="T102" s="112" t="s">
        <v>43</v>
      </c>
      <c r="U102" s="106"/>
      <c r="V102" s="107">
        <v>9</v>
      </c>
      <c r="W102" s="108"/>
      <c r="X102" s="109"/>
      <c r="Y102" s="20">
        <f t="shared" si="3"/>
        <v>0</v>
      </c>
      <c r="AA102" s="98">
        <f t="shared" si="4"/>
        <v>0</v>
      </c>
      <c r="AB102" s="98">
        <f t="shared" si="5"/>
        <v>0</v>
      </c>
      <c r="AC102" s="110"/>
      <c r="AD102" s="77"/>
      <c r="AE102" s="77"/>
      <c r="AF102" s="75"/>
      <c r="AG102" s="75"/>
      <c r="AH102" s="75"/>
      <c r="AI102" s="75"/>
    </row>
    <row r="103" spans="1:35" ht="22.35" customHeight="1" thickBot="1" x14ac:dyDescent="0.3">
      <c r="A103" s="79"/>
      <c r="B103" s="80"/>
      <c r="F103" s="141"/>
      <c r="H103" s="99"/>
      <c r="I103" s="84"/>
      <c r="K103" s="86"/>
      <c r="L103" s="86"/>
      <c r="M103" s="86"/>
      <c r="O103" s="100"/>
      <c r="P103" s="143"/>
      <c r="Q103" s="90"/>
      <c r="R103" s="91"/>
      <c r="S103" s="144" t="s">
        <v>90</v>
      </c>
      <c r="T103" s="112" t="s">
        <v>43</v>
      </c>
      <c r="U103" s="106"/>
      <c r="V103" s="107">
        <v>9</v>
      </c>
      <c r="W103" s="108"/>
      <c r="X103" s="109"/>
      <c r="Y103" s="20">
        <f t="shared" si="3"/>
        <v>0</v>
      </c>
      <c r="AA103" s="98">
        <f t="shared" si="4"/>
        <v>0</v>
      </c>
      <c r="AB103" s="98">
        <f t="shared" si="5"/>
        <v>0</v>
      </c>
      <c r="AC103" s="110"/>
      <c r="AD103" s="77"/>
      <c r="AE103" s="77"/>
      <c r="AF103" s="75"/>
      <c r="AG103" s="75"/>
      <c r="AH103" s="75"/>
      <c r="AI103" s="75"/>
    </row>
    <row r="104" spans="1:35" ht="22.35" customHeight="1" thickBot="1" x14ac:dyDescent="0.3">
      <c r="A104" s="79"/>
      <c r="B104" s="80"/>
      <c r="D104" s="23" t="s">
        <v>97</v>
      </c>
      <c r="F104" s="141"/>
      <c r="H104" s="99"/>
      <c r="I104" s="84"/>
      <c r="K104" s="86"/>
      <c r="L104" s="86"/>
      <c r="M104" s="86"/>
      <c r="O104" s="100"/>
      <c r="P104" s="143"/>
      <c r="Q104" s="90"/>
      <c r="R104" s="91"/>
      <c r="S104" s="144" t="s">
        <v>90</v>
      </c>
      <c r="T104" s="112" t="s">
        <v>43</v>
      </c>
      <c r="U104" s="106"/>
      <c r="V104" s="107">
        <v>9</v>
      </c>
      <c r="W104" s="108"/>
      <c r="X104" s="109"/>
      <c r="Y104" s="20">
        <f t="shared" si="3"/>
        <v>0</v>
      </c>
      <c r="AA104" s="98">
        <f t="shared" si="4"/>
        <v>0</v>
      </c>
      <c r="AB104" s="98">
        <f t="shared" si="5"/>
        <v>0</v>
      </c>
      <c r="AC104" s="110"/>
      <c r="AD104" s="77"/>
      <c r="AE104" s="77"/>
      <c r="AF104" s="75"/>
      <c r="AG104" s="75"/>
      <c r="AH104" s="75"/>
      <c r="AI104" s="75"/>
    </row>
    <row r="105" spans="1:35" ht="22.35" customHeight="1" thickBot="1" x14ac:dyDescent="0.3">
      <c r="A105" s="79"/>
      <c r="B105" s="80"/>
      <c r="F105" s="141"/>
      <c r="H105" s="99"/>
      <c r="I105" s="84"/>
      <c r="K105" s="86"/>
      <c r="L105" s="86"/>
      <c r="M105" s="86"/>
      <c r="O105" s="100"/>
      <c r="P105" s="143"/>
      <c r="Q105" s="90"/>
      <c r="R105" s="91"/>
      <c r="S105" s="144" t="s">
        <v>90</v>
      </c>
      <c r="T105" s="112" t="s">
        <v>43</v>
      </c>
      <c r="U105" s="106"/>
      <c r="V105" s="107">
        <v>9</v>
      </c>
      <c r="W105" s="108"/>
      <c r="X105" s="109"/>
      <c r="Y105" s="20">
        <f t="shared" si="3"/>
        <v>0</v>
      </c>
      <c r="AA105" s="98">
        <f t="shared" si="4"/>
        <v>0</v>
      </c>
      <c r="AB105" s="98">
        <f t="shared" si="5"/>
        <v>0</v>
      </c>
      <c r="AC105" s="110"/>
      <c r="AD105" s="77"/>
      <c r="AE105" s="77"/>
      <c r="AF105" s="75"/>
      <c r="AG105" s="75"/>
      <c r="AH105" s="75"/>
      <c r="AI105" s="75"/>
    </row>
    <row r="106" spans="1:35" ht="22.35" customHeight="1" thickBot="1" x14ac:dyDescent="0.3">
      <c r="A106" s="79"/>
      <c r="B106" s="80"/>
      <c r="F106" s="141"/>
      <c r="H106" s="99"/>
      <c r="I106" s="84"/>
      <c r="K106" s="86"/>
      <c r="L106" s="86"/>
      <c r="M106" s="86"/>
      <c r="O106" s="100"/>
      <c r="P106" s="143"/>
      <c r="Q106" s="90"/>
      <c r="R106" s="91"/>
      <c r="S106" s="144" t="s">
        <v>90</v>
      </c>
      <c r="T106" s="112" t="s">
        <v>43</v>
      </c>
      <c r="U106" s="106"/>
      <c r="V106" s="107">
        <v>9</v>
      </c>
      <c r="W106" s="108"/>
      <c r="X106" s="109"/>
      <c r="Y106" s="20">
        <f t="shared" si="3"/>
        <v>0</v>
      </c>
      <c r="AA106" s="98">
        <f t="shared" si="4"/>
        <v>0</v>
      </c>
      <c r="AB106" s="98">
        <f t="shared" si="5"/>
        <v>0</v>
      </c>
      <c r="AC106" s="110"/>
      <c r="AD106" s="77"/>
      <c r="AE106" s="77"/>
      <c r="AF106" s="75"/>
      <c r="AG106" s="75"/>
      <c r="AH106" s="75"/>
      <c r="AI106" s="75"/>
    </row>
    <row r="107" spans="1:35" ht="22.35" customHeight="1" thickBot="1" x14ac:dyDescent="0.3">
      <c r="A107" s="79"/>
      <c r="B107" s="80"/>
      <c r="F107" s="141"/>
      <c r="H107" s="99"/>
      <c r="I107" s="84"/>
      <c r="K107" s="86"/>
      <c r="L107" s="86"/>
      <c r="M107" s="86"/>
      <c r="O107" s="100"/>
      <c r="P107" s="143"/>
      <c r="Q107" s="90"/>
      <c r="R107" s="91"/>
      <c r="S107" s="144" t="s">
        <v>90</v>
      </c>
      <c r="T107" s="112" t="s">
        <v>43</v>
      </c>
      <c r="U107" s="106"/>
      <c r="V107" s="107">
        <v>9</v>
      </c>
      <c r="W107" s="108"/>
      <c r="X107" s="109"/>
      <c r="Y107" s="20">
        <f t="shared" si="3"/>
        <v>0</v>
      </c>
      <c r="AA107" s="98">
        <f t="shared" si="4"/>
        <v>0</v>
      </c>
      <c r="AB107" s="98">
        <f t="shared" si="5"/>
        <v>0</v>
      </c>
      <c r="AC107" s="110"/>
      <c r="AD107" s="77"/>
      <c r="AE107" s="77"/>
      <c r="AF107" s="75"/>
      <c r="AG107" s="75"/>
      <c r="AH107" s="75"/>
      <c r="AI107" s="75"/>
    </row>
    <row r="108" spans="1:35" ht="22.35" customHeight="1" thickBot="1" x14ac:dyDescent="0.3">
      <c r="A108" s="79"/>
      <c r="B108" s="80"/>
      <c r="F108" s="141"/>
      <c r="H108" s="99"/>
      <c r="I108" s="84"/>
      <c r="K108" s="86"/>
      <c r="L108" s="86"/>
      <c r="M108" s="86"/>
      <c r="O108" s="100"/>
      <c r="P108" s="143"/>
      <c r="Q108" s="90"/>
      <c r="R108" s="91"/>
      <c r="S108" s="144" t="s">
        <v>90</v>
      </c>
      <c r="T108" s="112" t="s">
        <v>43</v>
      </c>
      <c r="U108" s="106"/>
      <c r="V108" s="107">
        <v>9</v>
      </c>
      <c r="W108" s="160"/>
      <c r="X108" s="161"/>
      <c r="Y108" s="20">
        <f t="shared" si="3"/>
        <v>0</v>
      </c>
      <c r="AA108" s="98">
        <f t="shared" si="4"/>
        <v>0</v>
      </c>
      <c r="AB108" s="98">
        <f t="shared" si="5"/>
        <v>0</v>
      </c>
      <c r="AC108" s="110"/>
      <c r="AD108" s="77"/>
      <c r="AE108" s="77"/>
      <c r="AF108" s="75"/>
      <c r="AG108" s="75"/>
      <c r="AH108" s="75"/>
      <c r="AI108" s="75"/>
    </row>
    <row r="109" spans="1:35" ht="22.35" customHeight="1" thickBot="1" x14ac:dyDescent="0.3">
      <c r="A109" s="80"/>
      <c r="B109" s="80"/>
      <c r="F109" s="141"/>
      <c r="H109" s="99"/>
      <c r="I109" s="84"/>
      <c r="K109" s="86"/>
      <c r="L109" s="86"/>
      <c r="M109" s="86"/>
      <c r="O109" s="100"/>
      <c r="P109" s="143"/>
      <c r="Q109" s="90"/>
      <c r="R109" s="91"/>
      <c r="S109" s="144" t="s">
        <v>90</v>
      </c>
      <c r="T109" s="112" t="s">
        <v>43</v>
      </c>
      <c r="U109" s="106"/>
      <c r="V109" s="107">
        <v>9</v>
      </c>
      <c r="W109" s="160"/>
      <c r="X109" s="161"/>
      <c r="Y109" s="20">
        <f t="shared" si="3"/>
        <v>0</v>
      </c>
      <c r="AA109" s="98">
        <f t="shared" si="4"/>
        <v>0</v>
      </c>
      <c r="AB109" s="98">
        <f t="shared" si="5"/>
        <v>0</v>
      </c>
      <c r="AC109" s="110"/>
      <c r="AD109" s="77"/>
      <c r="AE109" s="77"/>
      <c r="AF109" s="75"/>
      <c r="AG109" s="75"/>
      <c r="AH109" s="75"/>
      <c r="AI109" s="75"/>
    </row>
    <row r="110" spans="1:35" ht="22.35" customHeight="1" thickBot="1" x14ac:dyDescent="0.3">
      <c r="A110" s="149"/>
      <c r="B110" s="149"/>
      <c r="C110" s="150"/>
      <c r="D110" s="151"/>
      <c r="E110" s="151"/>
      <c r="F110" s="141"/>
      <c r="H110" s="162"/>
      <c r="I110" s="152"/>
      <c r="J110" s="153"/>
      <c r="K110" s="85"/>
      <c r="L110" s="85"/>
      <c r="M110" s="85"/>
      <c r="O110" s="100"/>
      <c r="P110" s="154"/>
      <c r="Q110" s="90"/>
      <c r="R110" s="91"/>
      <c r="S110" s="144" t="s">
        <v>90</v>
      </c>
      <c r="T110" s="112" t="s">
        <v>43</v>
      </c>
      <c r="U110" s="106"/>
      <c r="V110" s="107">
        <v>9</v>
      </c>
      <c r="W110" s="113"/>
      <c r="X110" s="114"/>
      <c r="Y110" s="20">
        <f t="shared" si="3"/>
        <v>0</v>
      </c>
      <c r="AA110" s="98">
        <f t="shared" si="4"/>
        <v>0</v>
      </c>
      <c r="AB110" s="98">
        <f t="shared" si="5"/>
        <v>0</v>
      </c>
      <c r="AC110" s="110"/>
      <c r="AD110" s="77"/>
      <c r="AE110" s="77"/>
      <c r="AF110" s="75"/>
      <c r="AG110" s="75"/>
      <c r="AH110" s="75"/>
      <c r="AI110" s="75"/>
    </row>
    <row r="111" spans="1:35" ht="22.35" customHeight="1" thickTop="1" thickBot="1" x14ac:dyDescent="0.3">
      <c r="A111" s="163"/>
      <c r="B111" s="163"/>
      <c r="C111" s="164"/>
      <c r="D111" s="165"/>
      <c r="E111" s="165"/>
      <c r="F111" s="166"/>
      <c r="G111" s="167"/>
      <c r="H111" s="168"/>
      <c r="I111" s="167"/>
      <c r="J111" s="165"/>
      <c r="K111" s="169"/>
      <c r="L111" s="167"/>
      <c r="M111" s="169"/>
      <c r="N111" s="170"/>
      <c r="O111" s="170"/>
      <c r="P111" s="170"/>
      <c r="Q111" s="170"/>
      <c r="R111" s="171"/>
      <c r="S111" s="172"/>
      <c r="T111" s="167"/>
      <c r="U111" s="167"/>
      <c r="V111" s="173"/>
      <c r="W111" s="167"/>
      <c r="X111" s="174"/>
      <c r="Y111" s="20">
        <f t="shared" si="3"/>
        <v>0</v>
      </c>
      <c r="AA111" s="98">
        <f t="shared" si="4"/>
        <v>0</v>
      </c>
      <c r="AB111" s="98">
        <f t="shared" si="5"/>
        <v>0</v>
      </c>
    </row>
    <row r="112" spans="1:35" ht="22.35" customHeight="1" thickTop="1" thickBot="1" x14ac:dyDescent="0.3">
      <c r="A112" s="175"/>
      <c r="B112" s="175"/>
      <c r="C112" s="176"/>
      <c r="D112" s="177" t="s">
        <v>98</v>
      </c>
      <c r="E112" s="178"/>
      <c r="F112" s="179"/>
      <c r="G112" s="180"/>
      <c r="H112" s="181"/>
      <c r="I112" s="180"/>
      <c r="J112" s="178"/>
      <c r="K112" s="182"/>
      <c r="L112" s="182"/>
      <c r="M112" s="182"/>
      <c r="N112" s="183"/>
      <c r="O112" s="184"/>
      <c r="P112" s="184"/>
      <c r="Q112" s="184"/>
      <c r="R112" s="185"/>
      <c r="S112" s="186"/>
      <c r="T112" s="187" t="s">
        <v>99</v>
      </c>
      <c r="U112" s="188"/>
      <c r="V112" s="189"/>
      <c r="W112" s="188"/>
      <c r="X112" s="190"/>
      <c r="Y112" s="20">
        <f t="shared" si="3"/>
        <v>0</v>
      </c>
      <c r="AA112" s="98">
        <f t="shared" si="4"/>
        <v>0</v>
      </c>
      <c r="AB112" s="98">
        <f t="shared" si="5"/>
        <v>0</v>
      </c>
    </row>
    <row r="113" spans="1:28" ht="22.35" customHeight="1" thickBot="1" x14ac:dyDescent="0.3">
      <c r="A113" s="127"/>
      <c r="B113" s="127"/>
      <c r="C113" s="128"/>
      <c r="D113" s="129"/>
      <c r="E113" s="129"/>
      <c r="F113" s="130"/>
      <c r="G113" s="132"/>
      <c r="H113" s="191"/>
      <c r="I113" s="158"/>
      <c r="J113" s="129"/>
      <c r="K113" s="159"/>
      <c r="L113" s="133"/>
      <c r="M113" s="133"/>
      <c r="N113" s="134"/>
      <c r="O113" s="135"/>
      <c r="P113" s="136"/>
      <c r="Q113" s="137"/>
      <c r="R113" s="138"/>
      <c r="S113" s="144" t="s">
        <v>100</v>
      </c>
      <c r="T113" s="112" t="s">
        <v>99</v>
      </c>
      <c r="U113" s="106" t="s">
        <v>101</v>
      </c>
      <c r="V113" s="107">
        <v>10</v>
      </c>
      <c r="W113" s="96"/>
      <c r="X113" s="97"/>
      <c r="Y113" s="20">
        <f t="shared" si="3"/>
        <v>0</v>
      </c>
      <c r="AA113" s="98">
        <f t="shared" si="4"/>
        <v>0</v>
      </c>
      <c r="AB113" s="98">
        <f t="shared" si="5"/>
        <v>0</v>
      </c>
    </row>
    <row r="114" spans="1:28" ht="22.35" customHeight="1" thickBot="1" x14ac:dyDescent="0.3">
      <c r="A114" s="80"/>
      <c r="B114" s="80"/>
      <c r="F114" s="141"/>
      <c r="H114" s="191"/>
      <c r="I114" s="84"/>
      <c r="K114" s="86"/>
      <c r="L114" s="86"/>
      <c r="M114" s="86"/>
      <c r="O114" s="100"/>
      <c r="P114" s="143"/>
      <c r="Q114" s="102"/>
      <c r="R114" s="103"/>
      <c r="S114" s="144" t="s">
        <v>100</v>
      </c>
      <c r="T114" s="112" t="s">
        <v>99</v>
      </c>
      <c r="U114" s="106" t="s">
        <v>101</v>
      </c>
      <c r="V114" s="107">
        <v>10</v>
      </c>
      <c r="W114" s="108"/>
      <c r="X114" s="109"/>
      <c r="Y114" s="20">
        <f t="shared" si="3"/>
        <v>0</v>
      </c>
      <c r="AA114" s="98">
        <f t="shared" si="4"/>
        <v>0</v>
      </c>
      <c r="AB114" s="98">
        <f t="shared" si="5"/>
        <v>0</v>
      </c>
    </row>
    <row r="115" spans="1:28" ht="22.35" customHeight="1" thickBot="1" x14ac:dyDescent="0.3">
      <c r="A115" s="80"/>
      <c r="B115" s="80"/>
      <c r="F115" s="141"/>
      <c r="H115" s="191"/>
      <c r="I115" s="84"/>
      <c r="K115" s="86"/>
      <c r="L115" s="86"/>
      <c r="M115" s="86"/>
      <c r="O115" s="100"/>
      <c r="P115" s="143"/>
      <c r="Q115" s="102"/>
      <c r="R115" s="103"/>
      <c r="S115" s="144" t="s">
        <v>100</v>
      </c>
      <c r="T115" s="112" t="s">
        <v>99</v>
      </c>
      <c r="U115" s="106" t="s">
        <v>101</v>
      </c>
      <c r="V115" s="107">
        <v>10</v>
      </c>
      <c r="W115" s="108"/>
      <c r="X115" s="109"/>
      <c r="Y115" s="20">
        <f t="shared" si="3"/>
        <v>0</v>
      </c>
      <c r="AA115" s="98">
        <f t="shared" si="4"/>
        <v>0</v>
      </c>
      <c r="AB115" s="98">
        <f t="shared" si="5"/>
        <v>0</v>
      </c>
    </row>
    <row r="116" spans="1:28" ht="22.35" customHeight="1" thickBot="1" x14ac:dyDescent="0.3">
      <c r="A116" s="80"/>
      <c r="B116" s="80"/>
      <c r="F116" s="141"/>
      <c r="H116" s="191"/>
      <c r="I116" s="84"/>
      <c r="K116" s="86"/>
      <c r="L116" s="86"/>
      <c r="M116" s="86"/>
      <c r="O116" s="100"/>
      <c r="P116" s="143"/>
      <c r="Q116" s="102"/>
      <c r="R116" s="103"/>
      <c r="S116" s="144" t="s">
        <v>100</v>
      </c>
      <c r="T116" s="112" t="s">
        <v>99</v>
      </c>
      <c r="U116" s="106" t="s">
        <v>101</v>
      </c>
      <c r="V116" s="107">
        <v>10</v>
      </c>
      <c r="W116" s="108"/>
      <c r="X116" s="109"/>
      <c r="Y116" s="20">
        <f t="shared" si="3"/>
        <v>0</v>
      </c>
      <c r="AA116" s="98">
        <f t="shared" si="4"/>
        <v>0</v>
      </c>
      <c r="AB116" s="98">
        <f t="shared" si="5"/>
        <v>0</v>
      </c>
    </row>
    <row r="117" spans="1:28" ht="22.35" customHeight="1" thickBot="1" x14ac:dyDescent="0.3">
      <c r="A117" s="80"/>
      <c r="B117" s="80"/>
      <c r="F117" s="141"/>
      <c r="H117" s="191"/>
      <c r="I117" s="84"/>
      <c r="K117" s="86"/>
      <c r="L117" s="86"/>
      <c r="M117" s="86"/>
      <c r="O117" s="100"/>
      <c r="P117" s="143"/>
      <c r="Q117" s="102"/>
      <c r="R117" s="103"/>
      <c r="S117" s="144" t="s">
        <v>100</v>
      </c>
      <c r="T117" s="112" t="s">
        <v>99</v>
      </c>
      <c r="U117" s="106" t="s">
        <v>101</v>
      </c>
      <c r="V117" s="107">
        <v>10</v>
      </c>
      <c r="W117" s="108"/>
      <c r="X117" s="109"/>
      <c r="Y117" s="20">
        <f t="shared" si="3"/>
        <v>0</v>
      </c>
      <c r="AA117" s="98">
        <f t="shared" si="4"/>
        <v>0</v>
      </c>
      <c r="AB117" s="98">
        <f t="shared" si="5"/>
        <v>0</v>
      </c>
    </row>
    <row r="118" spans="1:28" ht="22.35" customHeight="1" thickBot="1" x14ac:dyDescent="0.3">
      <c r="A118" s="80"/>
      <c r="B118" s="80"/>
      <c r="F118" s="141"/>
      <c r="H118" s="191"/>
      <c r="I118" s="84"/>
      <c r="K118" s="86"/>
      <c r="L118" s="86"/>
      <c r="M118" s="86"/>
      <c r="O118" s="100"/>
      <c r="P118" s="143"/>
      <c r="Q118" s="102"/>
      <c r="R118" s="103"/>
      <c r="S118" s="144" t="s">
        <v>100</v>
      </c>
      <c r="T118" s="112" t="s">
        <v>99</v>
      </c>
      <c r="U118" s="106" t="s">
        <v>101</v>
      </c>
      <c r="V118" s="107">
        <v>10</v>
      </c>
      <c r="W118" s="108"/>
      <c r="X118" s="109"/>
      <c r="Y118" s="20">
        <f t="shared" si="3"/>
        <v>0</v>
      </c>
      <c r="AA118" s="98">
        <f t="shared" si="4"/>
        <v>0</v>
      </c>
      <c r="AB118" s="98">
        <f t="shared" si="5"/>
        <v>0</v>
      </c>
    </row>
    <row r="119" spans="1:28" ht="22.35" customHeight="1" thickBot="1" x14ac:dyDescent="0.3">
      <c r="A119" s="80"/>
      <c r="B119" s="80"/>
      <c r="F119" s="141"/>
      <c r="H119" s="191"/>
      <c r="I119" s="84"/>
      <c r="K119" s="86"/>
      <c r="L119" s="86"/>
      <c r="M119" s="86"/>
      <c r="O119" s="100"/>
      <c r="P119" s="143"/>
      <c r="Q119" s="102"/>
      <c r="R119" s="103"/>
      <c r="S119" s="144" t="s">
        <v>100</v>
      </c>
      <c r="T119" s="112" t="s">
        <v>99</v>
      </c>
      <c r="U119" s="106" t="s">
        <v>102</v>
      </c>
      <c r="V119" s="107">
        <v>10</v>
      </c>
      <c r="W119" s="108"/>
      <c r="X119" s="109"/>
      <c r="Y119" s="20">
        <f t="shared" si="3"/>
        <v>0</v>
      </c>
      <c r="AA119" s="98">
        <f t="shared" si="4"/>
        <v>0</v>
      </c>
      <c r="AB119" s="98">
        <f t="shared" si="5"/>
        <v>0</v>
      </c>
    </row>
    <row r="120" spans="1:28" ht="22.35" customHeight="1" thickBot="1" x14ac:dyDescent="0.3">
      <c r="A120" s="80"/>
      <c r="B120" s="80"/>
      <c r="F120" s="141"/>
      <c r="H120" s="191"/>
      <c r="I120" s="84"/>
      <c r="K120" s="86"/>
      <c r="L120" s="86"/>
      <c r="M120" s="86"/>
      <c r="O120" s="100"/>
      <c r="P120" s="143"/>
      <c r="Q120" s="102"/>
      <c r="R120" s="103"/>
      <c r="S120" s="144" t="s">
        <v>100</v>
      </c>
      <c r="T120" s="112" t="s">
        <v>99</v>
      </c>
      <c r="U120" s="106" t="s">
        <v>102</v>
      </c>
      <c r="V120" s="107">
        <v>10</v>
      </c>
      <c r="W120" s="108"/>
      <c r="X120" s="109"/>
      <c r="Y120" s="20">
        <f t="shared" si="3"/>
        <v>0</v>
      </c>
      <c r="AA120" s="98">
        <f t="shared" si="4"/>
        <v>0</v>
      </c>
      <c r="AB120" s="98">
        <f t="shared" si="5"/>
        <v>0</v>
      </c>
    </row>
    <row r="121" spans="1:28" ht="22.35" customHeight="1" thickBot="1" x14ac:dyDescent="0.3">
      <c r="A121" s="80"/>
      <c r="B121" s="80"/>
      <c r="F121" s="141"/>
      <c r="H121" s="191"/>
      <c r="I121" s="84"/>
      <c r="K121" s="86"/>
      <c r="L121" s="86"/>
      <c r="M121" s="86"/>
      <c r="O121" s="100"/>
      <c r="P121" s="143"/>
      <c r="Q121" s="102"/>
      <c r="R121" s="103"/>
      <c r="S121" s="144" t="s">
        <v>100</v>
      </c>
      <c r="T121" s="112" t="s">
        <v>99</v>
      </c>
      <c r="U121" s="106" t="s">
        <v>102</v>
      </c>
      <c r="V121" s="107">
        <v>10</v>
      </c>
      <c r="W121" s="108"/>
      <c r="X121" s="109"/>
      <c r="Y121" s="20">
        <f t="shared" si="3"/>
        <v>0</v>
      </c>
      <c r="AA121" s="98">
        <f t="shared" si="4"/>
        <v>0</v>
      </c>
      <c r="AB121" s="98">
        <f t="shared" si="5"/>
        <v>0</v>
      </c>
    </row>
    <row r="122" spans="1:28" ht="22.35" customHeight="1" thickBot="1" x14ac:dyDescent="0.3">
      <c r="A122" s="80"/>
      <c r="B122" s="80"/>
      <c r="F122" s="141"/>
      <c r="H122" s="191"/>
      <c r="I122" s="84"/>
      <c r="K122" s="86"/>
      <c r="L122" s="86"/>
      <c r="M122" s="86"/>
      <c r="O122" s="100"/>
      <c r="P122" s="143"/>
      <c r="Q122" s="102"/>
      <c r="R122" s="103"/>
      <c r="S122" s="144" t="s">
        <v>100</v>
      </c>
      <c r="T122" s="112" t="s">
        <v>99</v>
      </c>
      <c r="U122" s="106" t="s">
        <v>102</v>
      </c>
      <c r="V122" s="107">
        <v>10</v>
      </c>
      <c r="W122" s="108"/>
      <c r="X122" s="109"/>
      <c r="Y122" s="20">
        <f t="shared" si="3"/>
        <v>0</v>
      </c>
      <c r="AA122" s="98">
        <f t="shared" si="4"/>
        <v>0</v>
      </c>
      <c r="AB122" s="98">
        <f t="shared" si="5"/>
        <v>0</v>
      </c>
    </row>
    <row r="123" spans="1:28" ht="22.35" customHeight="1" thickBot="1" x14ac:dyDescent="0.3">
      <c r="A123" s="192"/>
      <c r="B123" s="192"/>
      <c r="C123" s="193"/>
      <c r="D123" s="194"/>
      <c r="E123" s="194"/>
      <c r="F123" s="195"/>
      <c r="G123" s="196"/>
      <c r="H123" s="191"/>
      <c r="I123" s="197"/>
      <c r="J123" s="194"/>
      <c r="K123" s="198"/>
      <c r="L123" s="198"/>
      <c r="M123" s="198"/>
      <c r="N123" s="199"/>
      <c r="O123" s="200"/>
      <c r="P123" s="201"/>
      <c r="Q123" s="202"/>
      <c r="R123" s="203"/>
      <c r="S123" s="155" t="s">
        <v>100</v>
      </c>
      <c r="T123" s="124" t="s">
        <v>99</v>
      </c>
      <c r="U123" s="125" t="s">
        <v>102</v>
      </c>
      <c r="V123" s="156">
        <v>10</v>
      </c>
      <c r="W123" s="108"/>
      <c r="X123" s="109"/>
      <c r="Y123" s="20">
        <f t="shared" si="3"/>
        <v>0</v>
      </c>
      <c r="AA123" s="98">
        <f t="shared" si="4"/>
        <v>0</v>
      </c>
      <c r="AB123" s="98">
        <f t="shared" si="5"/>
        <v>0</v>
      </c>
    </row>
    <row r="124" spans="1:28" ht="22.35" customHeight="1" thickBot="1" x14ac:dyDescent="0.3">
      <c r="A124" s="80" t="s">
        <v>103</v>
      </c>
      <c r="B124" s="80" t="s">
        <v>104</v>
      </c>
      <c r="C124" s="81">
        <v>24</v>
      </c>
      <c r="D124" s="23" t="s">
        <v>105</v>
      </c>
      <c r="E124" s="23" t="s">
        <v>106</v>
      </c>
      <c r="F124" s="82" t="s">
        <v>107</v>
      </c>
      <c r="G124" s="21" t="s">
        <v>108</v>
      </c>
      <c r="H124" s="204">
        <v>36.9</v>
      </c>
      <c r="I124" s="21">
        <v>36.299999999999997</v>
      </c>
      <c r="J124" s="23" t="s">
        <v>109</v>
      </c>
      <c r="K124" s="86" t="s">
        <v>110</v>
      </c>
      <c r="L124" s="86">
        <v>4</v>
      </c>
      <c r="M124" s="86"/>
      <c r="N124" s="87">
        <v>1</v>
      </c>
      <c r="O124" s="205"/>
      <c r="P124" s="206">
        <v>1</v>
      </c>
      <c r="Q124" s="206">
        <v>1</v>
      </c>
      <c r="R124" s="207" t="s">
        <v>111</v>
      </c>
      <c r="S124" s="208" t="s">
        <v>109</v>
      </c>
      <c r="T124" s="94" t="str">
        <f>INDEX([1]data!$B$1:$B$100,MATCH('04.02 - 10.02'!S124,[0]!exclusive01,))</f>
        <v>VU</v>
      </c>
      <c r="U124" s="94" t="s">
        <v>112</v>
      </c>
      <c r="V124" s="95">
        <v>10</v>
      </c>
      <c r="W124" s="108"/>
      <c r="X124" s="109" t="s">
        <v>45</v>
      </c>
      <c r="Y124" s="20">
        <f t="shared" si="3"/>
        <v>1</v>
      </c>
      <c r="AA124" s="98">
        <f t="shared" si="4"/>
        <v>0.60000000000000142</v>
      </c>
      <c r="AB124" s="98" t="e">
        <f t="shared" si="5"/>
        <v>#VALUE!</v>
      </c>
    </row>
    <row r="125" spans="1:28" ht="22.35" customHeight="1" thickBot="1" x14ac:dyDescent="0.3">
      <c r="A125" s="209"/>
      <c r="B125" s="209"/>
      <c r="C125" s="210"/>
      <c r="D125" s="211"/>
      <c r="E125" s="211"/>
      <c r="F125" s="212"/>
      <c r="G125" s="213"/>
      <c r="H125" s="214"/>
      <c r="I125" s="213"/>
      <c r="J125" s="211"/>
      <c r="K125" s="215"/>
      <c r="L125" s="215">
        <v>4</v>
      </c>
      <c r="M125" s="215"/>
      <c r="N125" s="216">
        <v>1</v>
      </c>
      <c r="O125" s="217"/>
      <c r="P125" s="218"/>
      <c r="Q125" s="218"/>
      <c r="R125" s="219"/>
      <c r="S125" s="220" t="s">
        <v>113</v>
      </c>
      <c r="T125" s="221" t="str">
        <f>INDEX([1]data!$B$1:$B$100,MATCH('04.02 - 10.02'!S125,[0]!exclusive01,))</f>
        <v>CHIEN</v>
      </c>
      <c r="U125" s="221" t="s">
        <v>101</v>
      </c>
      <c r="V125" s="222">
        <v>10</v>
      </c>
      <c r="W125" s="108"/>
      <c r="X125" s="109" t="s">
        <v>55</v>
      </c>
      <c r="Y125" s="20">
        <f t="shared" si="3"/>
        <v>0</v>
      </c>
      <c r="AA125" s="98">
        <f t="shared" si="4"/>
        <v>0</v>
      </c>
      <c r="AB125" s="98">
        <f t="shared" si="5"/>
        <v>0</v>
      </c>
    </row>
    <row r="126" spans="1:28" ht="22.35" customHeight="1" thickBot="1" x14ac:dyDescent="0.3">
      <c r="A126" s="80"/>
      <c r="B126" s="80"/>
      <c r="H126" s="191"/>
      <c r="K126" s="86"/>
      <c r="L126" s="86">
        <v>4</v>
      </c>
      <c r="M126" s="86"/>
      <c r="N126" s="87">
        <v>1</v>
      </c>
      <c r="O126" s="223"/>
      <c r="P126" s="224"/>
      <c r="Q126" s="224"/>
      <c r="R126" s="225"/>
      <c r="S126" s="208" t="s">
        <v>114</v>
      </c>
      <c r="T126" s="94" t="str">
        <f>INDEX([1]data!$B$1:$B$100,MATCH('04.02 - 10.02'!S126,[0]!exclusive01,))</f>
        <v>CHIEN</v>
      </c>
      <c r="U126" s="94" t="s">
        <v>102</v>
      </c>
      <c r="V126" s="95">
        <v>11</v>
      </c>
      <c r="W126" s="108"/>
      <c r="X126" s="109" t="s">
        <v>45</v>
      </c>
      <c r="Y126" s="20">
        <f t="shared" si="3"/>
        <v>0</v>
      </c>
      <c r="AA126" s="98">
        <f t="shared" si="4"/>
        <v>0</v>
      </c>
      <c r="AB126" s="98">
        <f t="shared" si="5"/>
        <v>0</v>
      </c>
    </row>
    <row r="127" spans="1:28" ht="22.35" customHeight="1" thickBot="1" x14ac:dyDescent="0.3">
      <c r="A127" s="80"/>
      <c r="B127" s="80"/>
      <c r="H127" s="191"/>
      <c r="K127" s="86"/>
      <c r="L127" s="86">
        <v>4</v>
      </c>
      <c r="M127" s="86"/>
      <c r="N127" s="87">
        <v>1</v>
      </c>
      <c r="O127" s="223"/>
      <c r="P127" s="224"/>
      <c r="Q127" s="224"/>
      <c r="R127" s="225"/>
      <c r="S127" s="226" t="s">
        <v>115</v>
      </c>
      <c r="T127" s="94" t="str">
        <f>INDEX([1]data!$B$1:$B$100,MATCH('04.02 - 10.02'!S127,[0]!exclusive01,))</f>
        <v>CHIEN</v>
      </c>
      <c r="U127" s="106" t="s">
        <v>102</v>
      </c>
      <c r="V127" s="107">
        <v>11</v>
      </c>
      <c r="W127" s="108"/>
      <c r="X127" s="109" t="s">
        <v>55</v>
      </c>
      <c r="Y127" s="20">
        <f t="shared" si="3"/>
        <v>0</v>
      </c>
      <c r="AA127" s="98">
        <f t="shared" si="4"/>
        <v>0</v>
      </c>
      <c r="AB127" s="98">
        <f t="shared" si="5"/>
        <v>0</v>
      </c>
    </row>
    <row r="128" spans="1:28" ht="22.35" customHeight="1" thickBot="1" x14ac:dyDescent="0.3">
      <c r="A128" s="80"/>
      <c r="B128" s="80"/>
      <c r="H128" s="191"/>
      <c r="K128" s="86"/>
      <c r="L128" s="86">
        <v>4</v>
      </c>
      <c r="M128" s="86"/>
      <c r="N128" s="87">
        <v>1</v>
      </c>
      <c r="O128" s="223"/>
      <c r="P128" s="224"/>
      <c r="Q128" s="224"/>
      <c r="R128" s="225"/>
      <c r="S128" s="226" t="s">
        <v>116</v>
      </c>
      <c r="T128" s="94" t="str">
        <f>INDEX([1]data!$B$1:$B$100,MATCH('04.02 - 10.02'!S128,[0]!exclusive01,))</f>
        <v>CHIEN</v>
      </c>
      <c r="U128" s="106" t="s">
        <v>102</v>
      </c>
      <c r="V128" s="107">
        <v>11</v>
      </c>
      <c r="W128" s="108"/>
      <c r="X128" s="109" t="s">
        <v>117</v>
      </c>
      <c r="Y128" s="20">
        <f t="shared" si="3"/>
        <v>0</v>
      </c>
      <c r="AA128" s="98">
        <f t="shared" si="4"/>
        <v>0</v>
      </c>
      <c r="AB128" s="98">
        <f t="shared" si="5"/>
        <v>0</v>
      </c>
    </row>
    <row r="129" spans="1:28" ht="22.35" customHeight="1" thickBot="1" x14ac:dyDescent="0.3">
      <c r="A129" s="209"/>
      <c r="B129" s="209"/>
      <c r="C129" s="193"/>
      <c r="D129" s="194"/>
      <c r="E129" s="194"/>
      <c r="F129" s="227"/>
      <c r="G129" s="196"/>
      <c r="H129" s="191"/>
      <c r="I129" s="196"/>
      <c r="J129" s="194"/>
      <c r="K129" s="198"/>
      <c r="L129" s="198">
        <v>4</v>
      </c>
      <c r="M129" s="198"/>
      <c r="N129" s="228">
        <v>1</v>
      </c>
      <c r="O129" s="229"/>
      <c r="P129" s="230"/>
      <c r="Q129" s="230"/>
      <c r="R129" s="231"/>
      <c r="S129" s="232" t="s">
        <v>118</v>
      </c>
      <c r="T129" s="125" t="str">
        <f>INDEX([1]data!$B$1:$B$100,MATCH('04.02 - 10.02'!S129,[0]!exclusive01,))</f>
        <v>CHIEN</v>
      </c>
      <c r="U129" s="125" t="s">
        <v>102</v>
      </c>
      <c r="V129" s="233">
        <v>11</v>
      </c>
      <c r="W129" s="108"/>
      <c r="X129" s="109" t="s">
        <v>119</v>
      </c>
      <c r="Y129" s="20">
        <f t="shared" si="3"/>
        <v>0</v>
      </c>
      <c r="AA129" s="98">
        <f t="shared" si="4"/>
        <v>0</v>
      </c>
      <c r="AB129" s="98">
        <f t="shared" si="5"/>
        <v>0</v>
      </c>
    </row>
    <row r="130" spans="1:28" ht="22.35" customHeight="1" thickBot="1" x14ac:dyDescent="0.3">
      <c r="A130" s="80"/>
      <c r="B130" s="80"/>
      <c r="C130" s="128"/>
      <c r="D130" s="129"/>
      <c r="E130" s="129"/>
      <c r="F130" s="234"/>
      <c r="G130" s="132"/>
      <c r="H130" s="191"/>
      <c r="I130" s="132"/>
      <c r="J130" s="129"/>
      <c r="K130" s="133"/>
      <c r="L130" s="133">
        <v>4</v>
      </c>
      <c r="M130" s="133"/>
      <c r="N130" s="134">
        <v>1</v>
      </c>
      <c r="O130" s="235"/>
      <c r="P130" s="206"/>
      <c r="Q130" s="206"/>
      <c r="R130" s="207"/>
      <c r="S130" s="226" t="s">
        <v>120</v>
      </c>
      <c r="T130" s="94" t="str">
        <f>INDEX([1]data!$B$1:$B$100,MATCH('04.02 - 10.02'!S130,[0]!exclusive01,))</f>
        <v>CHIEN</v>
      </c>
      <c r="U130" s="106" t="s">
        <v>102</v>
      </c>
      <c r="V130" s="107">
        <v>12</v>
      </c>
      <c r="W130" s="108"/>
      <c r="X130" s="109" t="s">
        <v>45</v>
      </c>
      <c r="Y130" s="20">
        <f t="shared" si="3"/>
        <v>0</v>
      </c>
      <c r="AA130" s="98">
        <f t="shared" si="4"/>
        <v>0</v>
      </c>
      <c r="AB130" s="98">
        <f t="shared" si="5"/>
        <v>0</v>
      </c>
    </row>
    <row r="131" spans="1:28" ht="22.35" customHeight="1" thickBot="1" x14ac:dyDescent="0.3">
      <c r="A131" s="80"/>
      <c r="B131" s="80"/>
      <c r="H131" s="191"/>
      <c r="K131" s="86"/>
      <c r="L131" s="86">
        <v>4</v>
      </c>
      <c r="M131" s="86"/>
      <c r="N131" s="87">
        <v>1</v>
      </c>
      <c r="O131" s="223"/>
      <c r="P131" s="224"/>
      <c r="Q131" s="224"/>
      <c r="R131" s="225"/>
      <c r="S131" s="226" t="s">
        <v>121</v>
      </c>
      <c r="T131" s="94" t="str">
        <f>INDEX([1]data!$B$1:$B$100,MATCH('04.02 - 10.02'!S131,[0]!exclusive01,))</f>
        <v>CHIEN</v>
      </c>
      <c r="U131" s="106" t="s">
        <v>102</v>
      </c>
      <c r="V131" s="107">
        <v>12</v>
      </c>
      <c r="W131" s="108"/>
      <c r="X131" s="109" t="s">
        <v>55</v>
      </c>
      <c r="Y131" s="20">
        <f t="shared" si="3"/>
        <v>0</v>
      </c>
      <c r="AA131" s="98">
        <f t="shared" si="4"/>
        <v>0</v>
      </c>
      <c r="AB131" s="98">
        <f t="shared" si="5"/>
        <v>0</v>
      </c>
    </row>
    <row r="132" spans="1:28" ht="22.35" customHeight="1" thickBot="1" x14ac:dyDescent="0.3">
      <c r="A132" s="80"/>
      <c r="B132" s="80"/>
      <c r="H132" s="191"/>
      <c r="K132" s="86"/>
      <c r="L132" s="86">
        <v>4</v>
      </c>
      <c r="M132" s="86"/>
      <c r="N132" s="87">
        <v>1</v>
      </c>
      <c r="O132" s="223"/>
      <c r="P132" s="224"/>
      <c r="Q132" s="224"/>
      <c r="R132" s="225"/>
      <c r="S132" s="226" t="s">
        <v>122</v>
      </c>
      <c r="T132" s="94" t="str">
        <f>INDEX([1]data!$B$1:$B$100,MATCH('04.02 - 10.02'!S132,[0]!exclusive01,))</f>
        <v>CHIEN</v>
      </c>
      <c r="U132" s="106" t="s">
        <v>102</v>
      </c>
      <c r="V132" s="107">
        <v>12</v>
      </c>
      <c r="W132" s="108"/>
      <c r="X132" s="109" t="s">
        <v>117</v>
      </c>
      <c r="Y132" s="20">
        <f t="shared" si="3"/>
        <v>0</v>
      </c>
      <c r="AA132" s="98">
        <f t="shared" si="4"/>
        <v>0</v>
      </c>
      <c r="AB132" s="98">
        <f t="shared" si="5"/>
        <v>0</v>
      </c>
    </row>
    <row r="133" spans="1:28" ht="22.35" customHeight="1" thickBot="1" x14ac:dyDescent="0.3">
      <c r="A133" s="209"/>
      <c r="B133" s="209"/>
      <c r="C133" s="193"/>
      <c r="D133" s="194"/>
      <c r="E133" s="194"/>
      <c r="F133" s="227"/>
      <c r="G133" s="196"/>
      <c r="H133" s="191"/>
      <c r="I133" s="196"/>
      <c r="J133" s="194"/>
      <c r="K133" s="198"/>
      <c r="L133" s="198">
        <v>4</v>
      </c>
      <c r="M133" s="198"/>
      <c r="N133" s="228">
        <v>1</v>
      </c>
      <c r="O133" s="229"/>
      <c r="P133" s="230"/>
      <c r="Q133" s="230"/>
      <c r="R133" s="231"/>
      <c r="S133" s="232" t="s">
        <v>123</v>
      </c>
      <c r="T133" s="125" t="str">
        <f>INDEX([1]data!$B$1:$B$100,MATCH('04.02 - 10.02'!S133,[0]!exclusive01,))</f>
        <v>CHIEN</v>
      </c>
      <c r="U133" s="125" t="s">
        <v>102</v>
      </c>
      <c r="V133" s="233">
        <v>12</v>
      </c>
      <c r="W133" s="108"/>
      <c r="X133" s="109" t="s">
        <v>119</v>
      </c>
      <c r="Y133" s="20">
        <f t="shared" si="3"/>
        <v>0</v>
      </c>
      <c r="AA133" s="98">
        <f t="shared" si="4"/>
        <v>0</v>
      </c>
      <c r="AB133" s="98">
        <f t="shared" si="5"/>
        <v>0</v>
      </c>
    </row>
    <row r="134" spans="1:28" ht="22.35" customHeight="1" thickBot="1" x14ac:dyDescent="0.3">
      <c r="A134" s="80"/>
      <c r="B134" s="80"/>
      <c r="C134" s="128"/>
      <c r="D134" s="129"/>
      <c r="E134" s="129"/>
      <c r="F134" s="234"/>
      <c r="G134" s="132"/>
      <c r="H134" s="191"/>
      <c r="I134" s="132"/>
      <c r="J134" s="129"/>
      <c r="K134" s="133"/>
      <c r="L134" s="133">
        <v>4</v>
      </c>
      <c r="M134" s="133"/>
      <c r="N134" s="134">
        <v>1</v>
      </c>
      <c r="O134" s="235"/>
      <c r="P134" s="206"/>
      <c r="Q134" s="206"/>
      <c r="R134" s="207"/>
      <c r="S134" s="226" t="s">
        <v>124</v>
      </c>
      <c r="T134" s="94" t="str">
        <f>INDEX([1]data!$B$1:$B$100,MATCH('04.02 - 10.02'!S134,[0]!exclusive01,))</f>
        <v>CHIEN</v>
      </c>
      <c r="U134" s="106" t="s">
        <v>102</v>
      </c>
      <c r="V134" s="107">
        <v>13</v>
      </c>
      <c r="W134" s="108"/>
      <c r="X134" s="109" t="s">
        <v>45</v>
      </c>
      <c r="Y134" s="20">
        <f t="shared" si="3"/>
        <v>0</v>
      </c>
      <c r="AA134" s="98">
        <f t="shared" si="4"/>
        <v>0</v>
      </c>
      <c r="AB134" s="98">
        <f t="shared" si="5"/>
        <v>0</v>
      </c>
    </row>
    <row r="135" spans="1:28" ht="22.35" customHeight="1" thickBot="1" x14ac:dyDescent="0.3">
      <c r="A135" s="80"/>
      <c r="B135" s="80"/>
      <c r="H135" s="191"/>
      <c r="K135" s="86"/>
      <c r="L135" s="86">
        <v>4</v>
      </c>
      <c r="M135" s="86"/>
      <c r="N135" s="87">
        <v>1</v>
      </c>
      <c r="O135" s="223"/>
      <c r="P135" s="224"/>
      <c r="Q135" s="224"/>
      <c r="R135" s="225"/>
      <c r="S135" s="226" t="s">
        <v>125</v>
      </c>
      <c r="T135" s="94" t="str">
        <f>INDEX([1]data!$B$1:$B$100,MATCH('04.02 - 10.02'!S135,[0]!exclusive01,))</f>
        <v>CHIEN</v>
      </c>
      <c r="U135" s="106" t="s">
        <v>102</v>
      </c>
      <c r="V135" s="107">
        <v>13</v>
      </c>
      <c r="W135" s="108"/>
      <c r="X135" s="109" t="s">
        <v>55</v>
      </c>
      <c r="Y135" s="20">
        <f t="shared" ref="Y135:Y198" si="6">COUNTIF(K:K,K135)</f>
        <v>0</v>
      </c>
      <c r="AA135" s="98">
        <f t="shared" si="4"/>
        <v>0</v>
      </c>
      <c r="AB135" s="98">
        <f t="shared" si="5"/>
        <v>0</v>
      </c>
    </row>
    <row r="136" spans="1:28" ht="22.35" customHeight="1" thickBot="1" x14ac:dyDescent="0.3">
      <c r="A136" s="80"/>
      <c r="B136" s="80"/>
      <c r="H136" s="191"/>
      <c r="K136" s="86"/>
      <c r="L136" s="86">
        <v>4</v>
      </c>
      <c r="M136" s="86"/>
      <c r="N136" s="87">
        <v>1</v>
      </c>
      <c r="O136" s="223"/>
      <c r="P136" s="224"/>
      <c r="Q136" s="224"/>
      <c r="R136" s="225"/>
      <c r="S136" s="226" t="s">
        <v>126</v>
      </c>
      <c r="T136" s="94" t="str">
        <f>INDEX([1]data!$B$1:$B$100,MATCH('04.02 - 10.02'!S136,[0]!exclusive01,))</f>
        <v>CHIEN</v>
      </c>
      <c r="U136" s="106" t="s">
        <v>102</v>
      </c>
      <c r="V136" s="107">
        <v>13</v>
      </c>
      <c r="W136" s="108"/>
      <c r="X136" s="109" t="s">
        <v>117</v>
      </c>
      <c r="Y136" s="20">
        <f t="shared" si="6"/>
        <v>0</v>
      </c>
      <c r="AA136" s="98">
        <f t="shared" ref="AA136:AA199" si="7">H136-I136</f>
        <v>0</v>
      </c>
      <c r="AB136" s="98">
        <f t="shared" ref="AB136:AB199" si="8">R136-H136</f>
        <v>0</v>
      </c>
    </row>
    <row r="137" spans="1:28" ht="22.35" customHeight="1" thickBot="1" x14ac:dyDescent="0.3">
      <c r="A137" s="209"/>
      <c r="B137" s="209"/>
      <c r="C137" s="193"/>
      <c r="D137" s="194"/>
      <c r="E137" s="194"/>
      <c r="F137" s="227"/>
      <c r="G137" s="196"/>
      <c r="H137" s="191"/>
      <c r="I137" s="196"/>
      <c r="J137" s="194"/>
      <c r="K137" s="198"/>
      <c r="L137" s="198">
        <v>4</v>
      </c>
      <c r="M137" s="198"/>
      <c r="N137" s="228">
        <v>1</v>
      </c>
      <c r="O137" s="229"/>
      <c r="P137" s="230"/>
      <c r="Q137" s="230"/>
      <c r="R137" s="231"/>
      <c r="S137" s="232" t="s">
        <v>127</v>
      </c>
      <c r="T137" s="125" t="str">
        <f>INDEX([1]data!$B$1:$B$100,MATCH('04.02 - 10.02'!S137,[0]!exclusive01,))</f>
        <v>CHIEN</v>
      </c>
      <c r="U137" s="125" t="s">
        <v>102</v>
      </c>
      <c r="V137" s="233">
        <v>13</v>
      </c>
      <c r="W137" s="108"/>
      <c r="X137" s="109" t="s">
        <v>119</v>
      </c>
      <c r="Y137" s="20">
        <f t="shared" si="6"/>
        <v>0</v>
      </c>
      <c r="AA137" s="98">
        <f t="shared" si="7"/>
        <v>0</v>
      </c>
      <c r="AB137" s="98">
        <f t="shared" si="8"/>
        <v>0</v>
      </c>
    </row>
    <row r="138" spans="1:28" ht="22.35" customHeight="1" thickBot="1" x14ac:dyDescent="0.3">
      <c r="A138" s="80"/>
      <c r="B138" s="80"/>
      <c r="F138" s="141"/>
      <c r="H138" s="191"/>
      <c r="I138" s="84"/>
      <c r="K138" s="86"/>
      <c r="L138" s="86"/>
      <c r="M138" s="86"/>
      <c r="O138" s="88"/>
      <c r="P138" s="136"/>
      <c r="Q138" s="90"/>
      <c r="R138" s="91"/>
      <c r="S138" s="139" t="s">
        <v>100</v>
      </c>
      <c r="T138" s="140" t="s">
        <v>99</v>
      </c>
      <c r="U138" s="94" t="s">
        <v>128</v>
      </c>
      <c r="V138" s="95">
        <v>14</v>
      </c>
      <c r="W138" s="108"/>
      <c r="X138" s="109"/>
      <c r="Y138" s="20">
        <f t="shared" si="6"/>
        <v>0</v>
      </c>
      <c r="AA138" s="98">
        <f t="shared" si="7"/>
        <v>0</v>
      </c>
      <c r="AB138" s="98">
        <f t="shared" si="8"/>
        <v>0</v>
      </c>
    </row>
    <row r="139" spans="1:28" ht="22.35" customHeight="1" thickBot="1" x14ac:dyDescent="0.3">
      <c r="A139" s="80"/>
      <c r="B139" s="80"/>
      <c r="F139" s="141"/>
      <c r="H139" s="191"/>
      <c r="I139" s="84"/>
      <c r="K139" s="86"/>
      <c r="L139" s="86"/>
      <c r="M139" s="86"/>
      <c r="O139" s="100"/>
      <c r="P139" s="143"/>
      <c r="Q139" s="102"/>
      <c r="R139" s="103"/>
      <c r="S139" s="144" t="s">
        <v>100</v>
      </c>
      <c r="T139" s="112" t="s">
        <v>99</v>
      </c>
      <c r="U139" s="106" t="s">
        <v>128</v>
      </c>
      <c r="V139" s="107">
        <v>14</v>
      </c>
      <c r="W139" s="108"/>
      <c r="X139" s="109"/>
      <c r="Y139" s="20">
        <f t="shared" si="6"/>
        <v>0</v>
      </c>
      <c r="AA139" s="98">
        <f t="shared" si="7"/>
        <v>0</v>
      </c>
      <c r="AB139" s="98">
        <f t="shared" si="8"/>
        <v>0</v>
      </c>
    </row>
    <row r="140" spans="1:28" ht="22.35" customHeight="1" thickBot="1" x14ac:dyDescent="0.3">
      <c r="A140" s="80"/>
      <c r="B140" s="80"/>
      <c r="F140" s="141"/>
      <c r="H140" s="191"/>
      <c r="I140" s="84"/>
      <c r="K140" s="86"/>
      <c r="L140" s="86"/>
      <c r="M140" s="86"/>
      <c r="O140" s="100"/>
      <c r="P140" s="143"/>
      <c r="Q140" s="102"/>
      <c r="R140" s="103"/>
      <c r="S140" s="144" t="s">
        <v>100</v>
      </c>
      <c r="T140" s="112" t="s">
        <v>99</v>
      </c>
      <c r="U140" s="106" t="s">
        <v>128</v>
      </c>
      <c r="V140" s="107">
        <v>14</v>
      </c>
      <c r="W140" s="108"/>
      <c r="X140" s="109"/>
      <c r="Y140" s="20">
        <f t="shared" si="6"/>
        <v>0</v>
      </c>
      <c r="AA140" s="98">
        <f t="shared" si="7"/>
        <v>0</v>
      </c>
      <c r="AB140" s="98">
        <f t="shared" si="8"/>
        <v>0</v>
      </c>
    </row>
    <row r="141" spans="1:28" ht="22.35" customHeight="1" thickBot="1" x14ac:dyDescent="0.3">
      <c r="A141" s="80"/>
      <c r="B141" s="80"/>
      <c r="F141" s="141"/>
      <c r="H141" s="191"/>
      <c r="I141" s="84"/>
      <c r="K141" s="86"/>
      <c r="L141" s="86"/>
      <c r="M141" s="86"/>
      <c r="O141" s="100"/>
      <c r="P141" s="143"/>
      <c r="Q141" s="102"/>
      <c r="R141" s="103"/>
      <c r="S141" s="144" t="s">
        <v>100</v>
      </c>
      <c r="T141" s="112" t="s">
        <v>99</v>
      </c>
      <c r="U141" s="106" t="s">
        <v>128</v>
      </c>
      <c r="V141" s="107">
        <v>14</v>
      </c>
      <c r="W141" s="108"/>
      <c r="X141" s="109"/>
      <c r="Y141" s="20">
        <f t="shared" si="6"/>
        <v>0</v>
      </c>
      <c r="AA141" s="98">
        <f t="shared" si="7"/>
        <v>0</v>
      </c>
      <c r="AB141" s="98">
        <f t="shared" si="8"/>
        <v>0</v>
      </c>
    </row>
    <row r="142" spans="1:28" ht="22.35" customHeight="1" thickBot="1" x14ac:dyDescent="0.3">
      <c r="A142" s="80"/>
      <c r="B142" s="80"/>
      <c r="F142" s="141"/>
      <c r="H142" s="191"/>
      <c r="I142" s="84"/>
      <c r="K142" s="86"/>
      <c r="L142" s="86"/>
      <c r="M142" s="86"/>
      <c r="O142" s="100"/>
      <c r="P142" s="143"/>
      <c r="Q142" s="102"/>
      <c r="R142" s="103"/>
      <c r="S142" s="144" t="s">
        <v>100</v>
      </c>
      <c r="T142" s="112" t="s">
        <v>99</v>
      </c>
      <c r="U142" s="106" t="s">
        <v>128</v>
      </c>
      <c r="V142" s="107">
        <v>14</v>
      </c>
      <c r="W142" s="108"/>
      <c r="X142" s="109"/>
      <c r="Y142" s="20">
        <f t="shared" si="6"/>
        <v>0</v>
      </c>
      <c r="AA142" s="98">
        <f t="shared" si="7"/>
        <v>0</v>
      </c>
      <c r="AB142" s="98">
        <f t="shared" si="8"/>
        <v>0</v>
      </c>
    </row>
    <row r="143" spans="1:28" ht="22.35" customHeight="1" thickBot="1" x14ac:dyDescent="0.3">
      <c r="A143" s="80"/>
      <c r="B143" s="80"/>
      <c r="F143" s="141"/>
      <c r="H143" s="191"/>
      <c r="I143" s="84"/>
      <c r="K143" s="86"/>
      <c r="L143" s="86"/>
      <c r="M143" s="86"/>
      <c r="O143" s="100"/>
      <c r="P143" s="143"/>
      <c r="Q143" s="102"/>
      <c r="R143" s="103"/>
      <c r="S143" s="144" t="s">
        <v>100</v>
      </c>
      <c r="T143" s="112" t="s">
        <v>99</v>
      </c>
      <c r="U143" s="106" t="s">
        <v>128</v>
      </c>
      <c r="V143" s="107">
        <v>14</v>
      </c>
      <c r="W143" s="108"/>
      <c r="X143" s="109"/>
      <c r="Y143" s="20">
        <f t="shared" si="6"/>
        <v>0</v>
      </c>
      <c r="AA143" s="98">
        <f t="shared" si="7"/>
        <v>0</v>
      </c>
      <c r="AB143" s="98">
        <f t="shared" si="8"/>
        <v>0</v>
      </c>
    </row>
    <row r="144" spans="1:28" ht="22.35" customHeight="1" thickBot="1" x14ac:dyDescent="0.3">
      <c r="A144" s="80"/>
      <c r="B144" s="80"/>
      <c r="F144" s="141"/>
      <c r="H144" s="191"/>
      <c r="I144" s="84"/>
      <c r="K144" s="86"/>
      <c r="L144" s="86"/>
      <c r="M144" s="86"/>
      <c r="O144" s="100"/>
      <c r="P144" s="143"/>
      <c r="Q144" s="102"/>
      <c r="R144" s="103"/>
      <c r="S144" s="144" t="s">
        <v>100</v>
      </c>
      <c r="T144" s="112" t="s">
        <v>99</v>
      </c>
      <c r="U144" s="106" t="s">
        <v>128</v>
      </c>
      <c r="V144" s="107">
        <v>14</v>
      </c>
      <c r="W144" s="108"/>
      <c r="X144" s="109"/>
      <c r="Y144" s="20">
        <f t="shared" si="6"/>
        <v>0</v>
      </c>
      <c r="AA144" s="98">
        <f t="shared" si="7"/>
        <v>0</v>
      </c>
      <c r="AB144" s="98">
        <f t="shared" si="8"/>
        <v>0</v>
      </c>
    </row>
    <row r="145" spans="1:28" ht="22.35" customHeight="1" thickBot="1" x14ac:dyDescent="0.3">
      <c r="A145" s="209"/>
      <c r="B145" s="209"/>
      <c r="C145" s="210"/>
      <c r="D145" s="211"/>
      <c r="E145" s="211"/>
      <c r="F145" s="236"/>
      <c r="G145" s="213"/>
      <c r="H145" s="237"/>
      <c r="I145" s="238"/>
      <c r="J145" s="211"/>
      <c r="K145" s="215"/>
      <c r="L145" s="215"/>
      <c r="M145" s="215"/>
      <c r="N145" s="216"/>
      <c r="O145" s="239"/>
      <c r="P145" s="240"/>
      <c r="Q145" s="154"/>
      <c r="R145" s="241"/>
      <c r="S145" s="242" t="s">
        <v>100</v>
      </c>
      <c r="T145" s="243" t="s">
        <v>99</v>
      </c>
      <c r="U145" s="244" t="s">
        <v>128</v>
      </c>
      <c r="V145" s="245">
        <v>14</v>
      </c>
      <c r="W145" s="108"/>
      <c r="X145" s="109"/>
      <c r="Y145" s="20">
        <f t="shared" si="6"/>
        <v>0</v>
      </c>
      <c r="AA145" s="98">
        <f t="shared" si="7"/>
        <v>0</v>
      </c>
      <c r="AB145" s="98">
        <f t="shared" si="8"/>
        <v>0</v>
      </c>
    </row>
    <row r="146" spans="1:28" ht="22.35" customHeight="1" thickBot="1" x14ac:dyDescent="0.3">
      <c r="A146" s="80"/>
      <c r="B146" s="80"/>
      <c r="H146" s="246"/>
      <c r="K146" s="86"/>
      <c r="L146" s="86">
        <v>4</v>
      </c>
      <c r="M146" s="86"/>
      <c r="N146" s="87">
        <v>1</v>
      </c>
      <c r="O146" s="235"/>
      <c r="P146" s="206"/>
      <c r="Q146" s="206"/>
      <c r="R146" s="207"/>
      <c r="S146" s="208" t="s">
        <v>129</v>
      </c>
      <c r="T146" s="94" t="str">
        <f>INDEX([1]data!$B$1:$B$100,MATCH('04.02 - 10.02'!S136,[0]!exclusive01,))</f>
        <v>CHIEN</v>
      </c>
      <c r="U146" s="94" t="s">
        <v>128</v>
      </c>
      <c r="V146" s="95">
        <v>14</v>
      </c>
      <c r="W146" s="108"/>
      <c r="X146" s="109" t="s">
        <v>45</v>
      </c>
      <c r="Y146" s="20">
        <f t="shared" si="6"/>
        <v>0</v>
      </c>
      <c r="AA146" s="98">
        <f t="shared" si="7"/>
        <v>0</v>
      </c>
      <c r="AB146" s="98">
        <f t="shared" si="8"/>
        <v>0</v>
      </c>
    </row>
    <row r="147" spans="1:28" ht="22.35" customHeight="1" thickBot="1" x14ac:dyDescent="0.3">
      <c r="A147" s="209"/>
      <c r="B147" s="209"/>
      <c r="C147" s="210"/>
      <c r="D147" s="211"/>
      <c r="E147" s="211"/>
      <c r="F147" s="212"/>
      <c r="G147" s="213"/>
      <c r="H147" s="237"/>
      <c r="I147" s="213"/>
      <c r="J147" s="211"/>
      <c r="K147" s="215"/>
      <c r="L147" s="215">
        <v>4</v>
      </c>
      <c r="M147" s="215"/>
      <c r="N147" s="216">
        <v>1</v>
      </c>
      <c r="O147" s="247"/>
      <c r="P147" s="248"/>
      <c r="Q147" s="248"/>
      <c r="R147" s="249"/>
      <c r="S147" s="250" t="s">
        <v>130</v>
      </c>
      <c r="T147" s="251" t="str">
        <f>INDEX([1]data!$B$1:$B$100,MATCH('04.02 - 10.02'!S137,[0]!exclusive01,))</f>
        <v>CHIEN</v>
      </c>
      <c r="U147" s="244" t="s">
        <v>128</v>
      </c>
      <c r="V147" s="245">
        <v>14</v>
      </c>
      <c r="W147" s="108"/>
      <c r="X147" s="109" t="s">
        <v>55</v>
      </c>
      <c r="Y147" s="20">
        <f t="shared" si="6"/>
        <v>0</v>
      </c>
      <c r="AA147" s="98">
        <f t="shared" si="7"/>
        <v>0</v>
      </c>
      <c r="AB147" s="98">
        <f t="shared" si="8"/>
        <v>0</v>
      </c>
    </row>
    <row r="148" spans="1:28" ht="22.35" customHeight="1" thickBot="1" x14ac:dyDescent="0.3">
      <c r="A148" s="80"/>
      <c r="B148" s="80"/>
      <c r="F148" s="141"/>
      <c r="H148" s="246"/>
      <c r="I148" s="84"/>
      <c r="K148" s="86"/>
      <c r="L148" s="86"/>
      <c r="M148" s="86"/>
      <c r="O148" s="88"/>
      <c r="P148" s="136"/>
      <c r="Q148" s="90"/>
      <c r="R148" s="91"/>
      <c r="S148" s="139" t="s">
        <v>100</v>
      </c>
      <c r="T148" s="140" t="s">
        <v>99</v>
      </c>
      <c r="U148" s="94" t="s">
        <v>131</v>
      </c>
      <c r="V148" s="95">
        <v>15</v>
      </c>
      <c r="W148" s="108"/>
      <c r="X148" s="109"/>
      <c r="Y148" s="20">
        <f t="shared" si="6"/>
        <v>0</v>
      </c>
      <c r="AA148" s="98">
        <f t="shared" si="7"/>
        <v>0</v>
      </c>
      <c r="AB148" s="98">
        <f t="shared" si="8"/>
        <v>0</v>
      </c>
    </row>
    <row r="149" spans="1:28" ht="22.35" customHeight="1" thickBot="1" x14ac:dyDescent="0.3">
      <c r="A149" s="80"/>
      <c r="B149" s="80"/>
      <c r="F149" s="141"/>
      <c r="H149" s="191"/>
      <c r="I149" s="84"/>
      <c r="K149" s="86"/>
      <c r="L149" s="86"/>
      <c r="M149" s="86"/>
      <c r="O149" s="100"/>
      <c r="P149" s="143"/>
      <c r="Q149" s="102"/>
      <c r="R149" s="103"/>
      <c r="S149" s="144" t="s">
        <v>100</v>
      </c>
      <c r="T149" s="112" t="s">
        <v>99</v>
      </c>
      <c r="U149" s="106" t="s">
        <v>131</v>
      </c>
      <c r="V149" s="107">
        <v>15</v>
      </c>
      <c r="W149" s="108"/>
      <c r="X149" s="109"/>
      <c r="Y149" s="20">
        <f t="shared" si="6"/>
        <v>0</v>
      </c>
      <c r="AA149" s="98">
        <f t="shared" si="7"/>
        <v>0</v>
      </c>
      <c r="AB149" s="98">
        <f t="shared" si="8"/>
        <v>0</v>
      </c>
    </row>
    <row r="150" spans="1:28" ht="22.35" customHeight="1" thickBot="1" x14ac:dyDescent="0.3">
      <c r="A150" s="80"/>
      <c r="B150" s="80"/>
      <c r="F150" s="141"/>
      <c r="H150" s="191"/>
      <c r="I150" s="84"/>
      <c r="K150" s="86"/>
      <c r="L150" s="86"/>
      <c r="M150" s="86"/>
      <c r="O150" s="100"/>
      <c r="P150" s="143"/>
      <c r="Q150" s="102"/>
      <c r="R150" s="103"/>
      <c r="S150" s="144" t="s">
        <v>100</v>
      </c>
      <c r="T150" s="112" t="s">
        <v>99</v>
      </c>
      <c r="U150" s="106" t="s">
        <v>131</v>
      </c>
      <c r="V150" s="107">
        <v>15</v>
      </c>
      <c r="W150" s="108"/>
      <c r="X150" s="109"/>
      <c r="Y150" s="20">
        <f t="shared" si="6"/>
        <v>0</v>
      </c>
      <c r="AA150" s="98">
        <f t="shared" si="7"/>
        <v>0</v>
      </c>
      <c r="AB150" s="98">
        <f t="shared" si="8"/>
        <v>0</v>
      </c>
    </row>
    <row r="151" spans="1:28" ht="22.35" customHeight="1" thickBot="1" x14ac:dyDescent="0.3">
      <c r="A151" s="80"/>
      <c r="B151" s="80"/>
      <c r="F151" s="141"/>
      <c r="H151" s="191"/>
      <c r="I151" s="84"/>
      <c r="K151" s="86"/>
      <c r="L151" s="86"/>
      <c r="M151" s="86"/>
      <c r="O151" s="100"/>
      <c r="P151" s="143"/>
      <c r="Q151" s="102"/>
      <c r="R151" s="103"/>
      <c r="S151" s="144" t="s">
        <v>100</v>
      </c>
      <c r="T151" s="112" t="s">
        <v>99</v>
      </c>
      <c r="U151" s="106" t="s">
        <v>131</v>
      </c>
      <c r="V151" s="107">
        <v>15</v>
      </c>
      <c r="W151" s="108"/>
      <c r="X151" s="109"/>
      <c r="Y151" s="20">
        <f t="shared" si="6"/>
        <v>0</v>
      </c>
      <c r="AA151" s="98">
        <f t="shared" si="7"/>
        <v>0</v>
      </c>
      <c r="AB151" s="98">
        <f t="shared" si="8"/>
        <v>0</v>
      </c>
    </row>
    <row r="152" spans="1:28" ht="22.35" customHeight="1" thickBot="1" x14ac:dyDescent="0.3">
      <c r="A152" s="80"/>
      <c r="B152" s="80"/>
      <c r="F152" s="141"/>
      <c r="H152" s="191"/>
      <c r="I152" s="84"/>
      <c r="K152" s="86"/>
      <c r="L152" s="86"/>
      <c r="M152" s="86"/>
      <c r="O152" s="100"/>
      <c r="P152" s="143"/>
      <c r="Q152" s="102"/>
      <c r="R152" s="103"/>
      <c r="S152" s="144" t="s">
        <v>100</v>
      </c>
      <c r="T152" s="112" t="s">
        <v>99</v>
      </c>
      <c r="U152" s="106" t="s">
        <v>131</v>
      </c>
      <c r="V152" s="107">
        <v>15</v>
      </c>
      <c r="W152" s="108"/>
      <c r="X152" s="109"/>
      <c r="Y152" s="20">
        <f t="shared" si="6"/>
        <v>0</v>
      </c>
      <c r="AA152" s="98">
        <f t="shared" si="7"/>
        <v>0</v>
      </c>
      <c r="AB152" s="98">
        <f t="shared" si="8"/>
        <v>0</v>
      </c>
    </row>
    <row r="153" spans="1:28" ht="22.35" customHeight="1" thickBot="1" x14ac:dyDescent="0.3">
      <c r="A153" s="80"/>
      <c r="B153" s="80"/>
      <c r="F153" s="141"/>
      <c r="H153" s="191"/>
      <c r="I153" s="84"/>
      <c r="K153" s="86"/>
      <c r="L153" s="86"/>
      <c r="M153" s="86"/>
      <c r="O153" s="100"/>
      <c r="P153" s="143"/>
      <c r="Q153" s="102"/>
      <c r="R153" s="103"/>
      <c r="S153" s="144" t="s">
        <v>100</v>
      </c>
      <c r="T153" s="112" t="s">
        <v>99</v>
      </c>
      <c r="U153" s="106" t="s">
        <v>131</v>
      </c>
      <c r="V153" s="107">
        <v>15</v>
      </c>
      <c r="W153" s="108"/>
      <c r="X153" s="109"/>
      <c r="Y153" s="20">
        <f t="shared" si="6"/>
        <v>0</v>
      </c>
      <c r="AA153" s="98">
        <f t="shared" si="7"/>
        <v>0</v>
      </c>
      <c r="AB153" s="98">
        <f t="shared" si="8"/>
        <v>0</v>
      </c>
    </row>
    <row r="154" spans="1:28" ht="22.35" customHeight="1" thickBot="1" x14ac:dyDescent="0.3">
      <c r="A154" s="80"/>
      <c r="B154" s="80"/>
      <c r="F154" s="141"/>
      <c r="H154" s="191"/>
      <c r="I154" s="84"/>
      <c r="K154" s="86"/>
      <c r="L154" s="86"/>
      <c r="M154" s="86"/>
      <c r="O154" s="100"/>
      <c r="P154" s="143"/>
      <c r="Q154" s="102"/>
      <c r="R154" s="103"/>
      <c r="S154" s="144" t="s">
        <v>100</v>
      </c>
      <c r="T154" s="112" t="s">
        <v>99</v>
      </c>
      <c r="U154" s="106" t="s">
        <v>131</v>
      </c>
      <c r="V154" s="107">
        <v>15</v>
      </c>
      <c r="W154" s="108"/>
      <c r="X154" s="109"/>
      <c r="Y154" s="20">
        <f t="shared" si="6"/>
        <v>0</v>
      </c>
      <c r="AA154" s="98">
        <f t="shared" si="7"/>
        <v>0</v>
      </c>
      <c r="AB154" s="98">
        <f t="shared" si="8"/>
        <v>0</v>
      </c>
    </row>
    <row r="155" spans="1:28" ht="22.35" customHeight="1" thickBot="1" x14ac:dyDescent="0.3">
      <c r="A155" s="209"/>
      <c r="B155" s="209"/>
      <c r="C155" s="210"/>
      <c r="D155" s="211"/>
      <c r="E155" s="211"/>
      <c r="F155" s="236"/>
      <c r="G155" s="213"/>
      <c r="H155" s="191"/>
      <c r="I155" s="238"/>
      <c r="J155" s="211"/>
      <c r="K155" s="215"/>
      <c r="L155" s="215"/>
      <c r="M155" s="215"/>
      <c r="N155" s="216"/>
      <c r="O155" s="239"/>
      <c r="P155" s="240"/>
      <c r="Q155" s="154"/>
      <c r="R155" s="241"/>
      <c r="S155" s="242" t="s">
        <v>100</v>
      </c>
      <c r="T155" s="243" t="s">
        <v>99</v>
      </c>
      <c r="U155" s="244" t="s">
        <v>131</v>
      </c>
      <c r="V155" s="233">
        <v>15</v>
      </c>
      <c r="W155" s="108"/>
      <c r="X155" s="109"/>
      <c r="Y155" s="20">
        <f t="shared" si="6"/>
        <v>0</v>
      </c>
      <c r="AA155" s="98">
        <f t="shared" si="7"/>
        <v>0</v>
      </c>
      <c r="AB155" s="98">
        <f t="shared" si="8"/>
        <v>0</v>
      </c>
    </row>
    <row r="156" spans="1:28" ht="22.35" customHeight="1" thickBot="1" x14ac:dyDescent="0.3">
      <c r="A156" s="80"/>
      <c r="B156" s="80"/>
      <c r="H156" s="191"/>
      <c r="K156" s="86"/>
      <c r="L156" s="86">
        <v>4</v>
      </c>
      <c r="M156" s="86"/>
      <c r="N156" s="87">
        <v>1</v>
      </c>
      <c r="O156" s="223"/>
      <c r="P156" s="224"/>
      <c r="Q156" s="224"/>
      <c r="R156" s="225"/>
      <c r="S156" s="226" t="s">
        <v>132</v>
      </c>
      <c r="T156" s="94" t="s">
        <v>99</v>
      </c>
      <c r="U156" s="106" t="s">
        <v>131</v>
      </c>
      <c r="V156" s="107">
        <v>15</v>
      </c>
      <c r="W156" s="108"/>
      <c r="X156" s="109" t="s">
        <v>45</v>
      </c>
      <c r="Y156" s="20">
        <f t="shared" si="6"/>
        <v>0</v>
      </c>
      <c r="AA156" s="98">
        <f t="shared" si="7"/>
        <v>0</v>
      </c>
      <c r="AB156" s="98">
        <f t="shared" si="8"/>
        <v>0</v>
      </c>
    </row>
    <row r="157" spans="1:28" ht="22.35" customHeight="1" thickBot="1" x14ac:dyDescent="0.3">
      <c r="A157" s="209"/>
      <c r="B157" s="209"/>
      <c r="C157" s="193"/>
      <c r="D157" s="194"/>
      <c r="E157" s="194"/>
      <c r="F157" s="227"/>
      <c r="G157" s="196"/>
      <c r="H157" s="191"/>
      <c r="I157" s="196"/>
      <c r="J157" s="194"/>
      <c r="K157" s="198"/>
      <c r="L157" s="198">
        <v>4</v>
      </c>
      <c r="M157" s="198"/>
      <c r="N157" s="228">
        <v>1</v>
      </c>
      <c r="O157" s="229"/>
      <c r="P157" s="230"/>
      <c r="Q157" s="230"/>
      <c r="R157" s="231"/>
      <c r="S157" s="232" t="s">
        <v>133</v>
      </c>
      <c r="T157" s="251" t="s">
        <v>99</v>
      </c>
      <c r="U157" s="125" t="s">
        <v>131</v>
      </c>
      <c r="V157" s="233">
        <v>15</v>
      </c>
      <c r="W157" s="108"/>
      <c r="X157" s="109" t="s">
        <v>55</v>
      </c>
      <c r="Y157" s="20">
        <f t="shared" si="6"/>
        <v>0</v>
      </c>
      <c r="AA157" s="98">
        <f t="shared" si="7"/>
        <v>0</v>
      </c>
      <c r="AB157" s="98">
        <f t="shared" si="8"/>
        <v>0</v>
      </c>
    </row>
    <row r="158" spans="1:28" ht="22.35" customHeight="1" thickBot="1" x14ac:dyDescent="0.3">
      <c r="A158" s="80"/>
      <c r="B158" s="80"/>
      <c r="C158" s="128"/>
      <c r="D158" s="129"/>
      <c r="E158" s="129"/>
      <c r="F158" s="234"/>
      <c r="G158" s="132"/>
      <c r="H158" s="191"/>
      <c r="I158" s="132"/>
      <c r="J158" s="129"/>
      <c r="K158" s="133"/>
      <c r="L158" s="133">
        <v>4</v>
      </c>
      <c r="M158" s="133"/>
      <c r="N158" s="134">
        <v>1</v>
      </c>
      <c r="O158" s="235"/>
      <c r="P158" s="206"/>
      <c r="Q158" s="206"/>
      <c r="R158" s="207"/>
      <c r="S158" s="226" t="s">
        <v>134</v>
      </c>
      <c r="T158" s="140" t="s">
        <v>99</v>
      </c>
      <c r="U158" s="106" t="s">
        <v>131</v>
      </c>
      <c r="V158" s="107">
        <v>16</v>
      </c>
      <c r="W158" s="108"/>
      <c r="X158" s="109" t="s">
        <v>45</v>
      </c>
      <c r="Y158" s="20">
        <f t="shared" si="6"/>
        <v>0</v>
      </c>
      <c r="AA158" s="98">
        <f t="shared" si="7"/>
        <v>0</v>
      </c>
      <c r="AB158" s="98">
        <f t="shared" si="8"/>
        <v>0</v>
      </c>
    </row>
    <row r="159" spans="1:28" ht="22.35" customHeight="1" thickBot="1" x14ac:dyDescent="0.3">
      <c r="A159" s="80"/>
      <c r="B159" s="80"/>
      <c r="H159" s="191"/>
      <c r="K159" s="86"/>
      <c r="L159" s="86">
        <v>4</v>
      </c>
      <c r="M159" s="86"/>
      <c r="N159" s="87">
        <v>1</v>
      </c>
      <c r="O159" s="223"/>
      <c r="P159" s="224"/>
      <c r="Q159" s="224"/>
      <c r="R159" s="225"/>
      <c r="S159" s="226" t="s">
        <v>135</v>
      </c>
      <c r="T159" s="112" t="s">
        <v>99</v>
      </c>
      <c r="U159" s="106" t="s">
        <v>131</v>
      </c>
      <c r="V159" s="107">
        <v>16</v>
      </c>
      <c r="W159" s="108"/>
      <c r="X159" s="109" t="s">
        <v>55</v>
      </c>
      <c r="Y159" s="20">
        <f t="shared" si="6"/>
        <v>0</v>
      </c>
      <c r="AA159" s="98">
        <f t="shared" si="7"/>
        <v>0</v>
      </c>
      <c r="AB159" s="98">
        <f t="shared" si="8"/>
        <v>0</v>
      </c>
    </row>
    <row r="160" spans="1:28" ht="22.35" customHeight="1" thickBot="1" x14ac:dyDescent="0.3">
      <c r="A160" s="80"/>
      <c r="B160" s="80"/>
      <c r="H160" s="191"/>
      <c r="K160" s="86"/>
      <c r="L160" s="86">
        <v>4</v>
      </c>
      <c r="M160" s="86"/>
      <c r="N160" s="87">
        <v>1</v>
      </c>
      <c r="O160" s="223"/>
      <c r="P160" s="224"/>
      <c r="Q160" s="224"/>
      <c r="R160" s="225"/>
      <c r="S160" s="226" t="s">
        <v>136</v>
      </c>
      <c r="T160" s="112" t="s">
        <v>99</v>
      </c>
      <c r="U160" s="106" t="s">
        <v>131</v>
      </c>
      <c r="V160" s="107">
        <v>16</v>
      </c>
      <c r="W160" s="108"/>
      <c r="X160" s="109" t="s">
        <v>117</v>
      </c>
      <c r="Y160" s="20">
        <f t="shared" si="6"/>
        <v>0</v>
      </c>
      <c r="AA160" s="98">
        <f t="shared" si="7"/>
        <v>0</v>
      </c>
      <c r="AB160" s="98">
        <f t="shared" si="8"/>
        <v>0</v>
      </c>
    </row>
    <row r="161" spans="1:35" ht="22.35" customHeight="1" thickBot="1" x14ac:dyDescent="0.3">
      <c r="A161" s="209"/>
      <c r="B161" s="209"/>
      <c r="C161" s="193"/>
      <c r="D161" s="194"/>
      <c r="E161" s="194"/>
      <c r="F161" s="227"/>
      <c r="G161" s="196"/>
      <c r="H161" s="191"/>
      <c r="I161" s="196"/>
      <c r="J161" s="194"/>
      <c r="K161" s="198"/>
      <c r="L161" s="198">
        <v>4</v>
      </c>
      <c r="M161" s="198"/>
      <c r="N161" s="228">
        <v>1</v>
      </c>
      <c r="O161" s="229"/>
      <c r="P161" s="230"/>
      <c r="Q161" s="230"/>
      <c r="R161" s="231"/>
      <c r="S161" s="232" t="s">
        <v>137</v>
      </c>
      <c r="T161" s="251" t="s">
        <v>99</v>
      </c>
      <c r="U161" s="125" t="s">
        <v>131</v>
      </c>
      <c r="V161" s="233">
        <v>16</v>
      </c>
      <c r="W161" s="108"/>
      <c r="X161" s="109" t="s">
        <v>119</v>
      </c>
      <c r="Y161" s="20">
        <f t="shared" si="6"/>
        <v>0</v>
      </c>
      <c r="AA161" s="98">
        <f t="shared" si="7"/>
        <v>0</v>
      </c>
      <c r="AB161" s="98">
        <f t="shared" si="8"/>
        <v>0</v>
      </c>
    </row>
    <row r="162" spans="1:35" ht="22.35" customHeight="1" thickBot="1" x14ac:dyDescent="0.3">
      <c r="A162" s="127"/>
      <c r="B162" s="127"/>
      <c r="C162" s="128"/>
      <c r="D162" s="129"/>
      <c r="E162" s="129"/>
      <c r="F162" s="130"/>
      <c r="G162" s="132"/>
      <c r="H162" s="99"/>
      <c r="I162" s="158"/>
      <c r="J162" s="129"/>
      <c r="K162" s="159"/>
      <c r="L162" s="133"/>
      <c r="M162" s="133"/>
      <c r="N162" s="134"/>
      <c r="O162" s="135"/>
      <c r="P162" s="136"/>
      <c r="Q162" s="137"/>
      <c r="R162" s="138"/>
      <c r="S162" s="144" t="s">
        <v>138</v>
      </c>
      <c r="T162" s="140" t="s">
        <v>99</v>
      </c>
      <c r="U162" s="106"/>
      <c r="V162" s="107">
        <v>17</v>
      </c>
      <c r="W162" s="96"/>
      <c r="X162" s="97"/>
      <c r="Y162" s="20">
        <f t="shared" si="6"/>
        <v>0</v>
      </c>
      <c r="AA162" s="98">
        <f t="shared" si="7"/>
        <v>0</v>
      </c>
      <c r="AB162" s="98">
        <f t="shared" si="8"/>
        <v>0</v>
      </c>
      <c r="AC162" s="110"/>
      <c r="AD162" s="77"/>
      <c r="AE162" s="77"/>
      <c r="AF162" s="75"/>
      <c r="AG162" s="75"/>
      <c r="AH162" s="75"/>
      <c r="AI162" s="75"/>
    </row>
    <row r="163" spans="1:35" ht="22.35" customHeight="1" thickBot="1" x14ac:dyDescent="0.3">
      <c r="A163" s="80"/>
      <c r="B163" s="80"/>
      <c r="F163" s="141"/>
      <c r="H163" s="99"/>
      <c r="I163" s="84"/>
      <c r="K163" s="86"/>
      <c r="L163" s="86"/>
      <c r="M163" s="86"/>
      <c r="O163" s="100"/>
      <c r="P163" s="143"/>
      <c r="Q163" s="102"/>
      <c r="R163" s="103"/>
      <c r="S163" s="144" t="s">
        <v>138</v>
      </c>
      <c r="T163" s="112" t="s">
        <v>99</v>
      </c>
      <c r="U163" s="106"/>
      <c r="V163" s="107">
        <v>17</v>
      </c>
      <c r="W163" s="108"/>
      <c r="X163" s="109"/>
      <c r="Y163" s="20">
        <f t="shared" si="6"/>
        <v>0</v>
      </c>
      <c r="AA163" s="98">
        <f t="shared" si="7"/>
        <v>0</v>
      </c>
      <c r="AB163" s="98">
        <f t="shared" si="8"/>
        <v>0</v>
      </c>
      <c r="AC163" s="110"/>
      <c r="AD163" s="77"/>
      <c r="AE163" s="77"/>
      <c r="AF163" s="75"/>
      <c r="AG163" s="75"/>
      <c r="AH163" s="75"/>
      <c r="AI163" s="75"/>
    </row>
    <row r="164" spans="1:35" ht="22.35" customHeight="1" thickBot="1" x14ac:dyDescent="0.3">
      <c r="A164" s="80"/>
      <c r="B164" s="80"/>
      <c r="F164" s="141"/>
      <c r="H164" s="99"/>
      <c r="I164" s="84"/>
      <c r="K164" s="86"/>
      <c r="L164" s="86"/>
      <c r="M164" s="86"/>
      <c r="O164" s="100"/>
      <c r="P164" s="143"/>
      <c r="Q164" s="90"/>
      <c r="R164" s="91"/>
      <c r="S164" s="144" t="s">
        <v>138</v>
      </c>
      <c r="T164" s="112" t="s">
        <v>99</v>
      </c>
      <c r="U164" s="106"/>
      <c r="V164" s="107">
        <v>17</v>
      </c>
      <c r="W164" s="108"/>
      <c r="X164" s="109"/>
      <c r="Y164" s="20">
        <f t="shared" si="6"/>
        <v>0</v>
      </c>
      <c r="AA164" s="98">
        <f t="shared" si="7"/>
        <v>0</v>
      </c>
      <c r="AB164" s="98">
        <f t="shared" si="8"/>
        <v>0</v>
      </c>
      <c r="AC164" s="110"/>
      <c r="AD164" s="77"/>
      <c r="AE164" s="77"/>
      <c r="AF164" s="75"/>
      <c r="AG164" s="75"/>
      <c r="AH164" s="75"/>
      <c r="AI164" s="75"/>
    </row>
    <row r="165" spans="1:35" ht="22.35" customHeight="1" thickBot="1" x14ac:dyDescent="0.3">
      <c r="A165" s="80"/>
      <c r="B165" s="80"/>
      <c r="F165" s="141"/>
      <c r="H165" s="99"/>
      <c r="I165" s="84"/>
      <c r="K165" s="86"/>
      <c r="L165" s="86"/>
      <c r="M165" s="86"/>
      <c r="O165" s="100"/>
      <c r="P165" s="143"/>
      <c r="Q165" s="90"/>
      <c r="R165" s="91"/>
      <c r="S165" s="144" t="s">
        <v>138</v>
      </c>
      <c r="T165" s="112" t="s">
        <v>99</v>
      </c>
      <c r="U165" s="106"/>
      <c r="V165" s="107">
        <v>17</v>
      </c>
      <c r="W165" s="108"/>
      <c r="X165" s="109"/>
      <c r="Y165" s="20">
        <f t="shared" si="6"/>
        <v>0</v>
      </c>
      <c r="AA165" s="98">
        <f t="shared" si="7"/>
        <v>0</v>
      </c>
      <c r="AB165" s="98">
        <f t="shared" si="8"/>
        <v>0</v>
      </c>
      <c r="AC165" s="110"/>
      <c r="AD165" s="77"/>
      <c r="AE165" s="77"/>
      <c r="AF165" s="75"/>
      <c r="AG165" s="75"/>
      <c r="AH165" s="75"/>
      <c r="AI165" s="75"/>
    </row>
    <row r="166" spans="1:35" ht="22.35" customHeight="1" thickBot="1" x14ac:dyDescent="0.3">
      <c r="A166" s="80"/>
      <c r="B166" s="80"/>
      <c r="F166" s="141"/>
      <c r="H166" s="99"/>
      <c r="I166" s="84"/>
      <c r="K166" s="86"/>
      <c r="L166" s="86"/>
      <c r="M166" s="86"/>
      <c r="O166" s="100"/>
      <c r="P166" s="143"/>
      <c r="Q166" s="90"/>
      <c r="R166" s="91"/>
      <c r="S166" s="144" t="s">
        <v>138</v>
      </c>
      <c r="T166" s="112" t="s">
        <v>99</v>
      </c>
      <c r="U166" s="106"/>
      <c r="V166" s="107">
        <v>17</v>
      </c>
      <c r="W166" s="108"/>
      <c r="X166" s="109"/>
      <c r="Y166" s="20">
        <f t="shared" si="6"/>
        <v>0</v>
      </c>
      <c r="AA166" s="98">
        <f t="shared" si="7"/>
        <v>0</v>
      </c>
      <c r="AB166" s="98">
        <f t="shared" si="8"/>
        <v>0</v>
      </c>
      <c r="AC166" s="110"/>
      <c r="AD166" s="77"/>
      <c r="AE166" s="77"/>
      <c r="AF166" s="75"/>
      <c r="AG166" s="75"/>
      <c r="AH166" s="75"/>
      <c r="AI166" s="75"/>
    </row>
    <row r="167" spans="1:35" ht="22.35" customHeight="1" thickBot="1" x14ac:dyDescent="0.3">
      <c r="A167" s="80"/>
      <c r="B167" s="80"/>
      <c r="F167" s="141"/>
      <c r="H167" s="99"/>
      <c r="I167" s="84"/>
      <c r="K167" s="86"/>
      <c r="L167" s="86"/>
      <c r="M167" s="86"/>
      <c r="O167" s="100"/>
      <c r="P167" s="143"/>
      <c r="Q167" s="90"/>
      <c r="R167" s="91"/>
      <c r="S167" s="144" t="s">
        <v>138</v>
      </c>
      <c r="T167" s="112" t="s">
        <v>99</v>
      </c>
      <c r="U167" s="106"/>
      <c r="V167" s="107">
        <v>17</v>
      </c>
      <c r="W167" s="108"/>
      <c r="X167" s="109"/>
      <c r="Y167" s="20">
        <f t="shared" si="6"/>
        <v>0</v>
      </c>
      <c r="AA167" s="98">
        <f t="shared" si="7"/>
        <v>0</v>
      </c>
      <c r="AB167" s="98">
        <f t="shared" si="8"/>
        <v>0</v>
      </c>
      <c r="AC167" s="110"/>
      <c r="AD167" s="77"/>
      <c r="AE167" s="77"/>
      <c r="AF167" s="75"/>
      <c r="AG167" s="75"/>
      <c r="AH167" s="75"/>
      <c r="AI167" s="75"/>
    </row>
    <row r="168" spans="1:35" ht="22.35" customHeight="1" thickBot="1" x14ac:dyDescent="0.3">
      <c r="A168" s="80"/>
      <c r="B168" s="80"/>
      <c r="F168" s="141"/>
      <c r="H168" s="99"/>
      <c r="I168" s="84"/>
      <c r="K168" s="86"/>
      <c r="L168" s="86"/>
      <c r="M168" s="86"/>
      <c r="O168" s="100"/>
      <c r="P168" s="143"/>
      <c r="Q168" s="90"/>
      <c r="R168" s="91"/>
      <c r="S168" s="144" t="s">
        <v>138</v>
      </c>
      <c r="T168" s="112" t="s">
        <v>99</v>
      </c>
      <c r="U168" s="106"/>
      <c r="V168" s="107">
        <v>17</v>
      </c>
      <c r="W168" s="108"/>
      <c r="X168" s="109"/>
      <c r="Y168" s="20">
        <f t="shared" si="6"/>
        <v>0</v>
      </c>
      <c r="AA168" s="98">
        <f t="shared" si="7"/>
        <v>0</v>
      </c>
      <c r="AB168" s="98">
        <f t="shared" si="8"/>
        <v>0</v>
      </c>
      <c r="AC168" s="110"/>
      <c r="AD168" s="77"/>
      <c r="AE168" s="77"/>
      <c r="AF168" s="75"/>
      <c r="AG168" s="75"/>
      <c r="AH168" s="75"/>
      <c r="AI168" s="75"/>
    </row>
    <row r="169" spans="1:35" ht="22.35" customHeight="1" thickBot="1" x14ac:dyDescent="0.3">
      <c r="A169" s="80"/>
      <c r="B169" s="80"/>
      <c r="F169" s="141"/>
      <c r="H169" s="99"/>
      <c r="I169" s="84"/>
      <c r="K169" s="86"/>
      <c r="L169" s="86"/>
      <c r="M169" s="86"/>
      <c r="O169" s="100"/>
      <c r="P169" s="143"/>
      <c r="Q169" s="90"/>
      <c r="R169" s="91"/>
      <c r="S169" s="144" t="s">
        <v>138</v>
      </c>
      <c r="T169" s="112" t="s">
        <v>99</v>
      </c>
      <c r="U169" s="106"/>
      <c r="V169" s="107">
        <v>17</v>
      </c>
      <c r="W169" s="108"/>
      <c r="X169" s="109"/>
      <c r="Y169" s="20">
        <f t="shared" si="6"/>
        <v>0</v>
      </c>
      <c r="AA169" s="98">
        <f t="shared" si="7"/>
        <v>0</v>
      </c>
      <c r="AB169" s="98">
        <f t="shared" si="8"/>
        <v>0</v>
      </c>
      <c r="AC169" s="110"/>
      <c r="AD169" s="77"/>
      <c r="AE169" s="77"/>
      <c r="AF169" s="75"/>
      <c r="AG169" s="75"/>
      <c r="AH169" s="75"/>
      <c r="AI169" s="75"/>
    </row>
    <row r="170" spans="1:35" ht="22.35" customHeight="1" thickBot="1" x14ac:dyDescent="0.3">
      <c r="A170" s="80"/>
      <c r="B170" s="80"/>
      <c r="F170" s="141"/>
      <c r="H170" s="99"/>
      <c r="I170" s="84"/>
      <c r="K170" s="86"/>
      <c r="L170" s="86"/>
      <c r="M170" s="86"/>
      <c r="O170" s="100"/>
      <c r="P170" s="143"/>
      <c r="Q170" s="90"/>
      <c r="R170" s="91"/>
      <c r="S170" s="144" t="s">
        <v>138</v>
      </c>
      <c r="T170" s="112" t="s">
        <v>99</v>
      </c>
      <c r="U170" s="106"/>
      <c r="V170" s="107">
        <v>17</v>
      </c>
      <c r="W170" s="108"/>
      <c r="X170" s="109"/>
      <c r="Y170" s="20">
        <f t="shared" si="6"/>
        <v>0</v>
      </c>
      <c r="AA170" s="98">
        <f t="shared" si="7"/>
        <v>0</v>
      </c>
      <c r="AB170" s="98">
        <f t="shared" si="8"/>
        <v>0</v>
      </c>
      <c r="AC170" s="110"/>
      <c r="AD170" s="77"/>
      <c r="AE170" s="77"/>
      <c r="AF170" s="75"/>
      <c r="AG170" s="75"/>
      <c r="AH170" s="75"/>
      <c r="AI170" s="75"/>
    </row>
    <row r="171" spans="1:35" ht="22.35" customHeight="1" thickBot="1" x14ac:dyDescent="0.3">
      <c r="A171" s="80"/>
      <c r="B171" s="80"/>
      <c r="F171" s="141"/>
      <c r="H171" s="99"/>
      <c r="I171" s="84"/>
      <c r="K171" s="86"/>
      <c r="L171" s="86"/>
      <c r="M171" s="86"/>
      <c r="O171" s="100"/>
      <c r="P171" s="143"/>
      <c r="Q171" s="90"/>
      <c r="R171" s="91"/>
      <c r="S171" s="144" t="s">
        <v>138</v>
      </c>
      <c r="T171" s="112" t="s">
        <v>99</v>
      </c>
      <c r="U171" s="106"/>
      <c r="V171" s="107">
        <v>17</v>
      </c>
      <c r="W171" s="108"/>
      <c r="X171" s="109"/>
      <c r="Y171" s="20">
        <f t="shared" si="6"/>
        <v>0</v>
      </c>
      <c r="AA171" s="98">
        <f t="shared" si="7"/>
        <v>0</v>
      </c>
      <c r="AB171" s="98">
        <f t="shared" si="8"/>
        <v>0</v>
      </c>
      <c r="AC171" s="110"/>
      <c r="AD171" s="77"/>
      <c r="AE171" s="77"/>
      <c r="AF171" s="75"/>
      <c r="AG171" s="75"/>
      <c r="AH171" s="75"/>
      <c r="AI171" s="75"/>
    </row>
    <row r="172" spans="1:35" ht="22.35" customHeight="1" thickBot="1" x14ac:dyDescent="0.3">
      <c r="A172" s="80"/>
      <c r="B172" s="80"/>
      <c r="F172" s="141"/>
      <c r="H172" s="99"/>
      <c r="I172" s="84"/>
      <c r="K172" s="86"/>
      <c r="L172" s="86"/>
      <c r="M172" s="86"/>
      <c r="O172" s="100"/>
      <c r="P172" s="143"/>
      <c r="Q172" s="90"/>
      <c r="R172" s="91"/>
      <c r="S172" s="144" t="s">
        <v>138</v>
      </c>
      <c r="T172" s="112" t="s">
        <v>99</v>
      </c>
      <c r="U172" s="106"/>
      <c r="V172" s="107">
        <v>17</v>
      </c>
      <c r="W172" s="108"/>
      <c r="X172" s="109"/>
      <c r="Y172" s="20">
        <f t="shared" si="6"/>
        <v>0</v>
      </c>
      <c r="AA172" s="98">
        <f t="shared" si="7"/>
        <v>0</v>
      </c>
      <c r="AB172" s="98">
        <f t="shared" si="8"/>
        <v>0</v>
      </c>
      <c r="AC172" s="110"/>
      <c r="AD172" s="77"/>
      <c r="AE172" s="77"/>
      <c r="AF172" s="75"/>
      <c r="AG172" s="75"/>
      <c r="AH172" s="75"/>
      <c r="AI172" s="75"/>
    </row>
    <row r="173" spans="1:35" ht="22.35" customHeight="1" thickBot="1" x14ac:dyDescent="0.3">
      <c r="A173" s="80"/>
      <c r="B173" s="80"/>
      <c r="F173" s="141"/>
      <c r="H173" s="99"/>
      <c r="I173" s="84"/>
      <c r="K173" s="86"/>
      <c r="L173" s="86"/>
      <c r="M173" s="86"/>
      <c r="O173" s="100"/>
      <c r="P173" s="143"/>
      <c r="Q173" s="90"/>
      <c r="R173" s="91"/>
      <c r="S173" s="144" t="s">
        <v>138</v>
      </c>
      <c r="T173" s="112" t="s">
        <v>99</v>
      </c>
      <c r="U173" s="106"/>
      <c r="V173" s="107">
        <v>17</v>
      </c>
      <c r="W173" s="108"/>
      <c r="X173" s="109"/>
      <c r="Y173" s="20">
        <f t="shared" si="6"/>
        <v>0</v>
      </c>
      <c r="AA173" s="98">
        <f t="shared" si="7"/>
        <v>0</v>
      </c>
      <c r="AB173" s="98">
        <f t="shared" si="8"/>
        <v>0</v>
      </c>
      <c r="AC173" s="110"/>
      <c r="AD173" s="77"/>
      <c r="AE173" s="77"/>
      <c r="AF173" s="75"/>
      <c r="AG173" s="75"/>
      <c r="AH173" s="75"/>
      <c r="AI173" s="75"/>
    </row>
    <row r="174" spans="1:35" ht="22.35" customHeight="1" thickBot="1" x14ac:dyDescent="0.3">
      <c r="A174" s="80"/>
      <c r="B174" s="80"/>
      <c r="F174" s="141"/>
      <c r="H174" s="99"/>
      <c r="I174" s="84"/>
      <c r="K174" s="86"/>
      <c r="L174" s="86"/>
      <c r="M174" s="86"/>
      <c r="O174" s="100"/>
      <c r="P174" s="143"/>
      <c r="Q174" s="90"/>
      <c r="R174" s="91"/>
      <c r="S174" s="144" t="s">
        <v>138</v>
      </c>
      <c r="T174" s="112" t="s">
        <v>99</v>
      </c>
      <c r="U174" s="106"/>
      <c r="V174" s="107">
        <v>17</v>
      </c>
      <c r="W174" s="108"/>
      <c r="X174" s="109"/>
      <c r="Y174" s="20">
        <f t="shared" si="6"/>
        <v>0</v>
      </c>
      <c r="AA174" s="98">
        <f t="shared" si="7"/>
        <v>0</v>
      </c>
      <c r="AB174" s="98">
        <f t="shared" si="8"/>
        <v>0</v>
      </c>
      <c r="AC174" s="110"/>
      <c r="AD174" s="77"/>
      <c r="AE174" s="77"/>
      <c r="AF174" s="75"/>
      <c r="AG174" s="75"/>
      <c r="AH174" s="75"/>
      <c r="AI174" s="75"/>
    </row>
    <row r="175" spans="1:35" ht="22.35" customHeight="1" thickBot="1" x14ac:dyDescent="0.3">
      <c r="A175" s="80"/>
      <c r="B175" s="80"/>
      <c r="F175" s="141"/>
      <c r="H175" s="99"/>
      <c r="I175" s="84"/>
      <c r="K175" s="86"/>
      <c r="L175" s="86"/>
      <c r="M175" s="86"/>
      <c r="O175" s="100"/>
      <c r="P175" s="143"/>
      <c r="Q175" s="90"/>
      <c r="R175" s="91"/>
      <c r="S175" s="144" t="s">
        <v>138</v>
      </c>
      <c r="T175" s="112" t="s">
        <v>99</v>
      </c>
      <c r="U175" s="106"/>
      <c r="V175" s="107">
        <v>17</v>
      </c>
      <c r="W175" s="160"/>
      <c r="X175" s="161"/>
      <c r="Y175" s="20">
        <f t="shared" si="6"/>
        <v>0</v>
      </c>
      <c r="AA175" s="98">
        <f t="shared" si="7"/>
        <v>0</v>
      </c>
      <c r="AB175" s="98">
        <f t="shared" si="8"/>
        <v>0</v>
      </c>
      <c r="AC175" s="110"/>
      <c r="AD175" s="77"/>
      <c r="AE175" s="77"/>
      <c r="AF175" s="75"/>
      <c r="AG175" s="75"/>
      <c r="AH175" s="75"/>
      <c r="AI175" s="75"/>
    </row>
    <row r="176" spans="1:35" ht="22.35" customHeight="1" thickBot="1" x14ac:dyDescent="0.3">
      <c r="A176" s="80"/>
      <c r="B176" s="80"/>
      <c r="F176" s="141"/>
      <c r="H176" s="99"/>
      <c r="I176" s="84"/>
      <c r="K176" s="86"/>
      <c r="L176" s="86"/>
      <c r="M176" s="86"/>
      <c r="O176" s="100"/>
      <c r="P176" s="143"/>
      <c r="Q176" s="90"/>
      <c r="R176" s="91"/>
      <c r="S176" s="144" t="s">
        <v>138</v>
      </c>
      <c r="T176" s="112" t="s">
        <v>99</v>
      </c>
      <c r="U176" s="106"/>
      <c r="V176" s="107">
        <v>17</v>
      </c>
      <c r="W176" s="160"/>
      <c r="X176" s="161"/>
      <c r="Y176" s="20">
        <f t="shared" si="6"/>
        <v>0</v>
      </c>
      <c r="AA176" s="98">
        <f t="shared" si="7"/>
        <v>0</v>
      </c>
      <c r="AB176" s="98">
        <f t="shared" si="8"/>
        <v>0</v>
      </c>
      <c r="AC176" s="110"/>
      <c r="AD176" s="77"/>
      <c r="AE176" s="77"/>
      <c r="AF176" s="75"/>
      <c r="AG176" s="75"/>
      <c r="AH176" s="75"/>
      <c r="AI176" s="75"/>
    </row>
    <row r="177" spans="1:35" ht="22.35" customHeight="1" thickBot="1" x14ac:dyDescent="0.3">
      <c r="A177" s="252"/>
      <c r="B177" s="252"/>
      <c r="C177" s="253"/>
      <c r="D177" s="254"/>
      <c r="E177" s="254"/>
      <c r="F177" s="195"/>
      <c r="G177" s="196"/>
      <c r="H177" s="255"/>
      <c r="I177" s="256"/>
      <c r="J177" s="257"/>
      <c r="K177" s="258"/>
      <c r="L177" s="258"/>
      <c r="M177" s="258"/>
      <c r="N177" s="228"/>
      <c r="O177" s="200"/>
      <c r="P177" s="202"/>
      <c r="Q177" s="259"/>
      <c r="R177" s="260"/>
      <c r="S177" s="155" t="s">
        <v>138</v>
      </c>
      <c r="T177" s="124" t="s">
        <v>99</v>
      </c>
      <c r="U177" s="125"/>
      <c r="V177" s="126">
        <v>17</v>
      </c>
      <c r="W177" s="261"/>
      <c r="X177" s="262"/>
      <c r="Y177" s="20">
        <f t="shared" si="6"/>
        <v>0</v>
      </c>
      <c r="AA177" s="98">
        <f t="shared" si="7"/>
        <v>0</v>
      </c>
      <c r="AB177" s="98">
        <f t="shared" si="8"/>
        <v>0</v>
      </c>
      <c r="AC177" s="110"/>
      <c r="AD177" s="77"/>
      <c r="AE177" s="77"/>
      <c r="AF177" s="75"/>
      <c r="AG177" s="75"/>
      <c r="AH177" s="75"/>
      <c r="AI177" s="75"/>
    </row>
    <row r="178" spans="1:35" ht="22.35" customHeight="1" thickBot="1" x14ac:dyDescent="0.3">
      <c r="A178" s="127"/>
      <c r="B178" s="127"/>
      <c r="C178" s="128"/>
      <c r="D178" s="129"/>
      <c r="E178" s="129"/>
      <c r="F178" s="130"/>
      <c r="G178" s="132"/>
      <c r="H178" s="99"/>
      <c r="I178" s="158"/>
      <c r="J178" s="129"/>
      <c r="K178" s="159"/>
      <c r="L178" s="133"/>
      <c r="M178" s="133"/>
      <c r="N178" s="134"/>
      <c r="O178" s="135"/>
      <c r="P178" s="136"/>
      <c r="Q178" s="137"/>
      <c r="R178" s="138"/>
      <c r="S178" s="144" t="s">
        <v>138</v>
      </c>
      <c r="T178" s="112" t="s">
        <v>99</v>
      </c>
      <c r="U178" s="106"/>
      <c r="V178" s="107">
        <v>18</v>
      </c>
      <c r="W178" s="96"/>
      <c r="X178" s="97"/>
      <c r="Y178" s="20">
        <f t="shared" si="6"/>
        <v>0</v>
      </c>
      <c r="AA178" s="98">
        <f t="shared" si="7"/>
        <v>0</v>
      </c>
      <c r="AB178" s="98">
        <f t="shared" si="8"/>
        <v>0</v>
      </c>
      <c r="AC178" s="110"/>
      <c r="AD178" s="77"/>
      <c r="AE178" s="77"/>
      <c r="AF178" s="75"/>
      <c r="AG178" s="75"/>
      <c r="AH178" s="75"/>
      <c r="AI178" s="75"/>
    </row>
    <row r="179" spans="1:35" ht="22.35" customHeight="1" thickBot="1" x14ac:dyDescent="0.3">
      <c r="A179" s="80"/>
      <c r="B179" s="80"/>
      <c r="F179" s="141"/>
      <c r="H179" s="99"/>
      <c r="I179" s="84"/>
      <c r="K179" s="86"/>
      <c r="L179" s="86"/>
      <c r="M179" s="86"/>
      <c r="O179" s="100"/>
      <c r="P179" s="143"/>
      <c r="Q179" s="102"/>
      <c r="R179" s="103"/>
      <c r="S179" s="144" t="s">
        <v>138</v>
      </c>
      <c r="T179" s="112" t="s">
        <v>99</v>
      </c>
      <c r="U179" s="106"/>
      <c r="V179" s="107">
        <v>18</v>
      </c>
      <c r="W179" s="108"/>
      <c r="X179" s="109"/>
      <c r="Y179" s="20">
        <f t="shared" si="6"/>
        <v>0</v>
      </c>
      <c r="AA179" s="98">
        <f t="shared" si="7"/>
        <v>0</v>
      </c>
      <c r="AB179" s="98">
        <f t="shared" si="8"/>
        <v>0</v>
      </c>
      <c r="AC179" s="110"/>
      <c r="AD179" s="77"/>
      <c r="AE179" s="77"/>
      <c r="AF179" s="75"/>
      <c r="AG179" s="75"/>
      <c r="AH179" s="75"/>
      <c r="AI179" s="75"/>
    </row>
    <row r="180" spans="1:35" ht="22.35" customHeight="1" thickBot="1" x14ac:dyDescent="0.3">
      <c r="A180" s="80"/>
      <c r="B180" s="80"/>
      <c r="F180" s="141"/>
      <c r="H180" s="99"/>
      <c r="I180" s="84"/>
      <c r="K180" s="86"/>
      <c r="L180" s="86"/>
      <c r="M180" s="86"/>
      <c r="O180" s="100"/>
      <c r="P180" s="143"/>
      <c r="Q180" s="90"/>
      <c r="R180" s="91"/>
      <c r="S180" s="144" t="s">
        <v>138</v>
      </c>
      <c r="T180" s="112" t="s">
        <v>99</v>
      </c>
      <c r="U180" s="106"/>
      <c r="V180" s="107">
        <v>18</v>
      </c>
      <c r="W180" s="108"/>
      <c r="X180" s="109"/>
      <c r="Y180" s="20">
        <f t="shared" si="6"/>
        <v>0</v>
      </c>
      <c r="AA180" s="98">
        <f t="shared" si="7"/>
        <v>0</v>
      </c>
      <c r="AB180" s="98">
        <f t="shared" si="8"/>
        <v>0</v>
      </c>
      <c r="AC180" s="110"/>
      <c r="AD180" s="77"/>
      <c r="AE180" s="77"/>
      <c r="AF180" s="75"/>
      <c r="AG180" s="75"/>
      <c r="AH180" s="75"/>
      <c r="AI180" s="75"/>
    </row>
    <row r="181" spans="1:35" ht="22.35" customHeight="1" thickBot="1" x14ac:dyDescent="0.3">
      <c r="A181" s="80"/>
      <c r="B181" s="80"/>
      <c r="F181" s="141"/>
      <c r="H181" s="99"/>
      <c r="I181" s="84"/>
      <c r="K181" s="86"/>
      <c r="L181" s="86"/>
      <c r="M181" s="86"/>
      <c r="O181" s="100"/>
      <c r="P181" s="143"/>
      <c r="Q181" s="90"/>
      <c r="R181" s="91"/>
      <c r="S181" s="144" t="s">
        <v>138</v>
      </c>
      <c r="T181" s="112" t="s">
        <v>99</v>
      </c>
      <c r="U181" s="106"/>
      <c r="V181" s="107">
        <v>18</v>
      </c>
      <c r="W181" s="108"/>
      <c r="X181" s="109"/>
      <c r="Y181" s="20">
        <f t="shared" si="6"/>
        <v>0</v>
      </c>
      <c r="AA181" s="98">
        <f t="shared" si="7"/>
        <v>0</v>
      </c>
      <c r="AB181" s="98">
        <f t="shared" si="8"/>
        <v>0</v>
      </c>
      <c r="AC181" s="110"/>
      <c r="AD181" s="77"/>
      <c r="AE181" s="77"/>
      <c r="AF181" s="75"/>
      <c r="AG181" s="75"/>
      <c r="AH181" s="75"/>
      <c r="AI181" s="75"/>
    </row>
    <row r="182" spans="1:35" ht="22.35" customHeight="1" thickBot="1" x14ac:dyDescent="0.3">
      <c r="A182" s="80"/>
      <c r="B182" s="80"/>
      <c r="F182" s="141"/>
      <c r="H182" s="99"/>
      <c r="I182" s="84"/>
      <c r="K182" s="86"/>
      <c r="L182" s="86"/>
      <c r="M182" s="86"/>
      <c r="O182" s="100"/>
      <c r="P182" s="143"/>
      <c r="Q182" s="90"/>
      <c r="R182" s="91"/>
      <c r="S182" s="144" t="s">
        <v>138</v>
      </c>
      <c r="T182" s="112" t="s">
        <v>99</v>
      </c>
      <c r="U182" s="106"/>
      <c r="V182" s="107">
        <v>18</v>
      </c>
      <c r="W182" s="108"/>
      <c r="X182" s="109"/>
      <c r="Y182" s="20">
        <f t="shared" si="6"/>
        <v>0</v>
      </c>
      <c r="AA182" s="98">
        <f t="shared" si="7"/>
        <v>0</v>
      </c>
      <c r="AB182" s="98">
        <f t="shared" si="8"/>
        <v>0</v>
      </c>
      <c r="AC182" s="110"/>
      <c r="AD182" s="77"/>
      <c r="AE182" s="77"/>
      <c r="AF182" s="75"/>
      <c r="AG182" s="75"/>
      <c r="AH182" s="75"/>
      <c r="AI182" s="75"/>
    </row>
    <row r="183" spans="1:35" ht="22.35" customHeight="1" thickBot="1" x14ac:dyDescent="0.3">
      <c r="A183" s="80"/>
      <c r="B183" s="80"/>
      <c r="F183" s="141"/>
      <c r="H183" s="99"/>
      <c r="I183" s="84"/>
      <c r="K183" s="86"/>
      <c r="L183" s="86"/>
      <c r="M183" s="86"/>
      <c r="O183" s="100"/>
      <c r="P183" s="143"/>
      <c r="Q183" s="90"/>
      <c r="R183" s="91"/>
      <c r="S183" s="144" t="s">
        <v>138</v>
      </c>
      <c r="T183" s="112" t="s">
        <v>99</v>
      </c>
      <c r="U183" s="106"/>
      <c r="V183" s="107">
        <v>18</v>
      </c>
      <c r="W183" s="108"/>
      <c r="X183" s="109"/>
      <c r="Y183" s="20">
        <f t="shared" si="6"/>
        <v>0</v>
      </c>
      <c r="AA183" s="98">
        <f t="shared" si="7"/>
        <v>0</v>
      </c>
      <c r="AB183" s="98">
        <f t="shared" si="8"/>
        <v>0</v>
      </c>
      <c r="AC183" s="110"/>
      <c r="AD183" s="77"/>
      <c r="AE183" s="77"/>
      <c r="AF183" s="75"/>
      <c r="AG183" s="75"/>
      <c r="AH183" s="75"/>
      <c r="AI183" s="75"/>
    </row>
    <row r="184" spans="1:35" ht="22.35" customHeight="1" thickBot="1" x14ac:dyDescent="0.3">
      <c r="A184" s="80"/>
      <c r="B184" s="80"/>
      <c r="F184" s="141"/>
      <c r="H184" s="99"/>
      <c r="I184" s="84"/>
      <c r="K184" s="86"/>
      <c r="L184" s="86"/>
      <c r="M184" s="86"/>
      <c r="O184" s="100"/>
      <c r="P184" s="143"/>
      <c r="Q184" s="90"/>
      <c r="R184" s="91"/>
      <c r="S184" s="144" t="s">
        <v>138</v>
      </c>
      <c r="T184" s="112" t="s">
        <v>99</v>
      </c>
      <c r="U184" s="106"/>
      <c r="V184" s="107">
        <v>18</v>
      </c>
      <c r="W184" s="108"/>
      <c r="X184" s="109"/>
      <c r="Y184" s="20">
        <f t="shared" si="6"/>
        <v>0</v>
      </c>
      <c r="AA184" s="98">
        <f t="shared" si="7"/>
        <v>0</v>
      </c>
      <c r="AB184" s="98">
        <f t="shared" si="8"/>
        <v>0</v>
      </c>
      <c r="AC184" s="110"/>
      <c r="AD184" s="77"/>
      <c r="AE184" s="77"/>
      <c r="AF184" s="75"/>
      <c r="AG184" s="75"/>
      <c r="AH184" s="75"/>
      <c r="AI184" s="75"/>
    </row>
    <row r="185" spans="1:35" ht="22.35" customHeight="1" thickBot="1" x14ac:dyDescent="0.3">
      <c r="A185" s="80"/>
      <c r="B185" s="80"/>
      <c r="F185" s="141"/>
      <c r="H185" s="99"/>
      <c r="I185" s="84"/>
      <c r="K185" s="86"/>
      <c r="L185" s="86"/>
      <c r="M185" s="86"/>
      <c r="O185" s="100"/>
      <c r="P185" s="143"/>
      <c r="Q185" s="90"/>
      <c r="R185" s="91"/>
      <c r="S185" s="144" t="s">
        <v>138</v>
      </c>
      <c r="T185" s="112" t="s">
        <v>99</v>
      </c>
      <c r="U185" s="106"/>
      <c r="V185" s="107">
        <v>18</v>
      </c>
      <c r="W185" s="108"/>
      <c r="X185" s="109"/>
      <c r="Y185" s="20">
        <f t="shared" si="6"/>
        <v>0</v>
      </c>
      <c r="AA185" s="98">
        <f t="shared" si="7"/>
        <v>0</v>
      </c>
      <c r="AB185" s="98">
        <f t="shared" si="8"/>
        <v>0</v>
      </c>
      <c r="AC185" s="110"/>
      <c r="AD185" s="77"/>
      <c r="AE185" s="77"/>
      <c r="AF185" s="75"/>
      <c r="AG185" s="75"/>
      <c r="AH185" s="75"/>
      <c r="AI185" s="75"/>
    </row>
    <row r="186" spans="1:35" ht="22.35" customHeight="1" thickBot="1" x14ac:dyDescent="0.3">
      <c r="A186" s="80"/>
      <c r="B186" s="80"/>
      <c r="F186" s="141"/>
      <c r="H186" s="99"/>
      <c r="I186" s="84"/>
      <c r="K186" s="86"/>
      <c r="L186" s="86"/>
      <c r="M186" s="86"/>
      <c r="O186" s="100"/>
      <c r="P186" s="143"/>
      <c r="Q186" s="90"/>
      <c r="R186" s="91"/>
      <c r="S186" s="144" t="s">
        <v>138</v>
      </c>
      <c r="T186" s="112" t="s">
        <v>99</v>
      </c>
      <c r="U186" s="106"/>
      <c r="V186" s="107">
        <v>18</v>
      </c>
      <c r="W186" s="108"/>
      <c r="X186" s="109"/>
      <c r="Y186" s="20">
        <f t="shared" si="6"/>
        <v>0</v>
      </c>
      <c r="AA186" s="98">
        <f t="shared" si="7"/>
        <v>0</v>
      </c>
      <c r="AB186" s="98">
        <f t="shared" si="8"/>
        <v>0</v>
      </c>
      <c r="AC186" s="110"/>
      <c r="AD186" s="77"/>
      <c r="AE186" s="77"/>
      <c r="AF186" s="75"/>
      <c r="AG186" s="75"/>
      <c r="AH186" s="75"/>
      <c r="AI186" s="75"/>
    </row>
    <row r="187" spans="1:35" ht="22.35" customHeight="1" thickBot="1" x14ac:dyDescent="0.3">
      <c r="A187" s="80"/>
      <c r="B187" s="80"/>
      <c r="F187" s="141"/>
      <c r="H187" s="99"/>
      <c r="I187" s="84"/>
      <c r="K187" s="86"/>
      <c r="L187" s="86"/>
      <c r="M187" s="86"/>
      <c r="O187" s="100"/>
      <c r="P187" s="143"/>
      <c r="Q187" s="90"/>
      <c r="R187" s="91"/>
      <c r="S187" s="144" t="s">
        <v>138</v>
      </c>
      <c r="T187" s="112" t="s">
        <v>99</v>
      </c>
      <c r="U187" s="106"/>
      <c r="V187" s="107">
        <v>18</v>
      </c>
      <c r="W187" s="108"/>
      <c r="X187" s="109"/>
      <c r="Y187" s="20">
        <f t="shared" si="6"/>
        <v>0</v>
      </c>
      <c r="AA187" s="98">
        <f t="shared" si="7"/>
        <v>0</v>
      </c>
      <c r="AB187" s="98">
        <f t="shared" si="8"/>
        <v>0</v>
      </c>
      <c r="AC187" s="110"/>
      <c r="AD187" s="77"/>
      <c r="AE187" s="77"/>
      <c r="AF187" s="75"/>
      <c r="AG187" s="75"/>
      <c r="AH187" s="75"/>
      <c r="AI187" s="75"/>
    </row>
    <row r="188" spans="1:35" ht="22.35" customHeight="1" thickBot="1" x14ac:dyDescent="0.3">
      <c r="A188" s="80"/>
      <c r="B188" s="80"/>
      <c r="F188" s="141"/>
      <c r="H188" s="99"/>
      <c r="I188" s="84"/>
      <c r="K188" s="86"/>
      <c r="L188" s="86"/>
      <c r="M188" s="86"/>
      <c r="O188" s="100"/>
      <c r="P188" s="143"/>
      <c r="Q188" s="90"/>
      <c r="R188" s="91"/>
      <c r="S188" s="144" t="s">
        <v>138</v>
      </c>
      <c r="T188" s="112" t="s">
        <v>99</v>
      </c>
      <c r="U188" s="106"/>
      <c r="V188" s="107">
        <v>18</v>
      </c>
      <c r="W188" s="108"/>
      <c r="X188" s="109"/>
      <c r="Y188" s="20">
        <f t="shared" si="6"/>
        <v>0</v>
      </c>
      <c r="AA188" s="98">
        <f t="shared" si="7"/>
        <v>0</v>
      </c>
      <c r="AB188" s="98">
        <f t="shared" si="8"/>
        <v>0</v>
      </c>
      <c r="AC188" s="110"/>
      <c r="AD188" s="77"/>
      <c r="AE188" s="77"/>
      <c r="AF188" s="75"/>
      <c r="AG188" s="75"/>
      <c r="AH188" s="75"/>
      <c r="AI188" s="75"/>
    </row>
    <row r="189" spans="1:35" ht="22.35" customHeight="1" thickBot="1" x14ac:dyDescent="0.3">
      <c r="A189" s="80"/>
      <c r="B189" s="80"/>
      <c r="F189" s="141"/>
      <c r="H189" s="99"/>
      <c r="I189" s="84"/>
      <c r="K189" s="86"/>
      <c r="L189" s="86"/>
      <c r="M189" s="86"/>
      <c r="O189" s="100"/>
      <c r="P189" s="143"/>
      <c r="Q189" s="90"/>
      <c r="R189" s="91"/>
      <c r="S189" s="144" t="s">
        <v>138</v>
      </c>
      <c r="T189" s="112" t="s">
        <v>99</v>
      </c>
      <c r="U189" s="106"/>
      <c r="V189" s="107">
        <v>18</v>
      </c>
      <c r="W189" s="108"/>
      <c r="X189" s="109"/>
      <c r="Y189" s="20">
        <f t="shared" si="6"/>
        <v>0</v>
      </c>
      <c r="AA189" s="98">
        <f t="shared" si="7"/>
        <v>0</v>
      </c>
      <c r="AB189" s="98">
        <f t="shared" si="8"/>
        <v>0</v>
      </c>
      <c r="AC189" s="110"/>
      <c r="AD189" s="77"/>
      <c r="AE189" s="77"/>
      <c r="AF189" s="75"/>
      <c r="AG189" s="75"/>
      <c r="AH189" s="75"/>
      <c r="AI189" s="75"/>
    </row>
    <row r="190" spans="1:35" ht="22.35" customHeight="1" thickBot="1" x14ac:dyDescent="0.3">
      <c r="A190" s="80"/>
      <c r="B190" s="80"/>
      <c r="F190" s="141"/>
      <c r="H190" s="99"/>
      <c r="I190" s="84"/>
      <c r="K190" s="86"/>
      <c r="L190" s="86"/>
      <c r="M190" s="86"/>
      <c r="O190" s="100"/>
      <c r="P190" s="143"/>
      <c r="Q190" s="90"/>
      <c r="R190" s="91"/>
      <c r="S190" s="144" t="s">
        <v>138</v>
      </c>
      <c r="T190" s="112" t="s">
        <v>99</v>
      </c>
      <c r="U190" s="106"/>
      <c r="V190" s="107">
        <v>18</v>
      </c>
      <c r="W190" s="108"/>
      <c r="X190" s="109"/>
      <c r="Y190" s="20">
        <f t="shared" si="6"/>
        <v>0</v>
      </c>
      <c r="AA190" s="98">
        <f t="shared" si="7"/>
        <v>0</v>
      </c>
      <c r="AB190" s="98">
        <f t="shared" si="8"/>
        <v>0</v>
      </c>
      <c r="AC190" s="110"/>
      <c r="AD190" s="77"/>
      <c r="AE190" s="77"/>
      <c r="AF190" s="75"/>
      <c r="AG190" s="75"/>
      <c r="AH190" s="75"/>
      <c r="AI190" s="75"/>
    </row>
    <row r="191" spans="1:35" ht="22.35" customHeight="1" thickBot="1" x14ac:dyDescent="0.3">
      <c r="A191" s="80"/>
      <c r="B191" s="80"/>
      <c r="F191" s="141"/>
      <c r="H191" s="99"/>
      <c r="I191" s="84"/>
      <c r="K191" s="86"/>
      <c r="L191" s="86"/>
      <c r="M191" s="86"/>
      <c r="O191" s="100"/>
      <c r="P191" s="143"/>
      <c r="Q191" s="90"/>
      <c r="R191" s="91"/>
      <c r="S191" s="144" t="s">
        <v>138</v>
      </c>
      <c r="T191" s="112" t="s">
        <v>99</v>
      </c>
      <c r="U191" s="106"/>
      <c r="V191" s="107">
        <v>18</v>
      </c>
      <c r="W191" s="160"/>
      <c r="X191" s="161"/>
      <c r="Y191" s="20">
        <f t="shared" si="6"/>
        <v>0</v>
      </c>
      <c r="AA191" s="98">
        <f t="shared" si="7"/>
        <v>0</v>
      </c>
      <c r="AB191" s="98">
        <f t="shared" si="8"/>
        <v>0</v>
      </c>
      <c r="AC191" s="110"/>
      <c r="AD191" s="77"/>
      <c r="AE191" s="77"/>
      <c r="AF191" s="75"/>
      <c r="AG191" s="75"/>
      <c r="AH191" s="75"/>
      <c r="AI191" s="75"/>
    </row>
    <row r="192" spans="1:35" ht="22.35" customHeight="1" thickBot="1" x14ac:dyDescent="0.3">
      <c r="A192" s="80"/>
      <c r="B192" s="80"/>
      <c r="F192" s="141"/>
      <c r="H192" s="99"/>
      <c r="I192" s="84"/>
      <c r="K192" s="86"/>
      <c r="L192" s="86"/>
      <c r="M192" s="86"/>
      <c r="O192" s="100"/>
      <c r="P192" s="143"/>
      <c r="Q192" s="90"/>
      <c r="R192" s="91"/>
      <c r="S192" s="144" t="s">
        <v>138</v>
      </c>
      <c r="T192" s="112" t="s">
        <v>99</v>
      </c>
      <c r="U192" s="106"/>
      <c r="V192" s="107">
        <v>18</v>
      </c>
      <c r="W192" s="160"/>
      <c r="X192" s="161"/>
      <c r="Y192" s="20">
        <f t="shared" si="6"/>
        <v>0</v>
      </c>
      <c r="AA192" s="98">
        <f t="shared" si="7"/>
        <v>0</v>
      </c>
      <c r="AB192" s="98">
        <f t="shared" si="8"/>
        <v>0</v>
      </c>
      <c r="AC192" s="110"/>
      <c r="AD192" s="77"/>
      <c r="AE192" s="77"/>
      <c r="AF192" s="75"/>
      <c r="AG192" s="75"/>
      <c r="AH192" s="75"/>
      <c r="AI192" s="75"/>
    </row>
    <row r="193" spans="1:35" ht="22.35" customHeight="1" thickBot="1" x14ac:dyDescent="0.3">
      <c r="A193" s="252"/>
      <c r="B193" s="252"/>
      <c r="C193" s="253"/>
      <c r="D193" s="254"/>
      <c r="E193" s="254"/>
      <c r="F193" s="195"/>
      <c r="G193" s="196"/>
      <c r="H193" s="255"/>
      <c r="I193" s="256"/>
      <c r="J193" s="257"/>
      <c r="K193" s="258"/>
      <c r="L193" s="258"/>
      <c r="M193" s="258"/>
      <c r="N193" s="228"/>
      <c r="O193" s="200"/>
      <c r="P193" s="202"/>
      <c r="Q193" s="259"/>
      <c r="R193" s="260"/>
      <c r="S193" s="155" t="s">
        <v>138</v>
      </c>
      <c r="T193" s="124" t="s">
        <v>99</v>
      </c>
      <c r="U193" s="125"/>
      <c r="V193" s="126">
        <v>18</v>
      </c>
      <c r="W193" s="261"/>
      <c r="X193" s="262"/>
      <c r="Y193" s="20">
        <f t="shared" si="6"/>
        <v>0</v>
      </c>
      <c r="AA193" s="98">
        <f t="shared" si="7"/>
        <v>0</v>
      </c>
      <c r="AB193" s="98">
        <f t="shared" si="8"/>
        <v>0</v>
      </c>
      <c r="AC193" s="110"/>
      <c r="AD193" s="77"/>
      <c r="AE193" s="77"/>
      <c r="AF193" s="75"/>
      <c r="AG193" s="75"/>
      <c r="AH193" s="75"/>
      <c r="AI193" s="75"/>
    </row>
    <row r="194" spans="1:35" ht="22.35" customHeight="1" thickBot="1" x14ac:dyDescent="0.3">
      <c r="A194" s="263"/>
      <c r="B194" s="263"/>
      <c r="C194" s="264"/>
      <c r="D194" s="265" t="s">
        <v>139</v>
      </c>
      <c r="E194" s="266"/>
      <c r="F194" s="267"/>
      <c r="G194" s="268"/>
      <c r="H194" s="269"/>
      <c r="I194" s="268"/>
      <c r="J194" s="266"/>
      <c r="K194" s="270"/>
      <c r="L194" s="270"/>
      <c r="M194" s="270"/>
      <c r="N194" s="271"/>
      <c r="O194" s="271"/>
      <c r="P194" s="271"/>
      <c r="Q194" s="271"/>
      <c r="R194" s="272"/>
      <c r="S194" s="268"/>
      <c r="T194" s="187" t="s">
        <v>140</v>
      </c>
      <c r="U194" s="268"/>
      <c r="V194" s="273"/>
      <c r="W194" s="268"/>
      <c r="X194" s="274"/>
      <c r="Y194" s="20">
        <f t="shared" si="6"/>
        <v>0</v>
      </c>
      <c r="AA194" s="98">
        <f t="shared" si="7"/>
        <v>0</v>
      </c>
      <c r="AB194" s="98">
        <f t="shared" si="8"/>
        <v>0</v>
      </c>
    </row>
    <row r="195" spans="1:35" ht="22.35" customHeight="1" thickBot="1" x14ac:dyDescent="0.3">
      <c r="A195" s="275" t="s">
        <v>141</v>
      </c>
      <c r="B195" s="127" t="s">
        <v>142</v>
      </c>
      <c r="C195" s="128">
        <v>7</v>
      </c>
      <c r="D195" s="129" t="s">
        <v>143</v>
      </c>
      <c r="E195" s="129" t="s">
        <v>144</v>
      </c>
      <c r="F195" s="130" t="s">
        <v>65</v>
      </c>
      <c r="G195" s="132" t="s">
        <v>145</v>
      </c>
      <c r="H195" s="191">
        <v>28.9</v>
      </c>
      <c r="I195" s="158">
        <v>27.44</v>
      </c>
      <c r="J195" s="129" t="s">
        <v>146</v>
      </c>
      <c r="K195" s="159" t="s">
        <v>147</v>
      </c>
      <c r="L195" s="133">
        <v>1</v>
      </c>
      <c r="M195" s="133"/>
      <c r="N195" s="134">
        <v>0</v>
      </c>
      <c r="O195" s="135"/>
      <c r="P195" s="136">
        <v>1</v>
      </c>
      <c r="Q195" s="137">
        <v>1</v>
      </c>
      <c r="R195" s="138">
        <v>31.9</v>
      </c>
      <c r="S195" s="144" t="s">
        <v>148</v>
      </c>
      <c r="T195" s="112" t="s">
        <v>140</v>
      </c>
      <c r="U195" s="106" t="s">
        <v>149</v>
      </c>
      <c r="V195" s="107">
        <v>19</v>
      </c>
      <c r="W195" s="96"/>
      <c r="X195" s="97" t="s">
        <v>45</v>
      </c>
      <c r="Y195" s="20">
        <f t="shared" si="6"/>
        <v>1</v>
      </c>
      <c r="AA195" s="98">
        <f t="shared" si="7"/>
        <v>1.4599999999999973</v>
      </c>
      <c r="AB195" s="98">
        <f t="shared" si="8"/>
        <v>3</v>
      </c>
    </row>
    <row r="196" spans="1:35" ht="22.35" customHeight="1" thickBot="1" x14ac:dyDescent="0.3">
      <c r="A196" s="276" t="s">
        <v>141</v>
      </c>
      <c r="B196" s="80" t="s">
        <v>150</v>
      </c>
      <c r="C196" s="81">
        <v>7</v>
      </c>
      <c r="D196" s="23" t="s">
        <v>143</v>
      </c>
      <c r="E196" s="23" t="s">
        <v>151</v>
      </c>
      <c r="F196" s="141" t="s">
        <v>65</v>
      </c>
      <c r="G196" s="21" t="s">
        <v>145</v>
      </c>
      <c r="H196" s="191">
        <v>28.9</v>
      </c>
      <c r="I196" s="84">
        <v>27.44</v>
      </c>
      <c r="J196" s="23" t="s">
        <v>146</v>
      </c>
      <c r="K196" s="86" t="s">
        <v>152</v>
      </c>
      <c r="L196" s="86">
        <v>1</v>
      </c>
      <c r="M196" s="86"/>
      <c r="N196" s="87">
        <v>0</v>
      </c>
      <c r="O196" s="100"/>
      <c r="P196" s="143">
        <v>1</v>
      </c>
      <c r="Q196" s="102">
        <v>1</v>
      </c>
      <c r="R196" s="103">
        <v>31.9</v>
      </c>
      <c r="S196" s="144" t="s">
        <v>148</v>
      </c>
      <c r="T196" s="112" t="s">
        <v>140</v>
      </c>
      <c r="U196" s="106" t="s">
        <v>149</v>
      </c>
      <c r="V196" s="107">
        <v>19</v>
      </c>
      <c r="W196" s="108"/>
      <c r="X196" s="109" t="s">
        <v>50</v>
      </c>
      <c r="Y196" s="20">
        <f t="shared" si="6"/>
        <v>1</v>
      </c>
      <c r="AA196" s="98">
        <f t="shared" si="7"/>
        <v>1.4599999999999973</v>
      </c>
      <c r="AB196" s="98">
        <f t="shared" si="8"/>
        <v>3</v>
      </c>
    </row>
    <row r="197" spans="1:35" ht="22.35" customHeight="1" thickBot="1" x14ac:dyDescent="0.3">
      <c r="A197" s="276" t="s">
        <v>141</v>
      </c>
      <c r="B197" s="80" t="s">
        <v>153</v>
      </c>
      <c r="C197" s="81">
        <v>7</v>
      </c>
      <c r="D197" s="23" t="s">
        <v>143</v>
      </c>
      <c r="E197" s="23" t="s">
        <v>154</v>
      </c>
      <c r="F197" s="141" t="s">
        <v>65</v>
      </c>
      <c r="G197" s="21" t="s">
        <v>145</v>
      </c>
      <c r="H197" s="191">
        <v>28.9</v>
      </c>
      <c r="I197" s="84">
        <v>27.44</v>
      </c>
      <c r="J197" s="23" t="s">
        <v>146</v>
      </c>
      <c r="K197" s="86" t="s">
        <v>155</v>
      </c>
      <c r="L197" s="86">
        <v>1</v>
      </c>
      <c r="M197" s="86"/>
      <c r="N197" s="87">
        <v>0</v>
      </c>
      <c r="O197" s="100"/>
      <c r="P197" s="143">
        <v>1</v>
      </c>
      <c r="Q197" s="102">
        <v>1</v>
      </c>
      <c r="R197" s="103">
        <v>31.9</v>
      </c>
      <c r="S197" s="144" t="s">
        <v>148</v>
      </c>
      <c r="T197" s="112" t="s">
        <v>140</v>
      </c>
      <c r="U197" s="106" t="s">
        <v>149</v>
      </c>
      <c r="V197" s="107">
        <v>19</v>
      </c>
      <c r="W197" s="108"/>
      <c r="X197" s="109" t="s">
        <v>55</v>
      </c>
      <c r="Y197" s="20">
        <f t="shared" si="6"/>
        <v>1</v>
      </c>
      <c r="AA197" s="98">
        <f t="shared" si="7"/>
        <v>1.4599999999999973</v>
      </c>
      <c r="AB197" s="98">
        <f t="shared" si="8"/>
        <v>3</v>
      </c>
    </row>
    <row r="198" spans="1:35" ht="22.35" customHeight="1" thickBot="1" x14ac:dyDescent="0.3">
      <c r="A198" s="276" t="s">
        <v>156</v>
      </c>
      <c r="B198" s="80" t="s">
        <v>157</v>
      </c>
      <c r="C198" s="81">
        <v>36</v>
      </c>
      <c r="D198" s="23" t="s">
        <v>158</v>
      </c>
      <c r="E198" s="23" t="s">
        <v>159</v>
      </c>
      <c r="F198" s="141" t="s">
        <v>86</v>
      </c>
      <c r="G198" s="21" t="s">
        <v>145</v>
      </c>
      <c r="H198" s="191">
        <v>21.9</v>
      </c>
      <c r="I198" s="84">
        <v>20.38</v>
      </c>
      <c r="J198" s="23" t="s">
        <v>160</v>
      </c>
      <c r="K198" s="86" t="s">
        <v>161</v>
      </c>
      <c r="L198" s="86">
        <v>1</v>
      </c>
      <c r="M198" s="86"/>
      <c r="N198" s="87">
        <v>0</v>
      </c>
      <c r="O198" s="100"/>
      <c r="P198" s="143">
        <v>1</v>
      </c>
      <c r="Q198" s="102">
        <v>1</v>
      </c>
      <c r="R198" s="103">
        <v>23.9</v>
      </c>
      <c r="S198" s="144" t="s">
        <v>148</v>
      </c>
      <c r="T198" s="112" t="s">
        <v>140</v>
      </c>
      <c r="U198" s="106" t="s">
        <v>149</v>
      </c>
      <c r="V198" s="107">
        <v>19</v>
      </c>
      <c r="W198" s="108"/>
      <c r="X198" s="109" t="s">
        <v>59</v>
      </c>
      <c r="Y198" s="20">
        <f t="shared" si="6"/>
        <v>1</v>
      </c>
      <c r="AA198" s="98">
        <f t="shared" si="7"/>
        <v>1.5199999999999996</v>
      </c>
      <c r="AB198" s="98">
        <f t="shared" si="8"/>
        <v>2</v>
      </c>
    </row>
    <row r="199" spans="1:35" ht="22.35" customHeight="1" thickBot="1" x14ac:dyDescent="0.3">
      <c r="A199" s="276" t="s">
        <v>162</v>
      </c>
      <c r="B199" s="80" t="s">
        <v>163</v>
      </c>
      <c r="C199" s="81">
        <v>12</v>
      </c>
      <c r="D199" s="23" t="s">
        <v>164</v>
      </c>
      <c r="F199" s="141" t="s">
        <v>86</v>
      </c>
      <c r="G199" s="21" t="s">
        <v>145</v>
      </c>
      <c r="H199" s="191">
        <v>38.9</v>
      </c>
      <c r="I199" s="84">
        <v>36.270000000000003</v>
      </c>
      <c r="J199" s="23" t="s">
        <v>165</v>
      </c>
      <c r="K199" s="86" t="s">
        <v>166</v>
      </c>
      <c r="L199" s="86">
        <v>1</v>
      </c>
      <c r="M199" s="86"/>
      <c r="N199" s="87">
        <v>0</v>
      </c>
      <c r="O199" s="100"/>
      <c r="P199" s="143">
        <v>1</v>
      </c>
      <c r="Q199" s="102">
        <v>1</v>
      </c>
      <c r="R199" s="103">
        <v>41.9</v>
      </c>
      <c r="S199" s="144" t="s">
        <v>148</v>
      </c>
      <c r="T199" s="112" t="s">
        <v>140</v>
      </c>
      <c r="U199" s="106" t="s">
        <v>149</v>
      </c>
      <c r="V199" s="107">
        <v>19</v>
      </c>
      <c r="W199" s="108"/>
      <c r="X199" s="109" t="s">
        <v>63</v>
      </c>
      <c r="Y199" s="20">
        <f t="shared" ref="Y199:Y262" si="9">COUNTIF(K:K,K199)</f>
        <v>1</v>
      </c>
      <c r="AA199" s="98">
        <f t="shared" si="7"/>
        <v>2.6299999999999955</v>
      </c>
      <c r="AB199" s="98">
        <f t="shared" si="8"/>
        <v>3</v>
      </c>
    </row>
    <row r="200" spans="1:35" ht="22.35" customHeight="1" thickBot="1" x14ac:dyDescent="0.3">
      <c r="A200" s="276" t="s">
        <v>167</v>
      </c>
      <c r="B200" s="80" t="s">
        <v>168</v>
      </c>
      <c r="C200" s="81">
        <v>12</v>
      </c>
      <c r="D200" s="23" t="s">
        <v>164</v>
      </c>
      <c r="E200" s="23" t="s">
        <v>169</v>
      </c>
      <c r="F200" s="141" t="s">
        <v>86</v>
      </c>
      <c r="G200" s="21" t="s">
        <v>145</v>
      </c>
      <c r="H200" s="191">
        <v>39.9</v>
      </c>
      <c r="I200" s="84">
        <v>36.61</v>
      </c>
      <c r="J200" s="23" t="s">
        <v>165</v>
      </c>
      <c r="K200" s="86" t="s">
        <v>170</v>
      </c>
      <c r="L200" s="86">
        <v>1</v>
      </c>
      <c r="M200" s="86"/>
      <c r="N200" s="87">
        <v>0</v>
      </c>
      <c r="O200" s="100"/>
      <c r="P200" s="143">
        <v>1</v>
      </c>
      <c r="Q200" s="102">
        <v>1</v>
      </c>
      <c r="R200" s="103">
        <v>42.9</v>
      </c>
      <c r="S200" s="144" t="s">
        <v>148</v>
      </c>
      <c r="T200" s="112" t="s">
        <v>140</v>
      </c>
      <c r="U200" s="106" t="s">
        <v>149</v>
      </c>
      <c r="V200" s="107">
        <v>19</v>
      </c>
      <c r="W200" s="108"/>
      <c r="X200" s="109" t="s">
        <v>66</v>
      </c>
      <c r="Y200" s="20">
        <f t="shared" si="9"/>
        <v>1</v>
      </c>
      <c r="AA200" s="98">
        <f t="shared" ref="AA200:AA263" si="10">H200-I200</f>
        <v>3.2899999999999991</v>
      </c>
      <c r="AB200" s="98">
        <f t="shared" ref="AB200:AB263" si="11">R200-H200</f>
        <v>3</v>
      </c>
    </row>
    <row r="201" spans="1:35" ht="22.35" customHeight="1" thickBot="1" x14ac:dyDescent="0.3">
      <c r="A201" s="276" t="s">
        <v>171</v>
      </c>
      <c r="B201" s="80" t="s">
        <v>172</v>
      </c>
      <c r="C201" s="81">
        <v>20</v>
      </c>
      <c r="D201" s="23" t="s">
        <v>173</v>
      </c>
      <c r="E201" s="23" t="s">
        <v>174</v>
      </c>
      <c r="F201" s="141" t="s">
        <v>175</v>
      </c>
      <c r="G201" s="21" t="s">
        <v>145</v>
      </c>
      <c r="H201" s="191">
        <v>39.9</v>
      </c>
      <c r="I201" s="84">
        <v>45.43</v>
      </c>
      <c r="J201" s="23" t="s">
        <v>176</v>
      </c>
      <c r="K201" s="86" t="s">
        <v>177</v>
      </c>
      <c r="L201" s="86">
        <v>2</v>
      </c>
      <c r="M201" s="86"/>
      <c r="N201" s="87">
        <v>0</v>
      </c>
      <c r="O201" s="100"/>
      <c r="P201" s="143">
        <v>1</v>
      </c>
      <c r="Q201" s="102">
        <v>1</v>
      </c>
      <c r="R201" s="103">
        <v>44.9</v>
      </c>
      <c r="S201" s="144" t="s">
        <v>148</v>
      </c>
      <c r="T201" s="112" t="s">
        <v>140</v>
      </c>
      <c r="U201" s="106" t="s">
        <v>178</v>
      </c>
      <c r="V201" s="107">
        <v>19</v>
      </c>
      <c r="W201" s="108"/>
      <c r="X201" s="109" t="s">
        <v>179</v>
      </c>
      <c r="Y201" s="20">
        <f t="shared" si="9"/>
        <v>1</v>
      </c>
      <c r="AA201" s="98">
        <f t="shared" si="10"/>
        <v>-5.5300000000000011</v>
      </c>
      <c r="AB201" s="98">
        <f t="shared" si="11"/>
        <v>5</v>
      </c>
      <c r="AC201" s="23" t="s">
        <v>180</v>
      </c>
    </row>
    <row r="202" spans="1:35" ht="22.35" customHeight="1" thickBot="1" x14ac:dyDescent="0.3">
      <c r="A202" s="276" t="s">
        <v>181</v>
      </c>
      <c r="B202" s="80" t="s">
        <v>182</v>
      </c>
      <c r="C202" s="81">
        <v>8</v>
      </c>
      <c r="D202" s="23" t="s">
        <v>183</v>
      </c>
      <c r="E202" s="23" t="s">
        <v>184</v>
      </c>
      <c r="F202" s="141" t="s">
        <v>185</v>
      </c>
      <c r="G202" s="21" t="s">
        <v>186</v>
      </c>
      <c r="H202" s="277">
        <v>25.9</v>
      </c>
      <c r="I202" s="84">
        <v>28</v>
      </c>
      <c r="J202" s="23" t="s">
        <v>176</v>
      </c>
      <c r="K202" s="86" t="s">
        <v>187</v>
      </c>
      <c r="L202" s="86">
        <v>1</v>
      </c>
      <c r="M202" s="86"/>
      <c r="N202" s="87">
        <v>0</v>
      </c>
      <c r="O202" s="100"/>
      <c r="P202" s="143">
        <v>1</v>
      </c>
      <c r="Q202" s="102">
        <v>1</v>
      </c>
      <c r="R202" s="103">
        <v>29.9</v>
      </c>
      <c r="S202" s="144" t="s">
        <v>148</v>
      </c>
      <c r="T202" s="112" t="s">
        <v>140</v>
      </c>
      <c r="U202" s="106" t="s">
        <v>178</v>
      </c>
      <c r="V202" s="107">
        <v>19</v>
      </c>
      <c r="W202" s="108">
        <v>1</v>
      </c>
      <c r="X202" s="109" t="s">
        <v>70</v>
      </c>
      <c r="Y202" s="20">
        <f t="shared" si="9"/>
        <v>1</v>
      </c>
      <c r="AA202" s="98">
        <f t="shared" si="10"/>
        <v>-2.1000000000000014</v>
      </c>
      <c r="AB202" s="98">
        <f t="shared" si="11"/>
        <v>4</v>
      </c>
      <c r="AC202" s="23" t="s">
        <v>188</v>
      </c>
    </row>
    <row r="203" spans="1:35" ht="22.35" customHeight="1" thickBot="1" x14ac:dyDescent="0.3">
      <c r="A203" s="276" t="s">
        <v>189</v>
      </c>
      <c r="B203" s="80" t="s">
        <v>190</v>
      </c>
      <c r="C203" s="81">
        <v>14</v>
      </c>
      <c r="D203" s="23" t="s">
        <v>191</v>
      </c>
      <c r="E203" s="23" t="s">
        <v>192</v>
      </c>
      <c r="F203" s="141" t="s">
        <v>86</v>
      </c>
      <c r="G203" s="21" t="s">
        <v>145</v>
      </c>
      <c r="H203" s="191">
        <v>35.9</v>
      </c>
      <c r="I203" s="84">
        <v>33.49</v>
      </c>
      <c r="J203" s="23" t="s">
        <v>193</v>
      </c>
      <c r="K203" s="86" t="s">
        <v>194</v>
      </c>
      <c r="L203" s="86">
        <v>1</v>
      </c>
      <c r="M203" s="86"/>
      <c r="N203" s="87">
        <v>0</v>
      </c>
      <c r="O203" s="100"/>
      <c r="P203" s="143">
        <v>1</v>
      </c>
      <c r="Q203" s="102">
        <v>1</v>
      </c>
      <c r="R203" s="103">
        <v>38.9</v>
      </c>
      <c r="S203" s="144" t="s">
        <v>148</v>
      </c>
      <c r="T203" s="112" t="s">
        <v>140</v>
      </c>
      <c r="U203" s="106" t="s">
        <v>178</v>
      </c>
      <c r="V203" s="107">
        <v>19</v>
      </c>
      <c r="W203" s="108"/>
      <c r="X203" s="109" t="s">
        <v>117</v>
      </c>
      <c r="Y203" s="20">
        <f t="shared" si="9"/>
        <v>1</v>
      </c>
      <c r="AA203" s="98">
        <f t="shared" si="10"/>
        <v>2.4099999999999966</v>
      </c>
      <c r="AB203" s="98">
        <f t="shared" si="11"/>
        <v>3</v>
      </c>
    </row>
    <row r="204" spans="1:35" ht="22.35" customHeight="1" thickBot="1" x14ac:dyDescent="0.3">
      <c r="A204" s="276" t="s">
        <v>195</v>
      </c>
      <c r="B204" s="80" t="s">
        <v>196</v>
      </c>
      <c r="C204" s="81">
        <v>50</v>
      </c>
      <c r="D204" s="23" t="s">
        <v>197</v>
      </c>
      <c r="F204" s="141" t="s">
        <v>185</v>
      </c>
      <c r="G204" s="21" t="s">
        <v>145</v>
      </c>
      <c r="H204" s="191">
        <v>14.9</v>
      </c>
      <c r="I204" s="84">
        <v>13.44</v>
      </c>
      <c r="J204" s="23" t="s">
        <v>193</v>
      </c>
      <c r="K204" s="86" t="s">
        <v>198</v>
      </c>
      <c r="L204" s="86">
        <v>2</v>
      </c>
      <c r="M204" s="86"/>
      <c r="N204" s="87">
        <v>0</v>
      </c>
      <c r="O204" s="100"/>
      <c r="P204" s="143">
        <v>1</v>
      </c>
      <c r="Q204" s="102">
        <v>1</v>
      </c>
      <c r="R204" s="103">
        <v>15.9</v>
      </c>
      <c r="S204" s="144" t="s">
        <v>148</v>
      </c>
      <c r="T204" s="112" t="s">
        <v>140</v>
      </c>
      <c r="U204" s="106" t="s">
        <v>178</v>
      </c>
      <c r="V204" s="107">
        <v>19</v>
      </c>
      <c r="W204" s="108"/>
      <c r="X204" s="109" t="s">
        <v>199</v>
      </c>
      <c r="Y204" s="20">
        <f t="shared" si="9"/>
        <v>1</v>
      </c>
      <c r="AA204" s="98">
        <f t="shared" si="10"/>
        <v>1.4600000000000009</v>
      </c>
      <c r="AB204" s="98">
        <f t="shared" si="11"/>
        <v>1</v>
      </c>
    </row>
    <row r="205" spans="1:35" ht="22.35" customHeight="1" thickBot="1" x14ac:dyDescent="0.3">
      <c r="A205" s="276" t="s">
        <v>189</v>
      </c>
      <c r="B205" s="80" t="s">
        <v>200</v>
      </c>
      <c r="C205" s="81">
        <v>15</v>
      </c>
      <c r="D205" s="23" t="s">
        <v>201</v>
      </c>
      <c r="E205" s="23" t="s">
        <v>202</v>
      </c>
      <c r="F205" s="141" t="s">
        <v>86</v>
      </c>
      <c r="G205" s="21" t="s">
        <v>145</v>
      </c>
      <c r="H205" s="191">
        <v>15.9</v>
      </c>
      <c r="I205" s="84">
        <v>14.56</v>
      </c>
      <c r="J205" s="23" t="s">
        <v>203</v>
      </c>
      <c r="K205" s="86" t="s">
        <v>204</v>
      </c>
      <c r="L205" s="86">
        <v>1</v>
      </c>
      <c r="M205" s="86"/>
      <c r="N205" s="87">
        <v>0</v>
      </c>
      <c r="O205" s="100"/>
      <c r="P205" s="143">
        <v>1</v>
      </c>
      <c r="Q205" s="102">
        <v>1</v>
      </c>
      <c r="R205" s="103">
        <v>16.899999999999999</v>
      </c>
      <c r="S205" s="144" t="s">
        <v>148</v>
      </c>
      <c r="T205" s="112" t="s">
        <v>140</v>
      </c>
      <c r="U205" s="106" t="s">
        <v>178</v>
      </c>
      <c r="V205" s="107">
        <v>19</v>
      </c>
      <c r="W205" s="108"/>
      <c r="X205" s="109" t="s">
        <v>205</v>
      </c>
      <c r="Y205" s="20">
        <f t="shared" si="9"/>
        <v>1</v>
      </c>
      <c r="AA205" s="98">
        <f t="shared" si="10"/>
        <v>1.3399999999999999</v>
      </c>
      <c r="AB205" s="98">
        <f t="shared" si="11"/>
        <v>0.99999999999999822</v>
      </c>
    </row>
    <row r="206" spans="1:35" ht="22.35" customHeight="1" thickBot="1" x14ac:dyDescent="0.3">
      <c r="A206" s="278" t="s">
        <v>189</v>
      </c>
      <c r="B206" s="209" t="s">
        <v>206</v>
      </c>
      <c r="C206" s="210">
        <v>12</v>
      </c>
      <c r="D206" s="211" t="s">
        <v>201</v>
      </c>
      <c r="E206" s="211" t="s">
        <v>207</v>
      </c>
      <c r="F206" s="236" t="s">
        <v>86</v>
      </c>
      <c r="G206" s="213" t="s">
        <v>145</v>
      </c>
      <c r="H206" s="191">
        <v>17.899999999999999</v>
      </c>
      <c r="I206" s="238">
        <v>16.579999999999998</v>
      </c>
      <c r="J206" s="211" t="s">
        <v>203</v>
      </c>
      <c r="K206" s="215" t="s">
        <v>208</v>
      </c>
      <c r="L206" s="215">
        <v>1</v>
      </c>
      <c r="M206" s="215"/>
      <c r="N206" s="216">
        <v>0</v>
      </c>
      <c r="O206" s="239"/>
      <c r="P206" s="240">
        <v>1</v>
      </c>
      <c r="Q206" s="154">
        <v>1</v>
      </c>
      <c r="R206" s="241">
        <v>18.899999999999999</v>
      </c>
      <c r="S206" s="242" t="s">
        <v>148</v>
      </c>
      <c r="T206" s="243" t="s">
        <v>140</v>
      </c>
      <c r="U206" s="244" t="s">
        <v>178</v>
      </c>
      <c r="V206" s="233">
        <v>19</v>
      </c>
      <c r="W206" s="108"/>
      <c r="X206" s="109" t="s">
        <v>209</v>
      </c>
      <c r="Y206" s="20">
        <f t="shared" si="9"/>
        <v>1</v>
      </c>
      <c r="AA206" s="98">
        <f t="shared" si="10"/>
        <v>1.3200000000000003</v>
      </c>
      <c r="AB206" s="98">
        <f t="shared" si="11"/>
        <v>1</v>
      </c>
    </row>
    <row r="207" spans="1:35" ht="22.35" customHeight="1" thickBot="1" x14ac:dyDescent="0.3">
      <c r="A207" s="276" t="s">
        <v>210</v>
      </c>
      <c r="B207" s="80" t="s">
        <v>211</v>
      </c>
      <c r="C207" s="81">
        <v>36</v>
      </c>
      <c r="D207" s="23" t="s">
        <v>212</v>
      </c>
      <c r="E207" s="23" t="s">
        <v>213</v>
      </c>
      <c r="F207" s="82" t="s">
        <v>65</v>
      </c>
      <c r="G207" s="21" t="s">
        <v>214</v>
      </c>
      <c r="H207" s="191">
        <v>29.9</v>
      </c>
      <c r="I207" s="21">
        <v>29.57</v>
      </c>
      <c r="J207" s="23" t="s">
        <v>215</v>
      </c>
      <c r="K207" s="86" t="s">
        <v>216</v>
      </c>
      <c r="L207" s="86">
        <v>2</v>
      </c>
      <c r="M207" s="86"/>
      <c r="N207" s="87">
        <v>0</v>
      </c>
      <c r="O207" s="223"/>
      <c r="P207" s="224">
        <v>1</v>
      </c>
      <c r="Q207" s="224">
        <v>1</v>
      </c>
      <c r="R207" s="225">
        <v>32.9</v>
      </c>
      <c r="S207" s="250" t="s">
        <v>215</v>
      </c>
      <c r="T207" s="251" t="str">
        <f>INDEX([1]data!$B$1:$B$100,MATCH('04.02 - 10.02'!S207,[0]!exclusive01,))</f>
        <v>TU</v>
      </c>
      <c r="U207" s="244" t="s">
        <v>149</v>
      </c>
      <c r="V207" s="245">
        <v>19</v>
      </c>
      <c r="W207" s="108"/>
      <c r="X207" s="109" t="s">
        <v>119</v>
      </c>
      <c r="Y207" s="20">
        <f t="shared" si="9"/>
        <v>1</v>
      </c>
      <c r="AA207" s="98">
        <f t="shared" si="10"/>
        <v>0.32999999999999829</v>
      </c>
      <c r="AB207" s="98">
        <f t="shared" si="11"/>
        <v>3</v>
      </c>
    </row>
    <row r="208" spans="1:35" ht="22.35" customHeight="1" thickBot="1" x14ac:dyDescent="0.3">
      <c r="A208" s="278" t="s">
        <v>217</v>
      </c>
      <c r="B208" s="209" t="s">
        <v>218</v>
      </c>
      <c r="C208" s="193">
        <v>20</v>
      </c>
      <c r="D208" s="194" t="s">
        <v>219</v>
      </c>
      <c r="E208" s="194" t="s">
        <v>220</v>
      </c>
      <c r="F208" s="227" t="s">
        <v>185</v>
      </c>
      <c r="G208" s="196" t="s">
        <v>145</v>
      </c>
      <c r="H208" s="191">
        <v>21.9</v>
      </c>
      <c r="I208" s="196">
        <v>20.329999999999998</v>
      </c>
      <c r="J208" s="194" t="s">
        <v>221</v>
      </c>
      <c r="K208" s="198" t="s">
        <v>222</v>
      </c>
      <c r="L208" s="198">
        <v>4</v>
      </c>
      <c r="M208" s="198"/>
      <c r="N208" s="228">
        <v>0</v>
      </c>
      <c r="O208" s="229"/>
      <c r="P208" s="230">
        <v>1</v>
      </c>
      <c r="Q208" s="230">
        <v>1</v>
      </c>
      <c r="R208" s="231">
        <v>23.9</v>
      </c>
      <c r="S208" s="250" t="s">
        <v>221</v>
      </c>
      <c r="T208" s="251" t="str">
        <f>INDEX([1]data!$B$1:$B$100,MATCH('04.02 - 10.02'!S208,[0]!excl01,))</f>
        <v>TU</v>
      </c>
      <c r="U208" s="244" t="s">
        <v>223</v>
      </c>
      <c r="V208" s="245">
        <v>20</v>
      </c>
      <c r="W208" s="108"/>
      <c r="X208" s="109" t="s">
        <v>45</v>
      </c>
      <c r="Y208" s="20">
        <f t="shared" si="9"/>
        <v>1</v>
      </c>
      <c r="AA208" s="98">
        <f>H208-I208</f>
        <v>1.5700000000000003</v>
      </c>
      <c r="AB208" s="98">
        <f>R208-H208</f>
        <v>2</v>
      </c>
    </row>
    <row r="209" spans="1:29" ht="22.35" customHeight="1" thickBot="1" x14ac:dyDescent="0.3">
      <c r="A209" s="276" t="s">
        <v>224</v>
      </c>
      <c r="B209" s="80" t="s">
        <v>225</v>
      </c>
      <c r="C209" s="81">
        <v>20</v>
      </c>
      <c r="D209" s="23" t="s">
        <v>226</v>
      </c>
      <c r="E209" s="23" t="s">
        <v>227</v>
      </c>
      <c r="F209" s="141" t="s">
        <v>65</v>
      </c>
      <c r="G209" s="21" t="s">
        <v>145</v>
      </c>
      <c r="H209" s="246">
        <v>6.3</v>
      </c>
      <c r="I209" s="84">
        <v>5.77</v>
      </c>
      <c r="J209" s="23" t="s">
        <v>228</v>
      </c>
      <c r="K209" s="86" t="s">
        <v>229</v>
      </c>
      <c r="L209" s="86">
        <v>1</v>
      </c>
      <c r="M209" s="86"/>
      <c r="N209" s="87">
        <v>0</v>
      </c>
      <c r="O209" s="88"/>
      <c r="P209" s="136">
        <v>1</v>
      </c>
      <c r="Q209" s="90">
        <v>1</v>
      </c>
      <c r="R209" s="91">
        <v>6.9</v>
      </c>
      <c r="S209" s="139" t="s">
        <v>230</v>
      </c>
      <c r="T209" s="140" t="s">
        <v>140</v>
      </c>
      <c r="U209" s="94" t="s">
        <v>223</v>
      </c>
      <c r="V209" s="95">
        <v>20</v>
      </c>
      <c r="W209" s="108"/>
      <c r="X209" s="109" t="s">
        <v>55</v>
      </c>
      <c r="Y209" s="20">
        <f t="shared" si="9"/>
        <v>1</v>
      </c>
      <c r="AA209" s="98">
        <f t="shared" si="10"/>
        <v>0.53000000000000025</v>
      </c>
      <c r="AB209" s="98">
        <f t="shared" si="11"/>
        <v>0.60000000000000053</v>
      </c>
    </row>
    <row r="210" spans="1:29" ht="22.35" customHeight="1" thickBot="1" x14ac:dyDescent="0.3">
      <c r="A210" s="276" t="s">
        <v>224</v>
      </c>
      <c r="B210" s="80" t="s">
        <v>231</v>
      </c>
      <c r="C210" s="81">
        <v>20</v>
      </c>
      <c r="D210" s="23" t="s">
        <v>226</v>
      </c>
      <c r="E210" s="23" t="s">
        <v>232</v>
      </c>
      <c r="F210" s="141" t="s">
        <v>65</v>
      </c>
      <c r="G210" s="21" t="s">
        <v>233</v>
      </c>
      <c r="H210" s="191">
        <v>10.9</v>
      </c>
      <c r="I210" s="84">
        <v>10.15</v>
      </c>
      <c r="J210" s="23" t="s">
        <v>228</v>
      </c>
      <c r="K210" s="86" t="s">
        <v>234</v>
      </c>
      <c r="L210" s="86">
        <v>1</v>
      </c>
      <c r="M210" s="86"/>
      <c r="N210" s="87">
        <v>0</v>
      </c>
      <c r="O210" s="100"/>
      <c r="P210" s="143">
        <v>1</v>
      </c>
      <c r="Q210" s="102">
        <v>1</v>
      </c>
      <c r="R210" s="103">
        <v>11.9</v>
      </c>
      <c r="S210" s="144" t="s">
        <v>230</v>
      </c>
      <c r="T210" s="112" t="s">
        <v>140</v>
      </c>
      <c r="U210" s="106" t="s">
        <v>223</v>
      </c>
      <c r="V210" s="107">
        <v>20</v>
      </c>
      <c r="W210" s="108"/>
      <c r="X210" s="109" t="s">
        <v>59</v>
      </c>
      <c r="Y210" s="20">
        <f t="shared" si="9"/>
        <v>1</v>
      </c>
      <c r="AA210" s="98">
        <f t="shared" si="10"/>
        <v>0.75</v>
      </c>
      <c r="AB210" s="98">
        <f t="shared" si="11"/>
        <v>1</v>
      </c>
    </row>
    <row r="211" spans="1:29" ht="22.35" customHeight="1" thickBot="1" x14ac:dyDescent="0.3">
      <c r="A211" s="276" t="s">
        <v>181</v>
      </c>
      <c r="B211" s="80" t="s">
        <v>235</v>
      </c>
      <c r="C211" s="81">
        <v>12</v>
      </c>
      <c r="D211" s="23" t="s">
        <v>236</v>
      </c>
      <c r="E211" s="23" t="s">
        <v>227</v>
      </c>
      <c r="F211" s="141" t="s">
        <v>65</v>
      </c>
      <c r="G211" s="21" t="s">
        <v>145</v>
      </c>
      <c r="H211" s="191">
        <v>11.9</v>
      </c>
      <c r="I211" s="84">
        <v>11.22</v>
      </c>
      <c r="J211" s="23" t="s">
        <v>237</v>
      </c>
      <c r="K211" s="86" t="s">
        <v>238</v>
      </c>
      <c r="L211" s="86">
        <v>1</v>
      </c>
      <c r="M211" s="86"/>
      <c r="N211" s="87">
        <v>0</v>
      </c>
      <c r="O211" s="100"/>
      <c r="P211" s="143">
        <v>1</v>
      </c>
      <c r="Q211" s="102">
        <v>1</v>
      </c>
      <c r="R211" s="103">
        <v>12.9</v>
      </c>
      <c r="S211" s="144" t="s">
        <v>230</v>
      </c>
      <c r="T211" s="112" t="s">
        <v>140</v>
      </c>
      <c r="U211" s="106" t="s">
        <v>223</v>
      </c>
      <c r="V211" s="107">
        <v>20</v>
      </c>
      <c r="W211" s="108"/>
      <c r="X211" s="109" t="s">
        <v>179</v>
      </c>
      <c r="Y211" s="20">
        <f t="shared" si="9"/>
        <v>1</v>
      </c>
      <c r="AA211" s="98">
        <f t="shared" si="10"/>
        <v>0.67999999999999972</v>
      </c>
      <c r="AB211" s="98">
        <f t="shared" si="11"/>
        <v>1</v>
      </c>
    </row>
    <row r="212" spans="1:29" ht="22.35" customHeight="1" thickBot="1" x14ac:dyDescent="0.3">
      <c r="A212" s="276" t="s">
        <v>171</v>
      </c>
      <c r="B212" s="80" t="s">
        <v>239</v>
      </c>
      <c r="C212" s="81">
        <v>10</v>
      </c>
      <c r="D212" s="23" t="s">
        <v>240</v>
      </c>
      <c r="E212" s="23" t="s">
        <v>241</v>
      </c>
      <c r="F212" s="141" t="s">
        <v>242</v>
      </c>
      <c r="G212" s="21" t="s">
        <v>243</v>
      </c>
      <c r="H212" s="191">
        <v>9.5</v>
      </c>
      <c r="I212" s="84">
        <v>8.61</v>
      </c>
      <c r="J212" s="23" t="s">
        <v>237</v>
      </c>
      <c r="K212" s="86" t="s">
        <v>244</v>
      </c>
      <c r="L212" s="86">
        <v>1</v>
      </c>
      <c r="M212" s="86"/>
      <c r="N212" s="87">
        <v>0</v>
      </c>
      <c r="O212" s="100"/>
      <c r="P212" s="143">
        <v>0</v>
      </c>
      <c r="Q212" s="102">
        <v>1</v>
      </c>
      <c r="R212" s="103">
        <v>9.9</v>
      </c>
      <c r="S212" s="144" t="s">
        <v>230</v>
      </c>
      <c r="T212" s="112" t="s">
        <v>140</v>
      </c>
      <c r="U212" s="106" t="s">
        <v>223</v>
      </c>
      <c r="V212" s="107">
        <v>20</v>
      </c>
      <c r="W212" s="108"/>
      <c r="X212" s="109" t="s">
        <v>70</v>
      </c>
      <c r="Y212" s="20">
        <f t="shared" si="9"/>
        <v>1</v>
      </c>
      <c r="AA212" s="98">
        <f t="shared" si="10"/>
        <v>0.89000000000000057</v>
      </c>
      <c r="AB212" s="98">
        <f t="shared" si="11"/>
        <v>0.40000000000000036</v>
      </c>
    </row>
    <row r="213" spans="1:29" ht="22.35" customHeight="1" thickBot="1" x14ac:dyDescent="0.3">
      <c r="A213" s="276" t="s">
        <v>171</v>
      </c>
      <c r="B213" s="80" t="s">
        <v>245</v>
      </c>
      <c r="C213" s="81">
        <v>12</v>
      </c>
      <c r="D213" s="23" t="s">
        <v>246</v>
      </c>
      <c r="E213" s="23" t="s">
        <v>247</v>
      </c>
      <c r="F213" s="141" t="s">
        <v>248</v>
      </c>
      <c r="G213" s="21" t="s">
        <v>214</v>
      </c>
      <c r="H213" s="191">
        <v>12.5</v>
      </c>
      <c r="I213" s="84">
        <v>11.41</v>
      </c>
      <c r="J213" s="23" t="s">
        <v>249</v>
      </c>
      <c r="K213" s="86" t="s">
        <v>250</v>
      </c>
      <c r="L213" s="86">
        <v>1</v>
      </c>
      <c r="M213" s="86"/>
      <c r="N213" s="87">
        <v>0</v>
      </c>
      <c r="O213" s="100"/>
      <c r="P213" s="143">
        <v>1</v>
      </c>
      <c r="Q213" s="102">
        <v>1</v>
      </c>
      <c r="R213" s="103">
        <v>13.9</v>
      </c>
      <c r="S213" s="144" t="s">
        <v>230</v>
      </c>
      <c r="T213" s="112" t="s">
        <v>140</v>
      </c>
      <c r="U213" s="106" t="s">
        <v>223</v>
      </c>
      <c r="V213" s="107">
        <v>20</v>
      </c>
      <c r="W213" s="108"/>
      <c r="X213" s="109" t="s">
        <v>117</v>
      </c>
      <c r="Y213" s="20">
        <f t="shared" si="9"/>
        <v>1</v>
      </c>
      <c r="AA213" s="98">
        <f t="shared" si="10"/>
        <v>1.0899999999999999</v>
      </c>
      <c r="AB213" s="98">
        <f t="shared" si="11"/>
        <v>1.4000000000000004</v>
      </c>
    </row>
    <row r="214" spans="1:29" ht="22.35" customHeight="1" thickBot="1" x14ac:dyDescent="0.3">
      <c r="A214" s="276" t="s">
        <v>224</v>
      </c>
      <c r="B214" s="80" t="s">
        <v>251</v>
      </c>
      <c r="C214" s="81">
        <v>12</v>
      </c>
      <c r="D214" s="23" t="s">
        <v>252</v>
      </c>
      <c r="F214" s="141" t="s">
        <v>65</v>
      </c>
      <c r="G214" s="21" t="s">
        <v>243</v>
      </c>
      <c r="H214" s="191">
        <v>11.9</v>
      </c>
      <c r="I214" s="84">
        <v>12.23</v>
      </c>
      <c r="J214" s="23" t="s">
        <v>249</v>
      </c>
      <c r="K214" s="86" t="s">
        <v>253</v>
      </c>
      <c r="L214" s="86">
        <v>1</v>
      </c>
      <c r="M214" s="86"/>
      <c r="N214" s="87">
        <v>0</v>
      </c>
      <c r="O214" s="100"/>
      <c r="P214" s="143">
        <v>1</v>
      </c>
      <c r="Q214" s="102">
        <v>1</v>
      </c>
      <c r="R214" s="103">
        <v>12.9</v>
      </c>
      <c r="S214" s="144" t="s">
        <v>230</v>
      </c>
      <c r="T214" s="112" t="s">
        <v>140</v>
      </c>
      <c r="U214" s="106" t="s">
        <v>223</v>
      </c>
      <c r="V214" s="107">
        <v>20</v>
      </c>
      <c r="W214" s="108"/>
      <c r="X214" s="109" t="s">
        <v>199</v>
      </c>
      <c r="Y214" s="20">
        <f t="shared" si="9"/>
        <v>1</v>
      </c>
      <c r="AA214" s="98">
        <f t="shared" si="10"/>
        <v>-0.33000000000000007</v>
      </c>
      <c r="AB214" s="98">
        <f t="shared" si="11"/>
        <v>1</v>
      </c>
      <c r="AC214" s="23" t="s">
        <v>254</v>
      </c>
    </row>
    <row r="215" spans="1:29" ht="22.35" customHeight="1" thickBot="1" x14ac:dyDescent="0.3">
      <c r="A215" s="276" t="s">
        <v>255</v>
      </c>
      <c r="B215" s="80" t="s">
        <v>256</v>
      </c>
      <c r="C215" s="81">
        <v>15</v>
      </c>
      <c r="D215" s="23" t="s">
        <v>257</v>
      </c>
      <c r="F215" s="141" t="s">
        <v>258</v>
      </c>
      <c r="G215" s="21" t="s">
        <v>145</v>
      </c>
      <c r="H215" s="191">
        <v>24.9</v>
      </c>
      <c r="I215" s="84">
        <v>22.29</v>
      </c>
      <c r="J215" s="23" t="s">
        <v>259</v>
      </c>
      <c r="K215" s="86" t="s">
        <v>260</v>
      </c>
      <c r="L215" s="86">
        <v>1</v>
      </c>
      <c r="M215" s="86"/>
      <c r="N215" s="87">
        <v>0</v>
      </c>
      <c r="O215" s="100"/>
      <c r="P215" s="143">
        <v>1</v>
      </c>
      <c r="Q215" s="102">
        <v>1</v>
      </c>
      <c r="R215" s="103">
        <v>26.9</v>
      </c>
      <c r="S215" s="144" t="s">
        <v>230</v>
      </c>
      <c r="T215" s="112" t="s">
        <v>140</v>
      </c>
      <c r="U215" s="106" t="s">
        <v>223</v>
      </c>
      <c r="V215" s="107">
        <v>20</v>
      </c>
      <c r="W215" s="108"/>
      <c r="X215" s="109" t="s">
        <v>119</v>
      </c>
      <c r="Y215" s="20">
        <f t="shared" si="9"/>
        <v>1</v>
      </c>
      <c r="AA215" s="98">
        <f t="shared" si="10"/>
        <v>2.6099999999999994</v>
      </c>
      <c r="AB215" s="98">
        <f t="shared" si="11"/>
        <v>2</v>
      </c>
    </row>
    <row r="216" spans="1:29" ht="22.35" customHeight="1" thickBot="1" x14ac:dyDescent="0.3">
      <c r="A216" s="276" t="s">
        <v>255</v>
      </c>
      <c r="B216" s="80" t="s">
        <v>261</v>
      </c>
      <c r="C216" s="81">
        <v>15</v>
      </c>
      <c r="D216" s="23" t="s">
        <v>262</v>
      </c>
      <c r="E216" s="23" t="s">
        <v>263</v>
      </c>
      <c r="F216" s="141" t="s">
        <v>258</v>
      </c>
      <c r="G216" s="21" t="s">
        <v>145</v>
      </c>
      <c r="H216" s="191">
        <v>19.899999999999999</v>
      </c>
      <c r="I216" s="84">
        <v>17.809999999999999</v>
      </c>
      <c r="J216" s="23" t="s">
        <v>259</v>
      </c>
      <c r="K216" s="86" t="s">
        <v>264</v>
      </c>
      <c r="L216" s="86">
        <v>1</v>
      </c>
      <c r="M216" s="86"/>
      <c r="N216" s="87">
        <v>0</v>
      </c>
      <c r="O216" s="100"/>
      <c r="P216" s="143">
        <v>1</v>
      </c>
      <c r="Q216" s="102">
        <v>1</v>
      </c>
      <c r="R216" s="103">
        <v>21.5</v>
      </c>
      <c r="S216" s="144" t="s">
        <v>230</v>
      </c>
      <c r="T216" s="112" t="s">
        <v>140</v>
      </c>
      <c r="U216" s="106" t="s">
        <v>223</v>
      </c>
      <c r="V216" s="107">
        <v>20</v>
      </c>
      <c r="W216" s="108"/>
      <c r="X216" s="109" t="s">
        <v>265</v>
      </c>
      <c r="Y216" s="20">
        <f t="shared" si="9"/>
        <v>1</v>
      </c>
      <c r="AA216" s="98">
        <f t="shared" si="10"/>
        <v>2.09</v>
      </c>
      <c r="AB216" s="98">
        <f t="shared" si="11"/>
        <v>1.6000000000000014</v>
      </c>
    </row>
    <row r="217" spans="1:29" ht="22.35" customHeight="1" thickBot="1" x14ac:dyDescent="0.3">
      <c r="A217" s="276" t="s">
        <v>255</v>
      </c>
      <c r="B217" s="80" t="s">
        <v>266</v>
      </c>
      <c r="C217" s="81">
        <v>40</v>
      </c>
      <c r="D217" s="23" t="s">
        <v>267</v>
      </c>
      <c r="F217" s="141" t="s">
        <v>268</v>
      </c>
      <c r="G217" s="21" t="s">
        <v>145</v>
      </c>
      <c r="H217" s="191">
        <v>29.9</v>
      </c>
      <c r="I217" s="84">
        <v>27.89</v>
      </c>
      <c r="J217" s="23" t="s">
        <v>259</v>
      </c>
      <c r="K217" s="86" t="s">
        <v>269</v>
      </c>
      <c r="L217" s="86">
        <v>1</v>
      </c>
      <c r="M217" s="86"/>
      <c r="N217" s="87">
        <v>0</v>
      </c>
      <c r="O217" s="100"/>
      <c r="P217" s="143">
        <v>1</v>
      </c>
      <c r="Q217" s="102">
        <v>1</v>
      </c>
      <c r="R217" s="103">
        <v>33.9</v>
      </c>
      <c r="S217" s="144" t="s">
        <v>230</v>
      </c>
      <c r="T217" s="112" t="s">
        <v>140</v>
      </c>
      <c r="U217" s="106" t="s">
        <v>270</v>
      </c>
      <c r="V217" s="107">
        <v>20</v>
      </c>
      <c r="W217" s="108"/>
      <c r="X217" s="109" t="s">
        <v>205</v>
      </c>
      <c r="Y217" s="20">
        <f t="shared" si="9"/>
        <v>1</v>
      </c>
      <c r="AA217" s="98">
        <f t="shared" si="10"/>
        <v>2.009999999999998</v>
      </c>
      <c r="AB217" s="98">
        <f t="shared" si="11"/>
        <v>4</v>
      </c>
    </row>
    <row r="218" spans="1:29" ht="22.35" customHeight="1" thickBot="1" x14ac:dyDescent="0.3">
      <c r="A218" s="276" t="s">
        <v>255</v>
      </c>
      <c r="B218" s="80" t="s">
        <v>271</v>
      </c>
      <c r="C218" s="81">
        <v>12</v>
      </c>
      <c r="D218" s="23" t="s">
        <v>272</v>
      </c>
      <c r="E218" s="23" t="s">
        <v>273</v>
      </c>
      <c r="F218" s="141" t="s">
        <v>274</v>
      </c>
      <c r="G218" s="21" t="s">
        <v>186</v>
      </c>
      <c r="H218" s="191">
        <v>33.9</v>
      </c>
      <c r="I218" s="84">
        <v>29.68</v>
      </c>
      <c r="J218" s="23" t="s">
        <v>275</v>
      </c>
      <c r="K218" s="86" t="s">
        <v>276</v>
      </c>
      <c r="L218" s="86">
        <v>1</v>
      </c>
      <c r="M218" s="86"/>
      <c r="N218" s="87">
        <v>0</v>
      </c>
      <c r="O218" s="100"/>
      <c r="P218" s="143">
        <v>1</v>
      </c>
      <c r="Q218" s="102">
        <v>1</v>
      </c>
      <c r="R218" s="103">
        <v>36.9</v>
      </c>
      <c r="S218" s="144" t="s">
        <v>230</v>
      </c>
      <c r="T218" s="112" t="s">
        <v>140</v>
      </c>
      <c r="U218" s="106" t="s">
        <v>270</v>
      </c>
      <c r="V218" s="107">
        <v>20</v>
      </c>
      <c r="W218" s="108"/>
      <c r="X218" s="109" t="s">
        <v>209</v>
      </c>
      <c r="Y218" s="20">
        <f t="shared" si="9"/>
        <v>1</v>
      </c>
      <c r="AA218" s="98">
        <f t="shared" si="10"/>
        <v>4.2199999999999989</v>
      </c>
      <c r="AB218" s="98">
        <f t="shared" si="11"/>
        <v>3</v>
      </c>
    </row>
    <row r="219" spans="1:29" ht="22.35" customHeight="1" thickBot="1" x14ac:dyDescent="0.3">
      <c r="A219" s="276" t="s">
        <v>255</v>
      </c>
      <c r="B219" s="80" t="s">
        <v>277</v>
      </c>
      <c r="C219" s="81">
        <v>10</v>
      </c>
      <c r="D219" s="23" t="s">
        <v>278</v>
      </c>
      <c r="E219" s="23" t="s">
        <v>279</v>
      </c>
      <c r="F219" s="141" t="s">
        <v>274</v>
      </c>
      <c r="G219" s="21" t="s">
        <v>145</v>
      </c>
      <c r="H219" s="191">
        <v>45.9</v>
      </c>
      <c r="I219" s="84">
        <v>42.11</v>
      </c>
      <c r="J219" s="23" t="s">
        <v>280</v>
      </c>
      <c r="K219" s="86" t="s">
        <v>281</v>
      </c>
      <c r="L219" s="86">
        <v>1</v>
      </c>
      <c r="M219" s="86"/>
      <c r="N219" s="87">
        <v>0</v>
      </c>
      <c r="O219" s="100"/>
      <c r="P219" s="143">
        <v>1</v>
      </c>
      <c r="Q219" s="102">
        <v>1</v>
      </c>
      <c r="R219" s="103">
        <v>49.9</v>
      </c>
      <c r="S219" s="144" t="s">
        <v>230</v>
      </c>
      <c r="T219" s="112" t="s">
        <v>140</v>
      </c>
      <c r="U219" s="106" t="s">
        <v>270</v>
      </c>
      <c r="V219" s="107">
        <v>20</v>
      </c>
      <c r="W219" s="108"/>
      <c r="X219" s="109" t="s">
        <v>282</v>
      </c>
      <c r="Y219" s="20">
        <f t="shared" si="9"/>
        <v>1</v>
      </c>
      <c r="AA219" s="98">
        <f t="shared" si="10"/>
        <v>3.7899999999999991</v>
      </c>
      <c r="AB219" s="98">
        <f t="shared" si="11"/>
        <v>4</v>
      </c>
    </row>
    <row r="220" spans="1:29" ht="22.35" customHeight="1" thickBot="1" x14ac:dyDescent="0.3">
      <c r="A220" s="278" t="s">
        <v>255</v>
      </c>
      <c r="B220" s="209" t="s">
        <v>283</v>
      </c>
      <c r="C220" s="210">
        <v>10</v>
      </c>
      <c r="D220" s="211" t="s">
        <v>284</v>
      </c>
      <c r="E220" s="211" t="s">
        <v>285</v>
      </c>
      <c r="F220" s="236" t="s">
        <v>286</v>
      </c>
      <c r="G220" s="213" t="s">
        <v>145</v>
      </c>
      <c r="H220" s="191">
        <v>32.9</v>
      </c>
      <c r="I220" s="238">
        <v>30.02</v>
      </c>
      <c r="J220" s="211" t="s">
        <v>280</v>
      </c>
      <c r="K220" s="215" t="s">
        <v>287</v>
      </c>
      <c r="L220" s="215">
        <v>1</v>
      </c>
      <c r="M220" s="215"/>
      <c r="N220" s="216">
        <v>0</v>
      </c>
      <c r="O220" s="239"/>
      <c r="P220" s="240">
        <v>1</v>
      </c>
      <c r="Q220" s="154">
        <v>1</v>
      </c>
      <c r="R220" s="241">
        <v>35.9</v>
      </c>
      <c r="S220" s="242" t="s">
        <v>230</v>
      </c>
      <c r="T220" s="243" t="s">
        <v>140</v>
      </c>
      <c r="U220" s="244" t="s">
        <v>270</v>
      </c>
      <c r="V220" s="233">
        <v>20</v>
      </c>
      <c r="W220" s="108"/>
      <c r="X220" s="109" t="s">
        <v>288</v>
      </c>
      <c r="Y220" s="20">
        <f t="shared" si="9"/>
        <v>1</v>
      </c>
      <c r="AA220" s="98">
        <f t="shared" si="10"/>
        <v>2.879999999999999</v>
      </c>
      <c r="AB220" s="98">
        <f t="shared" si="11"/>
        <v>3</v>
      </c>
    </row>
    <row r="221" spans="1:29" ht="22.35" customHeight="1" thickBot="1" x14ac:dyDescent="0.3">
      <c r="A221" s="175"/>
      <c r="B221" s="175"/>
      <c r="C221" s="176"/>
      <c r="D221" s="177" t="s">
        <v>289</v>
      </c>
      <c r="E221" s="178"/>
      <c r="F221" s="179"/>
      <c r="G221" s="180"/>
      <c r="H221" s="181"/>
      <c r="I221" s="180"/>
      <c r="J221" s="178"/>
      <c r="K221" s="182"/>
      <c r="L221" s="182"/>
      <c r="M221" s="182"/>
      <c r="N221" s="183"/>
      <c r="O221" s="184"/>
      <c r="P221" s="184"/>
      <c r="Q221" s="184"/>
      <c r="R221" s="185"/>
      <c r="S221" s="268"/>
      <c r="T221" s="187" t="s">
        <v>290</v>
      </c>
      <c r="U221" s="188"/>
      <c r="V221" s="189"/>
      <c r="W221" s="188"/>
      <c r="X221" s="190"/>
      <c r="Y221" s="20">
        <f t="shared" si="9"/>
        <v>0</v>
      </c>
      <c r="AA221" s="98">
        <f t="shared" si="10"/>
        <v>0</v>
      </c>
      <c r="AB221" s="98">
        <f t="shared" si="11"/>
        <v>0</v>
      </c>
    </row>
    <row r="222" spans="1:29" ht="22.35" customHeight="1" thickBot="1" x14ac:dyDescent="0.3">
      <c r="A222" s="127"/>
      <c r="B222" s="127"/>
      <c r="C222" s="128"/>
      <c r="D222" s="129"/>
      <c r="E222" s="129"/>
      <c r="F222" s="130"/>
      <c r="G222" s="132"/>
      <c r="H222" s="191"/>
      <c r="I222" s="158"/>
      <c r="J222" s="129"/>
      <c r="K222" s="159"/>
      <c r="L222" s="133"/>
      <c r="M222" s="133"/>
      <c r="N222" s="134"/>
      <c r="O222" s="135"/>
      <c r="P222" s="136"/>
      <c r="Q222" s="137"/>
      <c r="R222" s="138"/>
      <c r="S222" s="144" t="s">
        <v>291</v>
      </c>
      <c r="T222" s="112" t="s">
        <v>290</v>
      </c>
      <c r="U222" s="106" t="s">
        <v>292</v>
      </c>
      <c r="V222" s="107">
        <v>21</v>
      </c>
      <c r="W222" s="96"/>
      <c r="X222" s="97"/>
      <c r="Y222" s="20">
        <f t="shared" si="9"/>
        <v>0</v>
      </c>
      <c r="AA222" s="98">
        <f t="shared" si="10"/>
        <v>0</v>
      </c>
      <c r="AB222" s="98">
        <f t="shared" si="11"/>
        <v>0</v>
      </c>
    </row>
    <row r="223" spans="1:29" ht="22.35" customHeight="1" thickBot="1" x14ac:dyDescent="0.3">
      <c r="A223" s="80"/>
      <c r="B223" s="80"/>
      <c r="F223" s="141"/>
      <c r="H223" s="191"/>
      <c r="I223" s="84"/>
      <c r="K223" s="86"/>
      <c r="L223" s="86"/>
      <c r="M223" s="86"/>
      <c r="O223" s="100"/>
      <c r="P223" s="143"/>
      <c r="Q223" s="102"/>
      <c r="R223" s="103"/>
      <c r="S223" s="144" t="s">
        <v>291</v>
      </c>
      <c r="T223" s="112" t="s">
        <v>290</v>
      </c>
      <c r="U223" s="106" t="s">
        <v>292</v>
      </c>
      <c r="V223" s="107">
        <v>21</v>
      </c>
      <c r="W223" s="108"/>
      <c r="X223" s="109"/>
      <c r="Y223" s="20">
        <f t="shared" si="9"/>
        <v>0</v>
      </c>
      <c r="AA223" s="98">
        <f t="shared" si="10"/>
        <v>0</v>
      </c>
      <c r="AB223" s="98">
        <f t="shared" si="11"/>
        <v>0</v>
      </c>
    </row>
    <row r="224" spans="1:29" ht="22.35" customHeight="1" thickBot="1" x14ac:dyDescent="0.3">
      <c r="A224" s="80"/>
      <c r="B224" s="80"/>
      <c r="F224" s="141"/>
      <c r="H224" s="191"/>
      <c r="I224" s="84"/>
      <c r="K224" s="86"/>
      <c r="L224" s="86"/>
      <c r="M224" s="86"/>
      <c r="O224" s="100"/>
      <c r="P224" s="143"/>
      <c r="Q224" s="102"/>
      <c r="R224" s="103"/>
      <c r="S224" s="144" t="s">
        <v>291</v>
      </c>
      <c r="T224" s="112" t="s">
        <v>290</v>
      </c>
      <c r="U224" s="106" t="s">
        <v>292</v>
      </c>
      <c r="V224" s="107">
        <v>21</v>
      </c>
      <c r="W224" s="108"/>
      <c r="X224" s="109"/>
      <c r="Y224" s="20">
        <f t="shared" si="9"/>
        <v>0</v>
      </c>
      <c r="AA224" s="98">
        <f t="shared" si="10"/>
        <v>0</v>
      </c>
      <c r="AB224" s="98">
        <f t="shared" si="11"/>
        <v>0</v>
      </c>
    </row>
    <row r="225" spans="1:28" ht="22.35" customHeight="1" thickBot="1" x14ac:dyDescent="0.3">
      <c r="A225" s="80"/>
      <c r="B225" s="80"/>
      <c r="F225" s="141"/>
      <c r="H225" s="191"/>
      <c r="I225" s="84"/>
      <c r="K225" s="86"/>
      <c r="L225" s="86"/>
      <c r="M225" s="86"/>
      <c r="O225" s="100"/>
      <c r="P225" s="143"/>
      <c r="Q225" s="102"/>
      <c r="R225" s="103"/>
      <c r="S225" s="144" t="s">
        <v>291</v>
      </c>
      <c r="T225" s="112" t="s">
        <v>290</v>
      </c>
      <c r="U225" s="106" t="s">
        <v>292</v>
      </c>
      <c r="V225" s="107">
        <v>21</v>
      </c>
      <c r="W225" s="108"/>
      <c r="X225" s="109"/>
      <c r="Y225" s="20">
        <f t="shared" si="9"/>
        <v>0</v>
      </c>
      <c r="AA225" s="98">
        <f t="shared" si="10"/>
        <v>0</v>
      </c>
      <c r="AB225" s="98">
        <f t="shared" si="11"/>
        <v>0</v>
      </c>
    </row>
    <row r="226" spans="1:28" ht="22.35" customHeight="1" thickBot="1" x14ac:dyDescent="0.3">
      <c r="A226" s="80"/>
      <c r="B226" s="80"/>
      <c r="F226" s="141"/>
      <c r="H226" s="191"/>
      <c r="I226" s="84"/>
      <c r="K226" s="86"/>
      <c r="L226" s="86"/>
      <c r="M226" s="86"/>
      <c r="O226" s="100"/>
      <c r="P226" s="143"/>
      <c r="Q226" s="102"/>
      <c r="R226" s="103"/>
      <c r="S226" s="144" t="s">
        <v>291</v>
      </c>
      <c r="T226" s="112" t="s">
        <v>290</v>
      </c>
      <c r="U226" s="106" t="s">
        <v>292</v>
      </c>
      <c r="V226" s="107">
        <v>21</v>
      </c>
      <c r="W226" s="108"/>
      <c r="X226" s="109"/>
      <c r="Y226" s="20">
        <f t="shared" si="9"/>
        <v>0</v>
      </c>
      <c r="AA226" s="98">
        <f t="shared" si="10"/>
        <v>0</v>
      </c>
      <c r="AB226" s="98">
        <f t="shared" si="11"/>
        <v>0</v>
      </c>
    </row>
    <row r="227" spans="1:28" ht="22.35" customHeight="1" thickBot="1" x14ac:dyDescent="0.3">
      <c r="A227" s="80"/>
      <c r="B227" s="80"/>
      <c r="F227" s="141"/>
      <c r="H227" s="191"/>
      <c r="I227" s="84"/>
      <c r="K227" s="86"/>
      <c r="L227" s="86"/>
      <c r="M227" s="86"/>
      <c r="O227" s="100"/>
      <c r="P227" s="143"/>
      <c r="Q227" s="102"/>
      <c r="R227" s="103"/>
      <c r="S227" s="144" t="s">
        <v>291</v>
      </c>
      <c r="T227" s="112" t="s">
        <v>290</v>
      </c>
      <c r="U227" s="106" t="s">
        <v>292</v>
      </c>
      <c r="V227" s="107">
        <v>21</v>
      </c>
      <c r="W227" s="108"/>
      <c r="X227" s="109"/>
      <c r="Y227" s="20">
        <f t="shared" si="9"/>
        <v>0</v>
      </c>
      <c r="AA227" s="98">
        <f t="shared" si="10"/>
        <v>0</v>
      </c>
      <c r="AB227" s="98">
        <f t="shared" si="11"/>
        <v>0</v>
      </c>
    </row>
    <row r="228" spans="1:28" ht="22.35" customHeight="1" thickBot="1" x14ac:dyDescent="0.3">
      <c r="A228" s="80"/>
      <c r="B228" s="80"/>
      <c r="F228" s="141"/>
      <c r="H228" s="191"/>
      <c r="I228" s="84"/>
      <c r="K228" s="86"/>
      <c r="L228" s="86"/>
      <c r="M228" s="86"/>
      <c r="O228" s="100"/>
      <c r="P228" s="143"/>
      <c r="Q228" s="102"/>
      <c r="R228" s="103"/>
      <c r="S228" s="144" t="s">
        <v>291</v>
      </c>
      <c r="T228" s="112" t="s">
        <v>290</v>
      </c>
      <c r="U228" s="106" t="s">
        <v>292</v>
      </c>
      <c r="V228" s="107">
        <v>21</v>
      </c>
      <c r="W228" s="108"/>
      <c r="X228" s="109"/>
      <c r="Y228" s="20">
        <f t="shared" si="9"/>
        <v>0</v>
      </c>
      <c r="AA228" s="98">
        <f t="shared" si="10"/>
        <v>0</v>
      </c>
      <c r="AB228" s="98">
        <f t="shared" si="11"/>
        <v>0</v>
      </c>
    </row>
    <row r="229" spans="1:28" ht="22.35" customHeight="1" thickBot="1" x14ac:dyDescent="0.3">
      <c r="A229" s="80"/>
      <c r="B229" s="80"/>
      <c r="F229" s="141"/>
      <c r="H229" s="191"/>
      <c r="I229" s="84"/>
      <c r="K229" s="86"/>
      <c r="L229" s="86"/>
      <c r="M229" s="86"/>
      <c r="O229" s="100"/>
      <c r="P229" s="143"/>
      <c r="Q229" s="102"/>
      <c r="R229" s="103"/>
      <c r="S229" s="144" t="s">
        <v>291</v>
      </c>
      <c r="T229" s="112" t="s">
        <v>290</v>
      </c>
      <c r="U229" s="106" t="s">
        <v>292</v>
      </c>
      <c r="V229" s="107">
        <v>21</v>
      </c>
      <c r="W229" s="108"/>
      <c r="X229" s="109"/>
      <c r="Y229" s="20">
        <f t="shared" si="9"/>
        <v>0</v>
      </c>
      <c r="AA229" s="98">
        <f t="shared" si="10"/>
        <v>0</v>
      </c>
      <c r="AB229" s="98">
        <f t="shared" si="11"/>
        <v>0</v>
      </c>
    </row>
    <row r="230" spans="1:28" ht="22.35" customHeight="1" thickBot="1" x14ac:dyDescent="0.3">
      <c r="A230" s="80"/>
      <c r="B230" s="80"/>
      <c r="F230" s="141"/>
      <c r="H230" s="191"/>
      <c r="I230" s="84"/>
      <c r="K230" s="86"/>
      <c r="L230" s="86"/>
      <c r="M230" s="86"/>
      <c r="O230" s="100"/>
      <c r="P230" s="143"/>
      <c r="Q230" s="102"/>
      <c r="R230" s="103"/>
      <c r="S230" s="144" t="s">
        <v>291</v>
      </c>
      <c r="T230" s="112" t="s">
        <v>290</v>
      </c>
      <c r="U230" s="106" t="s">
        <v>293</v>
      </c>
      <c r="V230" s="107">
        <v>21</v>
      </c>
      <c r="W230" s="108"/>
      <c r="X230" s="109"/>
      <c r="Y230" s="20">
        <f t="shared" si="9"/>
        <v>0</v>
      </c>
      <c r="AA230" s="98">
        <f t="shared" si="10"/>
        <v>0</v>
      </c>
      <c r="AB230" s="98">
        <f t="shared" si="11"/>
        <v>0</v>
      </c>
    </row>
    <row r="231" spans="1:28" ht="22.35" customHeight="1" thickBot="1" x14ac:dyDescent="0.3">
      <c r="A231" s="80"/>
      <c r="B231" s="80"/>
      <c r="F231" s="141"/>
      <c r="H231" s="191"/>
      <c r="I231" s="84"/>
      <c r="K231" s="86"/>
      <c r="L231" s="86"/>
      <c r="M231" s="86"/>
      <c r="O231" s="100"/>
      <c r="P231" s="143"/>
      <c r="Q231" s="102"/>
      <c r="R231" s="103"/>
      <c r="S231" s="144" t="s">
        <v>291</v>
      </c>
      <c r="T231" s="112" t="s">
        <v>290</v>
      </c>
      <c r="U231" s="106" t="s">
        <v>293</v>
      </c>
      <c r="V231" s="107">
        <v>21</v>
      </c>
      <c r="W231" s="108"/>
      <c r="X231" s="109"/>
      <c r="Y231" s="20">
        <f t="shared" si="9"/>
        <v>0</v>
      </c>
      <c r="AA231" s="98">
        <f t="shared" si="10"/>
        <v>0</v>
      </c>
      <c r="AB231" s="98">
        <f t="shared" si="11"/>
        <v>0</v>
      </c>
    </row>
    <row r="232" spans="1:28" ht="22.35" customHeight="1" thickBot="1" x14ac:dyDescent="0.3">
      <c r="A232" s="80"/>
      <c r="B232" s="80"/>
      <c r="F232" s="141"/>
      <c r="H232" s="191"/>
      <c r="I232" s="84"/>
      <c r="K232" s="86"/>
      <c r="L232" s="86"/>
      <c r="M232" s="86"/>
      <c r="O232" s="100"/>
      <c r="P232" s="143"/>
      <c r="Q232" s="102"/>
      <c r="R232" s="103"/>
      <c r="S232" s="144" t="s">
        <v>291</v>
      </c>
      <c r="T232" s="112" t="s">
        <v>290</v>
      </c>
      <c r="U232" s="106" t="s">
        <v>293</v>
      </c>
      <c r="V232" s="107">
        <v>21</v>
      </c>
      <c r="W232" s="108"/>
      <c r="X232" s="109"/>
      <c r="Y232" s="20">
        <f t="shared" si="9"/>
        <v>0</v>
      </c>
      <c r="AA232" s="98">
        <f t="shared" si="10"/>
        <v>0</v>
      </c>
      <c r="AB232" s="98">
        <f t="shared" si="11"/>
        <v>0</v>
      </c>
    </row>
    <row r="233" spans="1:28" ht="22.35" customHeight="1" thickBot="1" x14ac:dyDescent="0.3">
      <c r="A233" s="80"/>
      <c r="B233" s="80"/>
      <c r="F233" s="141"/>
      <c r="H233" s="191"/>
      <c r="I233" s="84"/>
      <c r="K233" s="86"/>
      <c r="L233" s="86"/>
      <c r="M233" s="86"/>
      <c r="O233" s="100"/>
      <c r="P233" s="143"/>
      <c r="Q233" s="102"/>
      <c r="R233" s="103"/>
      <c r="S233" s="144" t="s">
        <v>291</v>
      </c>
      <c r="T233" s="112" t="s">
        <v>290</v>
      </c>
      <c r="U233" s="106" t="s">
        <v>293</v>
      </c>
      <c r="V233" s="107">
        <v>21</v>
      </c>
      <c r="W233" s="108"/>
      <c r="X233" s="109"/>
      <c r="Y233" s="20">
        <f t="shared" si="9"/>
        <v>0</v>
      </c>
      <c r="AA233" s="98">
        <f t="shared" si="10"/>
        <v>0</v>
      </c>
      <c r="AB233" s="98">
        <f t="shared" si="11"/>
        <v>0</v>
      </c>
    </row>
    <row r="234" spans="1:28" ht="22.35" customHeight="1" thickBot="1" x14ac:dyDescent="0.3">
      <c r="A234" s="80"/>
      <c r="B234" s="80"/>
      <c r="F234" s="141"/>
      <c r="H234" s="191"/>
      <c r="I234" s="84"/>
      <c r="K234" s="86"/>
      <c r="L234" s="86"/>
      <c r="M234" s="86"/>
      <c r="O234" s="100"/>
      <c r="P234" s="143"/>
      <c r="Q234" s="102"/>
      <c r="R234" s="103"/>
      <c r="S234" s="144" t="s">
        <v>291</v>
      </c>
      <c r="T234" s="112" t="s">
        <v>294</v>
      </c>
      <c r="U234" s="106" t="s">
        <v>293</v>
      </c>
      <c r="V234" s="107">
        <v>21</v>
      </c>
      <c r="W234" s="108"/>
      <c r="X234" s="109"/>
      <c r="Y234" s="20">
        <f t="shared" si="9"/>
        <v>0</v>
      </c>
      <c r="AA234" s="98">
        <f t="shared" si="10"/>
        <v>0</v>
      </c>
      <c r="AB234" s="98">
        <f t="shared" si="11"/>
        <v>0</v>
      </c>
    </row>
    <row r="235" spans="1:28" ht="22.35" customHeight="1" thickBot="1" x14ac:dyDescent="0.3">
      <c r="A235" s="80"/>
      <c r="B235" s="80"/>
      <c r="F235" s="141"/>
      <c r="H235" s="191"/>
      <c r="I235" s="84"/>
      <c r="K235" s="86"/>
      <c r="L235" s="86"/>
      <c r="M235" s="86"/>
      <c r="O235" s="100"/>
      <c r="P235" s="143"/>
      <c r="Q235" s="102"/>
      <c r="R235" s="103"/>
      <c r="S235" s="144" t="s">
        <v>291</v>
      </c>
      <c r="T235" s="112" t="s">
        <v>294</v>
      </c>
      <c r="U235" s="106" t="s">
        <v>293</v>
      </c>
      <c r="V235" s="107">
        <v>21</v>
      </c>
      <c r="W235" s="108"/>
      <c r="X235" s="109"/>
      <c r="Y235" s="20">
        <f t="shared" si="9"/>
        <v>0</v>
      </c>
      <c r="AA235" s="98">
        <f t="shared" si="10"/>
        <v>0</v>
      </c>
      <c r="AB235" s="98">
        <f t="shared" si="11"/>
        <v>0</v>
      </c>
    </row>
    <row r="236" spans="1:28" ht="22.35" customHeight="1" thickBot="1" x14ac:dyDescent="0.3">
      <c r="A236" s="80"/>
      <c r="B236" s="80"/>
      <c r="F236" s="141"/>
      <c r="H236" s="191"/>
      <c r="I236" s="84"/>
      <c r="K236" s="86"/>
      <c r="L236" s="86"/>
      <c r="M236" s="86"/>
      <c r="O236" s="100"/>
      <c r="P236" s="143"/>
      <c r="Q236" s="102"/>
      <c r="R236" s="103"/>
      <c r="S236" s="144" t="s">
        <v>291</v>
      </c>
      <c r="T236" s="112" t="s">
        <v>294</v>
      </c>
      <c r="U236" s="106" t="s">
        <v>293</v>
      </c>
      <c r="V236" s="107">
        <v>21</v>
      </c>
      <c r="W236" s="108"/>
      <c r="X236" s="109"/>
      <c r="Y236" s="20">
        <f t="shared" si="9"/>
        <v>0</v>
      </c>
      <c r="AA236" s="98">
        <f t="shared" si="10"/>
        <v>0</v>
      </c>
      <c r="AB236" s="98">
        <f t="shared" si="11"/>
        <v>0</v>
      </c>
    </row>
    <row r="237" spans="1:28" ht="22.35" customHeight="1" thickBot="1" x14ac:dyDescent="0.3">
      <c r="A237" s="209"/>
      <c r="B237" s="209"/>
      <c r="C237" s="210"/>
      <c r="D237" s="211"/>
      <c r="E237" s="211"/>
      <c r="F237" s="236"/>
      <c r="G237" s="213"/>
      <c r="H237" s="191"/>
      <c r="I237" s="238"/>
      <c r="J237" s="211"/>
      <c r="K237" s="215"/>
      <c r="L237" s="215"/>
      <c r="M237" s="215"/>
      <c r="N237" s="216"/>
      <c r="O237" s="239"/>
      <c r="P237" s="240"/>
      <c r="Q237" s="154"/>
      <c r="R237" s="241"/>
      <c r="S237" s="242" t="s">
        <v>291</v>
      </c>
      <c r="T237" s="243" t="s">
        <v>294</v>
      </c>
      <c r="U237" s="244" t="s">
        <v>293</v>
      </c>
      <c r="V237" s="233">
        <v>21</v>
      </c>
      <c r="W237" s="108"/>
      <c r="X237" s="109"/>
      <c r="Y237" s="20">
        <f t="shared" si="9"/>
        <v>0</v>
      </c>
      <c r="AA237" s="98">
        <f t="shared" si="10"/>
        <v>0</v>
      </c>
      <c r="AB237" s="98">
        <f t="shared" si="11"/>
        <v>0</v>
      </c>
    </row>
    <row r="238" spans="1:28" ht="22.35" customHeight="1" thickBot="1" x14ac:dyDescent="0.3">
      <c r="A238" s="175"/>
      <c r="B238" s="175"/>
      <c r="C238" s="176"/>
      <c r="D238" s="177" t="s">
        <v>295</v>
      </c>
      <c r="E238" s="178"/>
      <c r="F238" s="179"/>
      <c r="G238" s="180"/>
      <c r="H238" s="181"/>
      <c r="I238" s="180"/>
      <c r="J238" s="178"/>
      <c r="K238" s="182"/>
      <c r="L238" s="182"/>
      <c r="M238" s="182"/>
      <c r="N238" s="183"/>
      <c r="O238" s="184"/>
      <c r="P238" s="184"/>
      <c r="Q238" s="184"/>
      <c r="R238" s="185"/>
      <c r="S238" s="186"/>
      <c r="T238" s="187" t="s">
        <v>296</v>
      </c>
      <c r="U238" s="188"/>
      <c r="V238" s="189"/>
      <c r="W238" s="188"/>
      <c r="X238" s="190"/>
      <c r="Y238" s="20">
        <f t="shared" si="9"/>
        <v>0</v>
      </c>
      <c r="AA238" s="98">
        <f t="shared" si="10"/>
        <v>0</v>
      </c>
      <c r="AB238" s="98">
        <f t="shared" si="11"/>
        <v>0</v>
      </c>
    </row>
    <row r="239" spans="1:28" ht="22.35" customHeight="1" thickBot="1" x14ac:dyDescent="0.3">
      <c r="A239" s="127" t="s">
        <v>297</v>
      </c>
      <c r="B239" s="127" t="s">
        <v>298</v>
      </c>
      <c r="C239" s="128">
        <v>6</v>
      </c>
      <c r="D239" s="129" t="s">
        <v>299</v>
      </c>
      <c r="E239" s="129" t="s">
        <v>300</v>
      </c>
      <c r="F239" s="130" t="s">
        <v>301</v>
      </c>
      <c r="G239" s="132">
        <v>4</v>
      </c>
      <c r="H239" s="191">
        <v>49.9</v>
      </c>
      <c r="I239" s="158">
        <v>49.089599999999997</v>
      </c>
      <c r="J239" s="129" t="s">
        <v>302</v>
      </c>
      <c r="K239" s="159" t="s">
        <v>303</v>
      </c>
      <c r="L239" s="133">
        <v>1</v>
      </c>
      <c r="M239" s="133"/>
      <c r="N239" s="134"/>
      <c r="O239" s="135"/>
      <c r="P239" s="136">
        <v>1</v>
      </c>
      <c r="Q239" s="137">
        <v>1</v>
      </c>
      <c r="R239" s="138" t="s">
        <v>304</v>
      </c>
      <c r="S239" s="144" t="s">
        <v>305</v>
      </c>
      <c r="T239" s="112" t="s">
        <v>306</v>
      </c>
      <c r="U239" s="106" t="s">
        <v>307</v>
      </c>
      <c r="V239" s="107">
        <v>22</v>
      </c>
      <c r="W239" s="96"/>
      <c r="X239" s="97" t="s">
        <v>45</v>
      </c>
      <c r="Y239" s="20">
        <f t="shared" si="9"/>
        <v>1</v>
      </c>
      <c r="AA239" s="98">
        <f t="shared" si="10"/>
        <v>0.81040000000000134</v>
      </c>
      <c r="AB239" s="98" t="e">
        <f t="shared" si="11"/>
        <v>#VALUE!</v>
      </c>
    </row>
    <row r="240" spans="1:28" ht="22.35" customHeight="1" thickBot="1" x14ac:dyDescent="0.3">
      <c r="A240" s="80" t="s">
        <v>103</v>
      </c>
      <c r="B240" s="80" t="s">
        <v>308</v>
      </c>
      <c r="C240" s="81">
        <v>12</v>
      </c>
      <c r="D240" s="23" t="s">
        <v>309</v>
      </c>
      <c r="E240" s="23" t="s">
        <v>310</v>
      </c>
      <c r="F240" s="141" t="s">
        <v>311</v>
      </c>
      <c r="G240" s="21" t="s">
        <v>108</v>
      </c>
      <c r="H240" s="191">
        <v>29.9</v>
      </c>
      <c r="I240" s="84">
        <v>28.224</v>
      </c>
      <c r="J240" s="23" t="s">
        <v>312</v>
      </c>
      <c r="K240" s="86" t="s">
        <v>313</v>
      </c>
      <c r="L240" s="86">
        <v>2</v>
      </c>
      <c r="M240" s="86"/>
      <c r="O240" s="100"/>
      <c r="P240" s="143">
        <v>1</v>
      </c>
      <c r="Q240" s="102">
        <v>1</v>
      </c>
      <c r="R240" s="103" t="s">
        <v>314</v>
      </c>
      <c r="S240" s="144" t="s">
        <v>305</v>
      </c>
      <c r="T240" s="112" t="s">
        <v>306</v>
      </c>
      <c r="U240" s="106" t="s">
        <v>307</v>
      </c>
      <c r="V240" s="107">
        <v>22</v>
      </c>
      <c r="W240" s="108"/>
      <c r="X240" s="109" t="s">
        <v>50</v>
      </c>
      <c r="Y240" s="20">
        <f t="shared" si="9"/>
        <v>1</v>
      </c>
      <c r="AA240" s="98">
        <f t="shared" si="10"/>
        <v>1.6759999999999984</v>
      </c>
      <c r="AB240" s="98" t="e">
        <f t="shared" si="11"/>
        <v>#VALUE!</v>
      </c>
    </row>
    <row r="241" spans="1:28" ht="22.35" customHeight="1" thickBot="1" x14ac:dyDescent="0.3">
      <c r="A241" s="80" t="s">
        <v>103</v>
      </c>
      <c r="B241" s="80" t="s">
        <v>315</v>
      </c>
      <c r="C241" s="81">
        <v>12</v>
      </c>
      <c r="D241" s="23" t="s">
        <v>316</v>
      </c>
      <c r="E241" s="23" t="s">
        <v>317</v>
      </c>
      <c r="F241" s="141" t="s">
        <v>318</v>
      </c>
      <c r="G241" s="21">
        <v>4</v>
      </c>
      <c r="H241" s="191">
        <v>33.9</v>
      </c>
      <c r="I241" s="84">
        <v>33.08032</v>
      </c>
      <c r="J241" s="23" t="s">
        <v>109</v>
      </c>
      <c r="K241" s="86" t="s">
        <v>319</v>
      </c>
      <c r="L241" s="86">
        <v>1</v>
      </c>
      <c r="M241" s="86"/>
      <c r="O241" s="100"/>
      <c r="P241" s="143">
        <v>1</v>
      </c>
      <c r="Q241" s="102">
        <v>1</v>
      </c>
      <c r="R241" s="103" t="s">
        <v>320</v>
      </c>
      <c r="S241" s="144" t="s">
        <v>305</v>
      </c>
      <c r="T241" s="112" t="s">
        <v>306</v>
      </c>
      <c r="U241" s="106" t="s">
        <v>307</v>
      </c>
      <c r="V241" s="107">
        <v>22</v>
      </c>
      <c r="W241" s="108"/>
      <c r="X241" s="109" t="s">
        <v>55</v>
      </c>
      <c r="Y241" s="20">
        <f t="shared" si="9"/>
        <v>1</v>
      </c>
      <c r="AA241" s="98">
        <f t="shared" si="10"/>
        <v>0.81967999999999819</v>
      </c>
      <c r="AB241" s="98" t="e">
        <f t="shared" si="11"/>
        <v>#VALUE!</v>
      </c>
    </row>
    <row r="242" spans="1:28" ht="22.35" customHeight="1" thickBot="1" x14ac:dyDescent="0.3">
      <c r="A242" s="80" t="s">
        <v>103</v>
      </c>
      <c r="B242" s="80" t="s">
        <v>321</v>
      </c>
      <c r="C242" s="81">
        <v>10</v>
      </c>
      <c r="D242" s="23" t="s">
        <v>322</v>
      </c>
      <c r="E242" s="23" t="s">
        <v>323</v>
      </c>
      <c r="F242" s="141" t="s">
        <v>324</v>
      </c>
      <c r="G242" s="21">
        <v>1</v>
      </c>
      <c r="H242" s="191">
        <v>30.9</v>
      </c>
      <c r="I242" s="84">
        <v>30.41</v>
      </c>
      <c r="J242" s="23" t="s">
        <v>325</v>
      </c>
      <c r="K242" s="86" t="s">
        <v>326</v>
      </c>
      <c r="L242" s="86">
        <v>1</v>
      </c>
      <c r="M242" s="86"/>
      <c r="O242" s="100"/>
      <c r="P242" s="143">
        <v>1</v>
      </c>
      <c r="Q242" s="102">
        <v>1</v>
      </c>
      <c r="R242" s="103" t="s">
        <v>327</v>
      </c>
      <c r="S242" s="144" t="s">
        <v>305</v>
      </c>
      <c r="T242" s="112" t="s">
        <v>306</v>
      </c>
      <c r="U242" s="106" t="s">
        <v>307</v>
      </c>
      <c r="V242" s="107">
        <v>22</v>
      </c>
      <c r="W242" s="108"/>
      <c r="X242" s="109" t="s">
        <v>59</v>
      </c>
      <c r="Y242" s="20">
        <f t="shared" si="9"/>
        <v>1</v>
      </c>
      <c r="AA242" s="98">
        <f t="shared" si="10"/>
        <v>0.48999999999999844</v>
      </c>
      <c r="AB242" s="98" t="e">
        <f t="shared" si="11"/>
        <v>#VALUE!</v>
      </c>
    </row>
    <row r="243" spans="1:28" ht="22.35" customHeight="1" thickBot="1" x14ac:dyDescent="0.3">
      <c r="A243" s="80" t="s">
        <v>328</v>
      </c>
      <c r="B243" s="80" t="s">
        <v>329</v>
      </c>
      <c r="C243" s="81">
        <v>12</v>
      </c>
      <c r="D243" s="23" t="s">
        <v>330</v>
      </c>
      <c r="E243" s="23" t="s">
        <v>331</v>
      </c>
      <c r="F243" s="141" t="s">
        <v>258</v>
      </c>
      <c r="G243" s="21">
        <v>4</v>
      </c>
      <c r="H243" s="191">
        <v>34.9</v>
      </c>
      <c r="I243" s="84">
        <v>34.496000000000002</v>
      </c>
      <c r="J243" s="23" t="s">
        <v>332</v>
      </c>
      <c r="K243" s="86" t="s">
        <v>333</v>
      </c>
      <c r="L243" s="86">
        <v>1</v>
      </c>
      <c r="M243" s="86"/>
      <c r="O243" s="100"/>
      <c r="P243" s="143">
        <v>1</v>
      </c>
      <c r="Q243" s="102">
        <v>1</v>
      </c>
      <c r="R243" s="103" t="s">
        <v>334</v>
      </c>
      <c r="S243" s="144" t="s">
        <v>305</v>
      </c>
      <c r="T243" s="112" t="s">
        <v>306</v>
      </c>
      <c r="U243" s="106" t="s">
        <v>307</v>
      </c>
      <c r="V243" s="107">
        <v>22</v>
      </c>
      <c r="W243" s="108"/>
      <c r="X243" s="109" t="s">
        <v>63</v>
      </c>
      <c r="Y243" s="20">
        <f t="shared" si="9"/>
        <v>1</v>
      </c>
      <c r="AA243" s="98">
        <f t="shared" si="10"/>
        <v>0.40399999999999636</v>
      </c>
      <c r="AB243" s="98" t="e">
        <f t="shared" si="11"/>
        <v>#VALUE!</v>
      </c>
    </row>
    <row r="244" spans="1:28" ht="22.35" customHeight="1" thickBot="1" x14ac:dyDescent="0.3">
      <c r="A244" s="80" t="s">
        <v>103</v>
      </c>
      <c r="B244" s="80" t="s">
        <v>335</v>
      </c>
      <c r="C244" s="81">
        <v>18</v>
      </c>
      <c r="D244" s="23" t="s">
        <v>336</v>
      </c>
      <c r="E244" s="23" t="s">
        <v>337</v>
      </c>
      <c r="F244" s="141" t="s">
        <v>338</v>
      </c>
      <c r="G244" s="21">
        <v>4</v>
      </c>
      <c r="H244" s="277">
        <v>17.899999999999999</v>
      </c>
      <c r="I244" s="84">
        <v>17.579519999999999</v>
      </c>
      <c r="J244" s="23" t="s">
        <v>332</v>
      </c>
      <c r="K244" s="86" t="s">
        <v>339</v>
      </c>
      <c r="L244" s="86">
        <v>1</v>
      </c>
      <c r="M244" s="86"/>
      <c r="O244" s="100"/>
      <c r="P244" s="143">
        <v>1</v>
      </c>
      <c r="Q244" s="102">
        <v>1</v>
      </c>
      <c r="R244" s="103" t="s">
        <v>340</v>
      </c>
      <c r="S244" s="144" t="s">
        <v>305</v>
      </c>
      <c r="T244" s="112" t="s">
        <v>306</v>
      </c>
      <c r="U244" s="106" t="s">
        <v>307</v>
      </c>
      <c r="V244" s="107">
        <v>22</v>
      </c>
      <c r="W244" s="108">
        <v>1</v>
      </c>
      <c r="X244" s="109" t="s">
        <v>179</v>
      </c>
      <c r="Y244" s="20">
        <f t="shared" si="9"/>
        <v>1</v>
      </c>
      <c r="AA244" s="98">
        <f t="shared" si="10"/>
        <v>0.32047999999999988</v>
      </c>
      <c r="AB244" s="98" t="e">
        <f t="shared" si="11"/>
        <v>#VALUE!</v>
      </c>
    </row>
    <row r="245" spans="1:28" ht="22.35" customHeight="1" thickBot="1" x14ac:dyDescent="0.3">
      <c r="A245" s="80" t="s">
        <v>328</v>
      </c>
      <c r="B245" s="80" t="s">
        <v>341</v>
      </c>
      <c r="C245" s="81">
        <v>10</v>
      </c>
      <c r="D245" s="23" t="s">
        <v>342</v>
      </c>
      <c r="E245" s="23" t="s">
        <v>343</v>
      </c>
      <c r="F245" s="141" t="s">
        <v>40</v>
      </c>
      <c r="G245" s="21">
        <v>5</v>
      </c>
      <c r="H245" s="191">
        <v>82.9</v>
      </c>
      <c r="I245" s="84">
        <v>81.2</v>
      </c>
      <c r="J245" s="23" t="s">
        <v>344</v>
      </c>
      <c r="K245" s="86" t="s">
        <v>345</v>
      </c>
      <c r="L245" s="86">
        <v>1</v>
      </c>
      <c r="M245" s="86"/>
      <c r="O245" s="100"/>
      <c r="P245" s="143">
        <v>1</v>
      </c>
      <c r="Q245" s="102">
        <v>1</v>
      </c>
      <c r="R245" s="103" t="s">
        <v>346</v>
      </c>
      <c r="S245" s="144" t="s">
        <v>305</v>
      </c>
      <c r="T245" s="112" t="s">
        <v>306</v>
      </c>
      <c r="U245" s="106" t="s">
        <v>347</v>
      </c>
      <c r="V245" s="107">
        <v>22</v>
      </c>
      <c r="W245" s="108"/>
      <c r="X245" s="109" t="s">
        <v>70</v>
      </c>
      <c r="Y245" s="20">
        <f t="shared" si="9"/>
        <v>1</v>
      </c>
      <c r="AA245" s="98">
        <f t="shared" si="10"/>
        <v>1.7000000000000028</v>
      </c>
      <c r="AB245" s="98" t="e">
        <f t="shared" si="11"/>
        <v>#VALUE!</v>
      </c>
    </row>
    <row r="246" spans="1:28" ht="22.35" customHeight="1" thickBot="1" x14ac:dyDescent="0.3">
      <c r="A246" s="80" t="s">
        <v>255</v>
      </c>
      <c r="B246" s="80" t="s">
        <v>348</v>
      </c>
      <c r="C246" s="81">
        <v>8</v>
      </c>
      <c r="D246" s="23" t="s">
        <v>349</v>
      </c>
      <c r="E246" s="23" t="s">
        <v>350</v>
      </c>
      <c r="F246" s="141" t="s">
        <v>86</v>
      </c>
      <c r="G246" s="21">
        <v>3</v>
      </c>
      <c r="H246" s="277">
        <v>49.9</v>
      </c>
      <c r="I246" s="84">
        <v>49.84</v>
      </c>
      <c r="J246" s="23" t="s">
        <v>344</v>
      </c>
      <c r="K246" s="86" t="s">
        <v>351</v>
      </c>
      <c r="L246" s="86">
        <v>1</v>
      </c>
      <c r="M246" s="86"/>
      <c r="O246" s="100"/>
      <c r="P246" s="143">
        <v>1</v>
      </c>
      <c r="Q246" s="102">
        <v>1</v>
      </c>
      <c r="R246" s="103" t="s">
        <v>304</v>
      </c>
      <c r="S246" s="144" t="s">
        <v>305</v>
      </c>
      <c r="T246" s="112" t="s">
        <v>306</v>
      </c>
      <c r="U246" s="106" t="s">
        <v>347</v>
      </c>
      <c r="V246" s="107">
        <v>22</v>
      </c>
      <c r="W246" s="108">
        <v>1</v>
      </c>
      <c r="X246" s="109" t="s">
        <v>117</v>
      </c>
      <c r="Y246" s="20">
        <f t="shared" si="9"/>
        <v>1</v>
      </c>
      <c r="AA246" s="98">
        <f t="shared" si="10"/>
        <v>5.9999999999995168E-2</v>
      </c>
      <c r="AB246" s="98" t="e">
        <f t="shared" si="11"/>
        <v>#VALUE!</v>
      </c>
    </row>
    <row r="247" spans="1:28" ht="22.35" customHeight="1" thickBot="1" x14ac:dyDescent="0.3">
      <c r="A247" s="80" t="s">
        <v>103</v>
      </c>
      <c r="B247" s="80" t="s">
        <v>352</v>
      </c>
      <c r="C247" s="81">
        <v>8</v>
      </c>
      <c r="D247" s="23" t="s">
        <v>353</v>
      </c>
      <c r="E247" s="23" t="s">
        <v>354</v>
      </c>
      <c r="F247" s="141" t="s">
        <v>274</v>
      </c>
      <c r="G247" s="21">
        <v>2</v>
      </c>
      <c r="H247" s="191">
        <v>132</v>
      </c>
      <c r="I247" s="84">
        <v>129.81</v>
      </c>
      <c r="J247" s="23" t="s">
        <v>355</v>
      </c>
      <c r="K247" s="86" t="s">
        <v>356</v>
      </c>
      <c r="L247" s="86">
        <v>1</v>
      </c>
      <c r="M247" s="86"/>
      <c r="O247" s="100"/>
      <c r="P247" s="143">
        <v>1</v>
      </c>
      <c r="Q247" s="102">
        <v>1</v>
      </c>
      <c r="R247" s="103" t="s">
        <v>357</v>
      </c>
      <c r="S247" s="144" t="s">
        <v>305</v>
      </c>
      <c r="T247" s="112" t="s">
        <v>306</v>
      </c>
      <c r="U247" s="106" t="s">
        <v>347</v>
      </c>
      <c r="V247" s="107">
        <v>22</v>
      </c>
      <c r="W247" s="108"/>
      <c r="X247" s="109" t="s">
        <v>199</v>
      </c>
      <c r="Y247" s="20">
        <f t="shared" si="9"/>
        <v>1</v>
      </c>
      <c r="AA247" s="98">
        <f t="shared" si="10"/>
        <v>2.1899999999999977</v>
      </c>
      <c r="AB247" s="98" t="e">
        <f t="shared" si="11"/>
        <v>#VALUE!</v>
      </c>
    </row>
    <row r="248" spans="1:28" ht="22.35" customHeight="1" thickBot="1" x14ac:dyDescent="0.3">
      <c r="A248" s="80"/>
      <c r="B248" s="80">
        <v>4037014180011</v>
      </c>
      <c r="C248" s="81">
        <v>8</v>
      </c>
      <c r="D248" s="23" t="s">
        <v>358</v>
      </c>
      <c r="E248" s="23" t="s">
        <v>39</v>
      </c>
      <c r="F248" s="141" t="s">
        <v>40</v>
      </c>
      <c r="G248" s="21">
        <v>2</v>
      </c>
      <c r="H248" s="191">
        <v>279</v>
      </c>
      <c r="I248" s="84">
        <v>267.68</v>
      </c>
      <c r="J248" s="23" t="s">
        <v>41</v>
      </c>
      <c r="K248" s="86">
        <v>1051054</v>
      </c>
      <c r="L248" s="86">
        <v>1</v>
      </c>
      <c r="M248" s="86"/>
      <c r="N248" s="87">
        <v>0</v>
      </c>
      <c r="O248" s="100">
        <v>148</v>
      </c>
      <c r="P248" s="143">
        <v>1</v>
      </c>
      <c r="Q248" s="102">
        <v>1</v>
      </c>
      <c r="R248" s="103">
        <v>305</v>
      </c>
      <c r="S248" s="144" t="s">
        <v>305</v>
      </c>
      <c r="T248" s="112" t="s">
        <v>306</v>
      </c>
      <c r="U248" s="106" t="s">
        <v>347</v>
      </c>
      <c r="V248" s="107">
        <v>22</v>
      </c>
      <c r="W248" s="108"/>
      <c r="X248" s="109" t="s">
        <v>205</v>
      </c>
      <c r="Y248" s="20">
        <f t="shared" si="9"/>
        <v>1</v>
      </c>
      <c r="AA248" s="98">
        <f t="shared" si="10"/>
        <v>11.319999999999993</v>
      </c>
      <c r="AB248" s="98">
        <f t="shared" si="11"/>
        <v>26</v>
      </c>
    </row>
    <row r="249" spans="1:28" ht="22.35" customHeight="1" thickBot="1" x14ac:dyDescent="0.3">
      <c r="A249" s="209"/>
      <c r="B249" s="209">
        <v>4013743000646</v>
      </c>
      <c r="C249" s="210">
        <v>12</v>
      </c>
      <c r="D249" s="211" t="s">
        <v>359</v>
      </c>
      <c r="E249" s="211" t="s">
        <v>360</v>
      </c>
      <c r="F249" s="236" t="s">
        <v>175</v>
      </c>
      <c r="G249" s="213">
        <v>2</v>
      </c>
      <c r="H249" s="191">
        <v>125</v>
      </c>
      <c r="I249" s="238">
        <v>122.08</v>
      </c>
      <c r="J249" s="211" t="s">
        <v>41</v>
      </c>
      <c r="K249" s="215">
        <v>1052073</v>
      </c>
      <c r="L249" s="215">
        <v>1</v>
      </c>
      <c r="M249" s="215"/>
      <c r="N249" s="216">
        <v>0</v>
      </c>
      <c r="O249" s="239">
        <v>219</v>
      </c>
      <c r="P249" s="240">
        <v>1</v>
      </c>
      <c r="Q249" s="154">
        <v>1</v>
      </c>
      <c r="R249" s="241">
        <v>129</v>
      </c>
      <c r="S249" s="242" t="s">
        <v>305</v>
      </c>
      <c r="T249" s="243" t="s">
        <v>306</v>
      </c>
      <c r="U249" s="244" t="s">
        <v>347</v>
      </c>
      <c r="V249" s="233">
        <v>22</v>
      </c>
      <c r="W249" s="108"/>
      <c r="X249" s="109" t="s">
        <v>209</v>
      </c>
      <c r="Y249" s="20">
        <f t="shared" si="9"/>
        <v>1</v>
      </c>
      <c r="AA249" s="98">
        <f t="shared" si="10"/>
        <v>2.9200000000000017</v>
      </c>
      <c r="AB249" s="98">
        <f t="shared" si="11"/>
        <v>4</v>
      </c>
    </row>
    <row r="250" spans="1:28" ht="22.35" customHeight="1" thickBot="1" x14ac:dyDescent="0.3">
      <c r="A250" s="209"/>
      <c r="B250" s="209">
        <v>5900649085497</v>
      </c>
      <c r="C250" s="279">
        <v>7</v>
      </c>
      <c r="D250" s="280" t="s">
        <v>361</v>
      </c>
      <c r="E250" s="280" t="s">
        <v>343</v>
      </c>
      <c r="F250" s="281" t="s">
        <v>362</v>
      </c>
      <c r="G250" s="282" t="s">
        <v>89</v>
      </c>
      <c r="H250" s="237">
        <v>9.5</v>
      </c>
      <c r="I250" s="282">
        <v>8.85</v>
      </c>
      <c r="J250" s="280" t="s">
        <v>363</v>
      </c>
      <c r="K250" s="283">
        <v>1052001</v>
      </c>
      <c r="L250" s="283">
        <v>4</v>
      </c>
      <c r="M250" s="283"/>
      <c r="N250" s="284">
        <v>0</v>
      </c>
      <c r="O250" s="217">
        <v>387</v>
      </c>
      <c r="P250" s="218">
        <v>1</v>
      </c>
      <c r="Q250" s="218">
        <v>1</v>
      </c>
      <c r="R250" s="219">
        <v>10.199999999999999</v>
      </c>
      <c r="S250" s="250" t="s">
        <v>363</v>
      </c>
      <c r="T250" s="221" t="str">
        <f>INDEX([1]data!$B$1:$B$100,MATCH('04.02 - 10.02'!S250,[0]!exclusive01,))</f>
        <v>DUCANH</v>
      </c>
      <c r="U250" s="244" t="s">
        <v>364</v>
      </c>
      <c r="V250" s="245">
        <v>22</v>
      </c>
      <c r="W250" s="108"/>
      <c r="X250" s="109" t="s">
        <v>119</v>
      </c>
      <c r="Y250" s="20">
        <f t="shared" si="9"/>
        <v>1</v>
      </c>
      <c r="AA250" s="98">
        <f t="shared" si="10"/>
        <v>0.65000000000000036</v>
      </c>
      <c r="AB250" s="98">
        <f t="shared" si="11"/>
        <v>0.69999999999999929</v>
      </c>
    </row>
    <row r="251" spans="1:28" ht="22.35" customHeight="1" thickBot="1" x14ac:dyDescent="0.3">
      <c r="A251" s="80" t="s">
        <v>365</v>
      </c>
      <c r="B251" s="80" t="s">
        <v>366</v>
      </c>
      <c r="C251" s="81">
        <v>20</v>
      </c>
      <c r="D251" s="23" t="s">
        <v>367</v>
      </c>
      <c r="E251" s="23" t="s">
        <v>368</v>
      </c>
      <c r="F251" s="141" t="s">
        <v>53</v>
      </c>
      <c r="G251" s="21" t="s">
        <v>89</v>
      </c>
      <c r="H251" s="246">
        <v>22.9</v>
      </c>
      <c r="I251" s="84">
        <v>22.4</v>
      </c>
      <c r="J251" s="23" t="s">
        <v>369</v>
      </c>
      <c r="K251" s="86" t="s">
        <v>370</v>
      </c>
      <c r="L251" s="86">
        <v>1</v>
      </c>
      <c r="M251" s="86"/>
      <c r="O251" s="88"/>
      <c r="P251" s="136">
        <v>1</v>
      </c>
      <c r="Q251" s="90">
        <v>1</v>
      </c>
      <c r="R251" s="91" t="s">
        <v>371</v>
      </c>
      <c r="S251" s="139" t="s">
        <v>372</v>
      </c>
      <c r="T251" s="140" t="s">
        <v>306</v>
      </c>
      <c r="U251" s="94" t="s">
        <v>373</v>
      </c>
      <c r="V251" s="95">
        <v>23</v>
      </c>
      <c r="W251" s="108"/>
      <c r="X251" s="109" t="s">
        <v>45</v>
      </c>
      <c r="Y251" s="20">
        <f t="shared" si="9"/>
        <v>1</v>
      </c>
      <c r="AA251" s="98">
        <f t="shared" si="10"/>
        <v>0.5</v>
      </c>
      <c r="AB251" s="98" t="e">
        <f t="shared" si="11"/>
        <v>#VALUE!</v>
      </c>
    </row>
    <row r="252" spans="1:28" ht="22.35" customHeight="1" thickBot="1" x14ac:dyDescent="0.3">
      <c r="A252" s="80" t="s">
        <v>374</v>
      </c>
      <c r="B252" s="80" t="s">
        <v>375</v>
      </c>
      <c r="C252" s="81">
        <v>22</v>
      </c>
      <c r="D252" s="23" t="s">
        <v>376</v>
      </c>
      <c r="E252" s="23" t="s">
        <v>377</v>
      </c>
      <c r="F252" s="141" t="s">
        <v>65</v>
      </c>
      <c r="G252" s="21">
        <v>3</v>
      </c>
      <c r="H252" s="277">
        <v>22.9</v>
      </c>
      <c r="I252" s="84">
        <v>22.478400000000001</v>
      </c>
      <c r="J252" s="23" t="s">
        <v>378</v>
      </c>
      <c r="K252" s="86" t="s">
        <v>379</v>
      </c>
      <c r="L252" s="86">
        <v>1</v>
      </c>
      <c r="M252" s="86"/>
      <c r="O252" s="100"/>
      <c r="P252" s="143">
        <v>1</v>
      </c>
      <c r="Q252" s="102">
        <v>1</v>
      </c>
      <c r="R252" s="103" t="s">
        <v>380</v>
      </c>
      <c r="S252" s="144" t="s">
        <v>372</v>
      </c>
      <c r="T252" s="112" t="s">
        <v>306</v>
      </c>
      <c r="U252" s="106" t="s">
        <v>373</v>
      </c>
      <c r="V252" s="107">
        <v>23</v>
      </c>
      <c r="W252" s="108">
        <v>1</v>
      </c>
      <c r="X252" s="109" t="s">
        <v>50</v>
      </c>
      <c r="Y252" s="20">
        <f t="shared" si="9"/>
        <v>1</v>
      </c>
      <c r="AA252" s="98">
        <f t="shared" si="10"/>
        <v>0.42159999999999798</v>
      </c>
      <c r="AB252" s="98" t="e">
        <f t="shared" si="11"/>
        <v>#VALUE!</v>
      </c>
    </row>
    <row r="253" spans="1:28" ht="22.35" customHeight="1" thickBot="1" x14ac:dyDescent="0.3">
      <c r="A253" s="80" t="s">
        <v>381</v>
      </c>
      <c r="B253" s="80" t="s">
        <v>382</v>
      </c>
      <c r="C253" s="81">
        <v>25</v>
      </c>
      <c r="D253" s="23" t="s">
        <v>383</v>
      </c>
      <c r="E253" s="23" t="s">
        <v>384</v>
      </c>
      <c r="F253" s="141" t="s">
        <v>385</v>
      </c>
      <c r="G253" s="21">
        <v>3</v>
      </c>
      <c r="H253" s="191">
        <v>12.9</v>
      </c>
      <c r="I253" s="84">
        <v>12.50032</v>
      </c>
      <c r="J253" s="23" t="s">
        <v>386</v>
      </c>
      <c r="K253" s="86" t="s">
        <v>387</v>
      </c>
      <c r="L253" s="86">
        <v>1</v>
      </c>
      <c r="M253" s="86"/>
      <c r="O253" s="100"/>
      <c r="P253" s="143">
        <v>1</v>
      </c>
      <c r="Q253" s="102">
        <v>1</v>
      </c>
      <c r="R253" s="103" t="s">
        <v>388</v>
      </c>
      <c r="S253" s="144" t="s">
        <v>372</v>
      </c>
      <c r="T253" s="112" t="s">
        <v>306</v>
      </c>
      <c r="U253" s="106" t="s">
        <v>373</v>
      </c>
      <c r="V253" s="107">
        <v>23</v>
      </c>
      <c r="W253" s="108"/>
      <c r="X253" s="109" t="s">
        <v>55</v>
      </c>
      <c r="Y253" s="20">
        <f t="shared" si="9"/>
        <v>1</v>
      </c>
      <c r="AA253" s="98">
        <f t="shared" si="10"/>
        <v>0.39968000000000004</v>
      </c>
      <c r="AB253" s="98" t="e">
        <f t="shared" si="11"/>
        <v>#VALUE!</v>
      </c>
    </row>
    <row r="254" spans="1:28" ht="22.35" customHeight="1" thickBot="1" x14ac:dyDescent="0.3">
      <c r="A254" s="80" t="s">
        <v>328</v>
      </c>
      <c r="B254" s="80" t="s">
        <v>389</v>
      </c>
      <c r="C254" s="81">
        <v>12</v>
      </c>
      <c r="D254" s="23" t="s">
        <v>390</v>
      </c>
      <c r="E254" s="23" t="s">
        <v>391</v>
      </c>
      <c r="F254" s="141" t="s">
        <v>392</v>
      </c>
      <c r="G254" s="21" t="s">
        <v>89</v>
      </c>
      <c r="H254" s="191">
        <v>74.900000000000006</v>
      </c>
      <c r="I254" s="84">
        <v>73.280479999999997</v>
      </c>
      <c r="J254" s="23" t="s">
        <v>393</v>
      </c>
      <c r="K254" s="86" t="s">
        <v>394</v>
      </c>
      <c r="L254" s="86">
        <v>1</v>
      </c>
      <c r="M254" s="86"/>
      <c r="O254" s="100"/>
      <c r="P254" s="143">
        <v>1</v>
      </c>
      <c r="Q254" s="102">
        <v>1</v>
      </c>
      <c r="R254" s="103" t="s">
        <v>395</v>
      </c>
      <c r="S254" s="144" t="s">
        <v>372</v>
      </c>
      <c r="T254" s="112" t="s">
        <v>306</v>
      </c>
      <c r="U254" s="106" t="s">
        <v>373</v>
      </c>
      <c r="V254" s="107">
        <v>23</v>
      </c>
      <c r="W254" s="108"/>
      <c r="X254" s="109" t="s">
        <v>59</v>
      </c>
      <c r="Y254" s="20">
        <f t="shared" si="9"/>
        <v>1</v>
      </c>
      <c r="AA254" s="98">
        <f t="shared" si="10"/>
        <v>1.6195200000000085</v>
      </c>
      <c r="AB254" s="98" t="e">
        <f t="shared" si="11"/>
        <v>#VALUE!</v>
      </c>
    </row>
    <row r="255" spans="1:28" ht="22.35" customHeight="1" thickBot="1" x14ac:dyDescent="0.3">
      <c r="A255" s="80" t="s">
        <v>328</v>
      </c>
      <c r="B255" s="80" t="s">
        <v>396</v>
      </c>
      <c r="C255" s="81">
        <v>18</v>
      </c>
      <c r="D255" s="23" t="s">
        <v>397</v>
      </c>
      <c r="E255" s="23" t="s">
        <v>398</v>
      </c>
      <c r="F255" s="141" t="s">
        <v>399</v>
      </c>
      <c r="G255" s="21" t="s">
        <v>89</v>
      </c>
      <c r="H255" s="191">
        <v>16.899999999999999</v>
      </c>
      <c r="I255" s="84">
        <v>16.509920000000001</v>
      </c>
      <c r="J255" s="23" t="s">
        <v>400</v>
      </c>
      <c r="K255" s="86" t="s">
        <v>401</v>
      </c>
      <c r="L255" s="86">
        <v>2</v>
      </c>
      <c r="M255" s="86"/>
      <c r="O255" s="100"/>
      <c r="P255" s="143">
        <v>1</v>
      </c>
      <c r="Q255" s="102">
        <v>1</v>
      </c>
      <c r="R255" s="103" t="s">
        <v>402</v>
      </c>
      <c r="S255" s="144" t="s">
        <v>372</v>
      </c>
      <c r="T255" s="112" t="s">
        <v>306</v>
      </c>
      <c r="U255" s="106" t="s">
        <v>403</v>
      </c>
      <c r="V255" s="107">
        <v>23</v>
      </c>
      <c r="W255" s="108"/>
      <c r="X255" s="109" t="s">
        <v>63</v>
      </c>
      <c r="Y255" s="20">
        <f t="shared" si="9"/>
        <v>1</v>
      </c>
      <c r="AA255" s="98">
        <f t="shared" si="10"/>
        <v>0.39007999999999754</v>
      </c>
      <c r="AB255" s="98" t="e">
        <f t="shared" si="11"/>
        <v>#VALUE!</v>
      </c>
    </row>
    <row r="256" spans="1:28" ht="22.35" customHeight="1" thickBot="1" x14ac:dyDescent="0.3">
      <c r="A256" s="80" t="s">
        <v>328</v>
      </c>
      <c r="B256" s="80" t="s">
        <v>404</v>
      </c>
      <c r="C256" s="81">
        <v>15</v>
      </c>
      <c r="D256" s="23" t="s">
        <v>405</v>
      </c>
      <c r="E256" s="23" t="s">
        <v>406</v>
      </c>
      <c r="F256" s="141" t="s">
        <v>53</v>
      </c>
      <c r="G256" s="21">
        <v>2</v>
      </c>
      <c r="H256" s="191">
        <v>9.5</v>
      </c>
      <c r="I256" s="84">
        <v>9.0697600000000005</v>
      </c>
      <c r="J256" s="23" t="s">
        <v>407</v>
      </c>
      <c r="K256" s="86" t="s">
        <v>408</v>
      </c>
      <c r="L256" s="86">
        <v>1</v>
      </c>
      <c r="M256" s="86"/>
      <c r="O256" s="100"/>
      <c r="P256" s="143">
        <v>1</v>
      </c>
      <c r="Q256" s="102">
        <v>1</v>
      </c>
      <c r="R256" s="103" t="s">
        <v>409</v>
      </c>
      <c r="S256" s="144" t="s">
        <v>372</v>
      </c>
      <c r="T256" s="112" t="s">
        <v>306</v>
      </c>
      <c r="U256" s="106" t="s">
        <v>403</v>
      </c>
      <c r="V256" s="107">
        <v>23</v>
      </c>
      <c r="W256" s="108"/>
      <c r="X256" s="109" t="s">
        <v>66</v>
      </c>
      <c r="Y256" s="20">
        <f t="shared" si="9"/>
        <v>1</v>
      </c>
      <c r="AA256" s="98">
        <f t="shared" si="10"/>
        <v>0.43023999999999951</v>
      </c>
      <c r="AB256" s="98" t="e">
        <f t="shared" si="11"/>
        <v>#VALUE!</v>
      </c>
    </row>
    <row r="257" spans="1:28" ht="22.35" customHeight="1" thickBot="1" x14ac:dyDescent="0.3">
      <c r="A257" s="80"/>
      <c r="B257" s="80">
        <v>8588000061457</v>
      </c>
      <c r="C257" s="81">
        <v>700</v>
      </c>
      <c r="D257" s="23" t="s">
        <v>410</v>
      </c>
      <c r="E257" s="23" t="s">
        <v>411</v>
      </c>
      <c r="F257" s="141" t="s">
        <v>412</v>
      </c>
      <c r="G257" s="21">
        <v>4</v>
      </c>
      <c r="H257" s="191">
        <v>2.5</v>
      </c>
      <c r="I257" s="84">
        <v>2.1800000000000002</v>
      </c>
      <c r="J257" s="23" t="s">
        <v>413</v>
      </c>
      <c r="K257" s="86">
        <v>2040746</v>
      </c>
      <c r="L257" s="86">
        <v>1</v>
      </c>
      <c r="M257" s="86"/>
      <c r="N257" s="87">
        <v>0</v>
      </c>
      <c r="O257" s="100">
        <v>959</v>
      </c>
      <c r="P257" s="143">
        <v>1</v>
      </c>
      <c r="Q257" s="102">
        <v>1</v>
      </c>
      <c r="R257" s="103">
        <v>2.7</v>
      </c>
      <c r="S257" s="144" t="s">
        <v>372</v>
      </c>
      <c r="T257" s="112" t="s">
        <v>306</v>
      </c>
      <c r="U257" s="106" t="s">
        <v>414</v>
      </c>
      <c r="V257" s="107">
        <v>23</v>
      </c>
      <c r="W257" s="108"/>
      <c r="X257" s="109" t="s">
        <v>179</v>
      </c>
      <c r="Y257" s="20">
        <f t="shared" si="9"/>
        <v>1</v>
      </c>
      <c r="AA257" s="98">
        <f t="shared" si="10"/>
        <v>0.31999999999999984</v>
      </c>
      <c r="AB257" s="98">
        <f t="shared" si="11"/>
        <v>0.20000000000000018</v>
      </c>
    </row>
    <row r="258" spans="1:28" ht="22.35" customHeight="1" thickBot="1" x14ac:dyDescent="0.3">
      <c r="A258" s="80"/>
      <c r="B258" s="80">
        <v>5010029227451</v>
      </c>
      <c r="C258" s="81">
        <v>5</v>
      </c>
      <c r="D258" s="23" t="s">
        <v>415</v>
      </c>
      <c r="E258" s="23" t="s">
        <v>373</v>
      </c>
      <c r="F258" s="141" t="s">
        <v>416</v>
      </c>
      <c r="G258" s="21">
        <v>1</v>
      </c>
      <c r="H258" s="191">
        <v>97.9</v>
      </c>
      <c r="I258" s="84">
        <v>93.44</v>
      </c>
      <c r="J258" s="23" t="s">
        <v>417</v>
      </c>
      <c r="K258" s="86">
        <v>2052046</v>
      </c>
      <c r="L258" s="86">
        <v>1</v>
      </c>
      <c r="M258" s="86"/>
      <c r="N258" s="87">
        <v>0</v>
      </c>
      <c r="O258" s="100">
        <v>276</v>
      </c>
      <c r="P258" s="143">
        <v>1</v>
      </c>
      <c r="Q258" s="102">
        <v>1</v>
      </c>
      <c r="R258" s="103">
        <v>109</v>
      </c>
      <c r="S258" s="144" t="s">
        <v>372</v>
      </c>
      <c r="T258" s="112" t="s">
        <v>306</v>
      </c>
      <c r="U258" s="106" t="s">
        <v>414</v>
      </c>
      <c r="V258" s="107">
        <v>23</v>
      </c>
      <c r="W258" s="108"/>
      <c r="X258" s="109" t="s">
        <v>70</v>
      </c>
      <c r="Y258" s="20">
        <f t="shared" si="9"/>
        <v>1</v>
      </c>
      <c r="AA258" s="98">
        <f t="shared" si="10"/>
        <v>4.460000000000008</v>
      </c>
      <c r="AB258" s="98">
        <f t="shared" si="11"/>
        <v>11.099999999999994</v>
      </c>
    </row>
    <row r="259" spans="1:28" ht="22.35" customHeight="1" thickBot="1" x14ac:dyDescent="0.3">
      <c r="A259" s="80"/>
      <c r="B259" s="80">
        <v>5900020025678</v>
      </c>
      <c r="C259" s="81">
        <v>16</v>
      </c>
      <c r="D259" s="23" t="s">
        <v>418</v>
      </c>
      <c r="E259" s="23" t="s">
        <v>419</v>
      </c>
      <c r="F259" s="141" t="s">
        <v>420</v>
      </c>
      <c r="G259" s="21" t="s">
        <v>89</v>
      </c>
      <c r="H259" s="191">
        <v>8.1999999999999993</v>
      </c>
      <c r="I259" s="84">
        <v>7.8</v>
      </c>
      <c r="J259" s="23" t="s">
        <v>421</v>
      </c>
      <c r="K259" s="86">
        <v>2051063</v>
      </c>
      <c r="L259" s="86">
        <v>1</v>
      </c>
      <c r="M259" s="86"/>
      <c r="N259" s="87">
        <v>0</v>
      </c>
      <c r="O259" s="100">
        <v>756</v>
      </c>
      <c r="P259" s="143">
        <v>1</v>
      </c>
      <c r="Q259" s="102">
        <v>1</v>
      </c>
      <c r="R259" s="103">
        <v>8.9</v>
      </c>
      <c r="S259" s="144" t="s">
        <v>372</v>
      </c>
      <c r="T259" s="112" t="s">
        <v>306</v>
      </c>
      <c r="U259" s="106" t="s">
        <v>414</v>
      </c>
      <c r="V259" s="107">
        <v>23</v>
      </c>
      <c r="W259" s="108"/>
      <c r="X259" s="109" t="s">
        <v>199</v>
      </c>
      <c r="Y259" s="20">
        <f t="shared" si="9"/>
        <v>1</v>
      </c>
      <c r="AA259" s="98">
        <f t="shared" si="10"/>
        <v>0.39999999999999947</v>
      </c>
      <c r="AB259" s="98">
        <f t="shared" si="11"/>
        <v>0.70000000000000107</v>
      </c>
    </row>
    <row r="260" spans="1:28" ht="22.35" customHeight="1" thickBot="1" x14ac:dyDescent="0.3">
      <c r="A260" s="80"/>
      <c r="B260" s="80"/>
      <c r="F260" s="141"/>
      <c r="H260" s="191"/>
      <c r="I260" s="84"/>
      <c r="K260" s="86"/>
      <c r="L260" s="86"/>
      <c r="M260" s="86"/>
      <c r="O260" s="100"/>
      <c r="P260" s="143"/>
      <c r="Q260" s="102"/>
      <c r="R260" s="103"/>
      <c r="S260" s="144" t="s">
        <v>372</v>
      </c>
      <c r="T260" s="112" t="s">
        <v>306</v>
      </c>
      <c r="U260" s="106" t="s">
        <v>422</v>
      </c>
      <c r="V260" s="107">
        <v>23</v>
      </c>
      <c r="W260" s="108"/>
      <c r="X260" s="109"/>
      <c r="Y260" s="20">
        <f t="shared" si="9"/>
        <v>0</v>
      </c>
      <c r="AA260" s="98">
        <f t="shared" si="10"/>
        <v>0</v>
      </c>
      <c r="AB260" s="98">
        <f t="shared" si="11"/>
        <v>0</v>
      </c>
    </row>
    <row r="261" spans="1:28" ht="22.35" customHeight="1" thickBot="1" x14ac:dyDescent="0.3">
      <c r="A261" s="209"/>
      <c r="B261" s="209"/>
      <c r="C261" s="210"/>
      <c r="D261" s="211"/>
      <c r="E261" s="211"/>
      <c r="F261" s="236"/>
      <c r="G261" s="213"/>
      <c r="H261" s="191"/>
      <c r="I261" s="238"/>
      <c r="J261" s="211"/>
      <c r="K261" s="215"/>
      <c r="L261" s="215"/>
      <c r="M261" s="215"/>
      <c r="N261" s="216"/>
      <c r="O261" s="239"/>
      <c r="P261" s="240"/>
      <c r="Q261" s="154"/>
      <c r="R261" s="241"/>
      <c r="S261" s="242" t="s">
        <v>372</v>
      </c>
      <c r="T261" s="243" t="s">
        <v>306</v>
      </c>
      <c r="U261" s="244" t="s">
        <v>422</v>
      </c>
      <c r="V261" s="233">
        <v>23</v>
      </c>
      <c r="W261" s="108"/>
      <c r="X261" s="109"/>
      <c r="Y261" s="20">
        <f t="shared" si="9"/>
        <v>0</v>
      </c>
      <c r="AA261" s="98">
        <f t="shared" si="10"/>
        <v>0</v>
      </c>
      <c r="AB261" s="98">
        <f t="shared" si="11"/>
        <v>0</v>
      </c>
    </row>
    <row r="262" spans="1:28" ht="22.35" customHeight="1" thickBot="1" x14ac:dyDescent="0.3">
      <c r="A262" s="209"/>
      <c r="B262" s="209">
        <v>8445291841093</v>
      </c>
      <c r="C262" s="279">
        <v>14</v>
      </c>
      <c r="D262" s="280" t="s">
        <v>423</v>
      </c>
      <c r="E262" s="280" t="s">
        <v>424</v>
      </c>
      <c r="F262" s="281" t="s">
        <v>425</v>
      </c>
      <c r="G262" s="282">
        <v>4</v>
      </c>
      <c r="H262" s="237">
        <v>84.9</v>
      </c>
      <c r="I262" s="282">
        <v>82.28</v>
      </c>
      <c r="J262" s="280" t="s">
        <v>421</v>
      </c>
      <c r="K262" s="283">
        <v>1052052</v>
      </c>
      <c r="L262" s="283">
        <v>4</v>
      </c>
      <c r="M262" s="283"/>
      <c r="N262" s="284">
        <v>0</v>
      </c>
      <c r="O262" s="217">
        <v>120</v>
      </c>
      <c r="P262" s="218">
        <v>1</v>
      </c>
      <c r="Q262" s="218">
        <v>1</v>
      </c>
      <c r="R262" s="219">
        <v>94.9</v>
      </c>
      <c r="S262" s="250" t="s">
        <v>426</v>
      </c>
      <c r="T262" s="221" t="str">
        <f>INDEX([1]data!$B$1:$B$100,MATCH('04.02 - 10.02'!S262,[0]!exclusive01,))</f>
        <v>DUCANH</v>
      </c>
      <c r="U262" s="244" t="s">
        <v>364</v>
      </c>
      <c r="V262" s="245">
        <v>23</v>
      </c>
      <c r="W262" s="108"/>
      <c r="X262" s="109" t="s">
        <v>119</v>
      </c>
      <c r="Y262" s="20">
        <f t="shared" si="9"/>
        <v>1</v>
      </c>
      <c r="AA262" s="98">
        <f t="shared" si="10"/>
        <v>2.6200000000000045</v>
      </c>
      <c r="AB262" s="98">
        <f t="shared" si="11"/>
        <v>10</v>
      </c>
    </row>
    <row r="263" spans="1:28" ht="22.35" customHeight="1" thickBot="1" x14ac:dyDescent="0.3">
      <c r="A263" s="80"/>
      <c r="B263" s="80">
        <v>8593893007437</v>
      </c>
      <c r="C263" s="128">
        <v>16</v>
      </c>
      <c r="D263" s="129" t="s">
        <v>427</v>
      </c>
      <c r="E263" s="129" t="s">
        <v>428</v>
      </c>
      <c r="F263" s="234" t="s">
        <v>429</v>
      </c>
      <c r="G263" s="132" t="s">
        <v>89</v>
      </c>
      <c r="H263" s="191">
        <v>8.1999999999999993</v>
      </c>
      <c r="I263" s="132">
        <v>7.8</v>
      </c>
      <c r="J263" s="129" t="s">
        <v>421</v>
      </c>
      <c r="K263" s="133">
        <v>2050138</v>
      </c>
      <c r="L263" s="133">
        <v>4</v>
      </c>
      <c r="M263" s="133"/>
      <c r="N263" s="134">
        <v>0</v>
      </c>
      <c r="O263" s="235">
        <v>2905</v>
      </c>
      <c r="P263" s="206">
        <v>1</v>
      </c>
      <c r="Q263" s="206">
        <v>1</v>
      </c>
      <c r="R263" s="207">
        <v>8.9</v>
      </c>
      <c r="S263" s="226" t="s">
        <v>430</v>
      </c>
      <c r="T263" s="94" t="str">
        <f>INDEX([1]data!$B$1:$B$100,MATCH('04.02 - 10.02'!S263,[0]!exclusive01,))</f>
        <v>DUCANH</v>
      </c>
      <c r="U263" s="106" t="s">
        <v>373</v>
      </c>
      <c r="V263" s="107">
        <v>24</v>
      </c>
      <c r="W263" s="108"/>
      <c r="X263" s="109" t="s">
        <v>45</v>
      </c>
      <c r="Y263" s="20">
        <f t="shared" ref="Y263:Y326" si="12">COUNTIF(K:K,K263)</f>
        <v>1</v>
      </c>
      <c r="AA263" s="98">
        <f t="shared" si="10"/>
        <v>0.39999999999999947</v>
      </c>
      <c r="AB263" s="98">
        <f t="shared" si="11"/>
        <v>0.70000000000000107</v>
      </c>
    </row>
    <row r="264" spans="1:28" ht="22.35" customHeight="1" thickBot="1" x14ac:dyDescent="0.3">
      <c r="A264" s="80" t="s">
        <v>255</v>
      </c>
      <c r="B264" s="80" t="s">
        <v>431</v>
      </c>
      <c r="C264" s="81">
        <v>12</v>
      </c>
      <c r="D264" s="23" t="s">
        <v>432</v>
      </c>
      <c r="E264" s="23" t="s">
        <v>433</v>
      </c>
      <c r="F264" s="82" t="s">
        <v>434</v>
      </c>
      <c r="G264" s="21" t="s">
        <v>108</v>
      </c>
      <c r="H264" s="191">
        <v>34.9</v>
      </c>
      <c r="I264" s="21">
        <v>33.220320000000001</v>
      </c>
      <c r="J264" s="23" t="s">
        <v>435</v>
      </c>
      <c r="K264" s="86" t="s">
        <v>436</v>
      </c>
      <c r="L264" s="86">
        <v>4</v>
      </c>
      <c r="M264" s="86"/>
      <c r="N264" s="87">
        <v>1</v>
      </c>
      <c r="O264" s="223"/>
      <c r="P264" s="224"/>
      <c r="Q264" s="224"/>
      <c r="R264" s="225" t="s">
        <v>334</v>
      </c>
      <c r="S264" s="226" t="s">
        <v>437</v>
      </c>
      <c r="T264" s="94" t="str">
        <f>INDEX([1]data!$B$1:$B$100,MATCH('04.02 - 10.02'!S264,[0]!exclusive01,))</f>
        <v>VU</v>
      </c>
      <c r="U264" s="106" t="s">
        <v>373</v>
      </c>
      <c r="V264" s="107">
        <v>24</v>
      </c>
      <c r="W264" s="108"/>
      <c r="X264" s="109" t="s">
        <v>55</v>
      </c>
      <c r="Y264" s="20">
        <f t="shared" si="12"/>
        <v>1</v>
      </c>
      <c r="AA264" s="98">
        <f t="shared" ref="AA264:AA327" si="13">H264-I264</f>
        <v>1.6796799999999976</v>
      </c>
      <c r="AB264" s="98" t="e">
        <f t="shared" ref="AB264:AB327" si="14">R264-H264</f>
        <v>#VALUE!</v>
      </c>
    </row>
    <row r="265" spans="1:28" ht="22.35" customHeight="1" thickBot="1" x14ac:dyDescent="0.3">
      <c r="A265" s="80" t="s">
        <v>255</v>
      </c>
      <c r="B265" s="80" t="s">
        <v>438</v>
      </c>
      <c r="C265" s="81">
        <v>24</v>
      </c>
      <c r="D265" s="23" t="s">
        <v>439</v>
      </c>
      <c r="E265" s="23" t="s">
        <v>440</v>
      </c>
      <c r="F265" s="82" t="s">
        <v>399</v>
      </c>
      <c r="G265" s="21" t="s">
        <v>108</v>
      </c>
      <c r="H265" s="277">
        <v>10.9</v>
      </c>
      <c r="I265" s="21">
        <v>10.51008</v>
      </c>
      <c r="J265" s="23" t="s">
        <v>393</v>
      </c>
      <c r="K265" s="86" t="s">
        <v>441</v>
      </c>
      <c r="L265" s="86">
        <v>4</v>
      </c>
      <c r="M265" s="86"/>
      <c r="N265" s="87">
        <v>1</v>
      </c>
      <c r="O265" s="223"/>
      <c r="P265" s="224"/>
      <c r="Q265" s="224"/>
      <c r="R265" s="225">
        <v>11.9</v>
      </c>
      <c r="S265" s="226" t="s">
        <v>442</v>
      </c>
      <c r="T265" s="94" t="str">
        <f>INDEX([1]data!$B$1:$B$100,MATCH('04.02 - 10.02'!S265,[0]!exclusive01,))</f>
        <v>VU</v>
      </c>
      <c r="U265" s="106" t="s">
        <v>373</v>
      </c>
      <c r="V265" s="107">
        <v>24</v>
      </c>
      <c r="W265" s="108">
        <v>1</v>
      </c>
      <c r="X265" s="109" t="s">
        <v>117</v>
      </c>
      <c r="Y265" s="20">
        <f t="shared" si="12"/>
        <v>1</v>
      </c>
      <c r="AA265" s="98">
        <f t="shared" si="13"/>
        <v>0.38992000000000004</v>
      </c>
      <c r="AB265" s="98">
        <f t="shared" si="14"/>
        <v>1</v>
      </c>
    </row>
    <row r="266" spans="1:28" ht="22.35" customHeight="1" thickBot="1" x14ac:dyDescent="0.3">
      <c r="A266" s="209" t="s">
        <v>328</v>
      </c>
      <c r="B266" s="209" t="s">
        <v>443</v>
      </c>
      <c r="C266" s="193">
        <v>24</v>
      </c>
      <c r="D266" s="194" t="s">
        <v>444</v>
      </c>
      <c r="E266" s="194" t="s">
        <v>445</v>
      </c>
      <c r="F266" s="227" t="s">
        <v>399</v>
      </c>
      <c r="G266" s="196" t="s">
        <v>108</v>
      </c>
      <c r="H266" s="191">
        <v>23.9</v>
      </c>
      <c r="I266" s="196">
        <v>23.860479999999999</v>
      </c>
      <c r="J266" s="194" t="s">
        <v>446</v>
      </c>
      <c r="K266" s="198" t="s">
        <v>447</v>
      </c>
      <c r="L266" s="198">
        <v>4</v>
      </c>
      <c r="M266" s="198"/>
      <c r="N266" s="228">
        <v>1</v>
      </c>
      <c r="O266" s="229"/>
      <c r="P266" s="230"/>
      <c r="Q266" s="230"/>
      <c r="R266" s="231" t="s">
        <v>448</v>
      </c>
      <c r="S266" s="232" t="s">
        <v>446</v>
      </c>
      <c r="T266" s="125" t="str">
        <f>INDEX([1]data!$B$1:$B$100,MATCH('04.02 - 10.02'!S266,[0]!exclusive01,))</f>
        <v>VU</v>
      </c>
      <c r="U266" s="125" t="s">
        <v>414</v>
      </c>
      <c r="V266" s="233">
        <v>24</v>
      </c>
      <c r="W266" s="108"/>
      <c r="X266" s="109" t="s">
        <v>119</v>
      </c>
      <c r="Y266" s="20">
        <f t="shared" si="12"/>
        <v>1</v>
      </c>
      <c r="AA266" s="98">
        <f t="shared" si="13"/>
        <v>3.9519999999999555E-2</v>
      </c>
      <c r="AB266" s="98" t="e">
        <f t="shared" si="14"/>
        <v>#VALUE!</v>
      </c>
    </row>
    <row r="267" spans="1:28" ht="22.35" customHeight="1" thickBot="1" x14ac:dyDescent="0.3">
      <c r="A267" s="127" t="s">
        <v>449</v>
      </c>
      <c r="B267" s="127" t="s">
        <v>450</v>
      </c>
      <c r="C267" s="128">
        <v>6</v>
      </c>
      <c r="D267" s="129" t="s">
        <v>451</v>
      </c>
      <c r="E267" s="129" t="s">
        <v>452</v>
      </c>
      <c r="F267" s="130" t="s">
        <v>274</v>
      </c>
      <c r="G267" s="132">
        <v>4</v>
      </c>
      <c r="H267" s="191">
        <v>47.9</v>
      </c>
      <c r="I267" s="158">
        <v>45.859520000000003</v>
      </c>
      <c r="J267" s="129" t="s">
        <v>453</v>
      </c>
      <c r="K267" s="159" t="s">
        <v>454</v>
      </c>
      <c r="L267" s="133">
        <v>2</v>
      </c>
      <c r="M267" s="133"/>
      <c r="N267" s="134"/>
      <c r="O267" s="135"/>
      <c r="P267" s="136">
        <v>1</v>
      </c>
      <c r="Q267" s="137">
        <v>1</v>
      </c>
      <c r="R267" s="138" t="s">
        <v>455</v>
      </c>
      <c r="S267" s="144" t="s">
        <v>456</v>
      </c>
      <c r="T267" s="112" t="s">
        <v>296</v>
      </c>
      <c r="U267" s="106" t="s">
        <v>457</v>
      </c>
      <c r="V267" s="107">
        <v>25</v>
      </c>
      <c r="W267" s="96"/>
      <c r="X267" s="97" t="s">
        <v>45</v>
      </c>
      <c r="Y267" s="20">
        <f t="shared" si="12"/>
        <v>1</v>
      </c>
      <c r="AA267" s="98">
        <f t="shared" si="13"/>
        <v>2.0404799999999952</v>
      </c>
      <c r="AB267" s="98" t="e">
        <f t="shared" si="14"/>
        <v>#VALUE!</v>
      </c>
    </row>
    <row r="268" spans="1:28" ht="22.35" customHeight="1" thickBot="1" x14ac:dyDescent="0.3">
      <c r="A268" s="80" t="s">
        <v>328</v>
      </c>
      <c r="B268" s="80" t="s">
        <v>458</v>
      </c>
      <c r="C268" s="81">
        <v>16</v>
      </c>
      <c r="D268" s="23" t="s">
        <v>459</v>
      </c>
      <c r="E268" s="23" t="s">
        <v>460</v>
      </c>
      <c r="F268" s="141" t="s">
        <v>461</v>
      </c>
      <c r="G268" s="21">
        <v>1</v>
      </c>
      <c r="H268" s="191">
        <v>27.5</v>
      </c>
      <c r="I268" s="84">
        <v>26.87</v>
      </c>
      <c r="J268" s="23" t="s">
        <v>462</v>
      </c>
      <c r="K268" s="86" t="s">
        <v>463</v>
      </c>
      <c r="L268" s="86">
        <v>1</v>
      </c>
      <c r="M268" s="86"/>
      <c r="O268" s="100"/>
      <c r="P268" s="143">
        <v>1</v>
      </c>
      <c r="Q268" s="102">
        <v>1</v>
      </c>
      <c r="R268" s="103" t="s">
        <v>464</v>
      </c>
      <c r="S268" s="144" t="s">
        <v>456</v>
      </c>
      <c r="T268" s="112" t="s">
        <v>296</v>
      </c>
      <c r="U268" s="106" t="s">
        <v>457</v>
      </c>
      <c r="V268" s="107">
        <v>25</v>
      </c>
      <c r="W268" s="108"/>
      <c r="X268" s="109" t="s">
        <v>50</v>
      </c>
      <c r="Y268" s="20">
        <f t="shared" si="12"/>
        <v>1</v>
      </c>
      <c r="AA268" s="98">
        <f>H268-I268</f>
        <v>0.62999999999999901</v>
      </c>
      <c r="AB268" s="98" t="e">
        <f>R268-H268</f>
        <v>#VALUE!</v>
      </c>
    </row>
    <row r="269" spans="1:28" ht="22.35" customHeight="1" thickBot="1" x14ac:dyDescent="0.3">
      <c r="A269" s="80" t="s">
        <v>465</v>
      </c>
      <c r="B269" s="80" t="s">
        <v>466</v>
      </c>
      <c r="C269" s="81">
        <v>26</v>
      </c>
      <c r="D269" s="23" t="s">
        <v>467</v>
      </c>
      <c r="E269" s="23" t="s">
        <v>468</v>
      </c>
      <c r="F269" s="141" t="s">
        <v>469</v>
      </c>
      <c r="G269" s="21">
        <v>2</v>
      </c>
      <c r="H269" s="191">
        <v>19.899999999999999</v>
      </c>
      <c r="I269" s="84">
        <v>19.510400000000001</v>
      </c>
      <c r="J269" s="23" t="s">
        <v>470</v>
      </c>
      <c r="K269" s="86" t="s">
        <v>471</v>
      </c>
      <c r="L269" s="86">
        <v>1</v>
      </c>
      <c r="M269" s="86"/>
      <c r="O269" s="100"/>
      <c r="P269" s="143">
        <v>1</v>
      </c>
      <c r="Q269" s="102">
        <v>1</v>
      </c>
      <c r="R269" s="103" t="s">
        <v>380</v>
      </c>
      <c r="S269" s="144" t="s">
        <v>456</v>
      </c>
      <c r="T269" s="112" t="s">
        <v>296</v>
      </c>
      <c r="U269" s="106" t="s">
        <v>457</v>
      </c>
      <c r="V269" s="107">
        <v>25</v>
      </c>
      <c r="W269" s="108">
        <v>1</v>
      </c>
      <c r="X269" s="109" t="s">
        <v>55</v>
      </c>
      <c r="Y269" s="20">
        <f t="shared" si="12"/>
        <v>1</v>
      </c>
      <c r="AA269" s="98">
        <f t="shared" si="13"/>
        <v>0.38959999999999795</v>
      </c>
      <c r="AB269" s="98" t="e">
        <f t="shared" si="14"/>
        <v>#VALUE!</v>
      </c>
    </row>
    <row r="270" spans="1:28" ht="22.35" customHeight="1" thickBot="1" x14ac:dyDescent="0.3">
      <c r="A270" s="80" t="s">
        <v>449</v>
      </c>
      <c r="B270" s="80" t="s">
        <v>472</v>
      </c>
      <c r="C270" s="81">
        <v>10</v>
      </c>
      <c r="D270" s="23" t="s">
        <v>473</v>
      </c>
      <c r="E270" s="23" t="s">
        <v>474</v>
      </c>
      <c r="F270" s="141" t="s">
        <v>68</v>
      </c>
      <c r="G270" s="21" t="s">
        <v>108</v>
      </c>
      <c r="H270" s="191">
        <v>29.9</v>
      </c>
      <c r="I270" s="84">
        <v>29.229759999999999</v>
      </c>
      <c r="J270" s="23" t="s">
        <v>475</v>
      </c>
      <c r="K270" s="86" t="s">
        <v>476</v>
      </c>
      <c r="L270" s="86">
        <v>1</v>
      </c>
      <c r="M270" s="86"/>
      <c r="O270" s="100"/>
      <c r="P270" s="143">
        <v>1</v>
      </c>
      <c r="Q270" s="102">
        <v>1</v>
      </c>
      <c r="R270" s="103" t="s">
        <v>477</v>
      </c>
      <c r="S270" s="144" t="s">
        <v>456</v>
      </c>
      <c r="T270" s="112" t="s">
        <v>296</v>
      </c>
      <c r="U270" s="106" t="s">
        <v>457</v>
      </c>
      <c r="V270" s="107">
        <v>25</v>
      </c>
      <c r="W270" s="108"/>
      <c r="X270" s="109" t="s">
        <v>59</v>
      </c>
      <c r="Y270" s="20">
        <f t="shared" si="12"/>
        <v>1</v>
      </c>
      <c r="AA270" s="98">
        <f t="shared" si="13"/>
        <v>0.67023999999999972</v>
      </c>
      <c r="AB270" s="98" t="e">
        <f t="shared" si="14"/>
        <v>#VALUE!</v>
      </c>
    </row>
    <row r="271" spans="1:28" ht="22.35" customHeight="1" thickBot="1" x14ac:dyDescent="0.3">
      <c r="A271" s="80" t="s">
        <v>478</v>
      </c>
      <c r="B271" s="80" t="s">
        <v>479</v>
      </c>
      <c r="C271" s="81">
        <v>12</v>
      </c>
      <c r="D271" s="23" t="s">
        <v>480</v>
      </c>
      <c r="E271" s="23" t="s">
        <v>481</v>
      </c>
      <c r="F271" s="141" t="s">
        <v>268</v>
      </c>
      <c r="G271" s="21">
        <v>1</v>
      </c>
      <c r="H271" s="191">
        <v>35.9</v>
      </c>
      <c r="I271" s="84">
        <v>34.83</v>
      </c>
      <c r="J271" s="23" t="s">
        <v>482</v>
      </c>
      <c r="K271" s="86" t="s">
        <v>483</v>
      </c>
      <c r="L271" s="86">
        <v>1</v>
      </c>
      <c r="M271" s="86"/>
      <c r="O271" s="100"/>
      <c r="P271" s="143">
        <v>1</v>
      </c>
      <c r="Q271" s="102">
        <v>1</v>
      </c>
      <c r="R271" s="103" t="s">
        <v>111</v>
      </c>
      <c r="S271" s="144" t="s">
        <v>456</v>
      </c>
      <c r="T271" s="112" t="s">
        <v>296</v>
      </c>
      <c r="U271" s="106" t="s">
        <v>457</v>
      </c>
      <c r="V271" s="107">
        <v>25</v>
      </c>
      <c r="W271" s="108"/>
      <c r="X271" s="109" t="s">
        <v>66</v>
      </c>
      <c r="Y271" s="20">
        <f t="shared" si="12"/>
        <v>1</v>
      </c>
      <c r="AA271" s="98">
        <f t="shared" si="13"/>
        <v>1.0700000000000003</v>
      </c>
      <c r="AB271" s="98" t="e">
        <f t="shared" si="14"/>
        <v>#VALUE!</v>
      </c>
    </row>
    <row r="272" spans="1:28" ht="22.35" customHeight="1" thickBot="1" x14ac:dyDescent="0.3">
      <c r="A272" s="80" t="s">
        <v>465</v>
      </c>
      <c r="B272" s="80" t="s">
        <v>484</v>
      </c>
      <c r="C272" s="81">
        <v>10</v>
      </c>
      <c r="D272" s="23" t="s">
        <v>485</v>
      </c>
      <c r="E272" s="23" t="s">
        <v>486</v>
      </c>
      <c r="F272" s="141" t="s">
        <v>248</v>
      </c>
      <c r="G272" s="21">
        <v>2</v>
      </c>
      <c r="H272" s="191">
        <v>39.9</v>
      </c>
      <c r="I272" s="84">
        <v>39.690559999999998</v>
      </c>
      <c r="J272" s="23" t="s">
        <v>487</v>
      </c>
      <c r="K272" s="86" t="s">
        <v>488</v>
      </c>
      <c r="L272" s="86">
        <v>1</v>
      </c>
      <c r="M272" s="86"/>
      <c r="O272" s="100"/>
      <c r="P272" s="143">
        <v>1</v>
      </c>
      <c r="Q272" s="102">
        <v>1</v>
      </c>
      <c r="R272" s="103" t="s">
        <v>489</v>
      </c>
      <c r="S272" s="144" t="s">
        <v>456</v>
      </c>
      <c r="T272" s="112" t="s">
        <v>296</v>
      </c>
      <c r="U272" s="106" t="s">
        <v>457</v>
      </c>
      <c r="V272" s="107">
        <v>25</v>
      </c>
      <c r="W272" s="108"/>
      <c r="X272" s="109" t="s">
        <v>179</v>
      </c>
      <c r="Y272" s="20">
        <f t="shared" si="12"/>
        <v>1</v>
      </c>
      <c r="AA272" s="98">
        <f t="shared" si="13"/>
        <v>0.20944000000000074</v>
      </c>
      <c r="AB272" s="98" t="e">
        <f t="shared" si="14"/>
        <v>#VALUE!</v>
      </c>
    </row>
    <row r="273" spans="1:35" ht="22.35" customHeight="1" thickBot="1" x14ac:dyDescent="0.3">
      <c r="A273" s="80" t="s">
        <v>217</v>
      </c>
      <c r="B273" s="80" t="s">
        <v>490</v>
      </c>
      <c r="C273" s="81">
        <v>8</v>
      </c>
      <c r="D273" s="23" t="s">
        <v>491</v>
      </c>
      <c r="E273" s="23" t="s">
        <v>492</v>
      </c>
      <c r="F273" s="141" t="s">
        <v>175</v>
      </c>
      <c r="G273" s="21">
        <v>2</v>
      </c>
      <c r="H273" s="191">
        <v>20.9</v>
      </c>
      <c r="I273" s="84">
        <v>20.3</v>
      </c>
      <c r="J273" s="23" t="s">
        <v>493</v>
      </c>
      <c r="K273" s="86" t="s">
        <v>494</v>
      </c>
      <c r="L273" s="86">
        <v>1</v>
      </c>
      <c r="M273" s="86"/>
      <c r="O273" s="100"/>
      <c r="P273" s="143">
        <v>1</v>
      </c>
      <c r="Q273" s="102">
        <v>1</v>
      </c>
      <c r="R273" s="103" t="s">
        <v>380</v>
      </c>
      <c r="S273" s="144" t="s">
        <v>456</v>
      </c>
      <c r="T273" s="112" t="s">
        <v>296</v>
      </c>
      <c r="U273" s="106" t="s">
        <v>495</v>
      </c>
      <c r="V273" s="107">
        <v>25</v>
      </c>
      <c r="W273" s="108"/>
      <c r="X273" s="109" t="s">
        <v>70</v>
      </c>
      <c r="Y273" s="20">
        <f t="shared" si="12"/>
        <v>1</v>
      </c>
      <c r="AA273" s="98">
        <f>H273-I273</f>
        <v>0.59999999999999787</v>
      </c>
      <c r="AB273" s="98" t="e">
        <f>R273-H273</f>
        <v>#VALUE!</v>
      </c>
    </row>
    <row r="274" spans="1:35" ht="22.35" customHeight="1" x14ac:dyDescent="0.25">
      <c r="A274" s="285" t="s">
        <v>449</v>
      </c>
      <c r="B274" s="285" t="s">
        <v>496</v>
      </c>
      <c r="C274" s="286">
        <v>12</v>
      </c>
      <c r="D274" s="287" t="s">
        <v>451</v>
      </c>
      <c r="E274" s="287" t="s">
        <v>497</v>
      </c>
      <c r="F274" s="288" t="s">
        <v>268</v>
      </c>
      <c r="G274" s="289">
        <v>3</v>
      </c>
      <c r="H274" s="290">
        <v>23.9</v>
      </c>
      <c r="I274" s="289">
        <v>23.459520000000001</v>
      </c>
      <c r="J274" s="287" t="s">
        <v>453</v>
      </c>
      <c r="K274" s="291" t="s">
        <v>498</v>
      </c>
      <c r="L274" s="291">
        <v>4</v>
      </c>
      <c r="M274" s="291"/>
      <c r="N274" s="292">
        <v>1</v>
      </c>
      <c r="O274" s="293"/>
      <c r="P274" s="294"/>
      <c r="Q274" s="294"/>
      <c r="R274" s="295" t="s">
        <v>499</v>
      </c>
      <c r="S274" s="296" t="s">
        <v>500</v>
      </c>
      <c r="T274" s="94" t="str">
        <f>INDEX([1]data!$B$1:$B$100,MATCH('04.02 - 10.02'!S274,[0]!exclusive01,))</f>
        <v>VU</v>
      </c>
      <c r="U274" s="297" t="s">
        <v>457</v>
      </c>
      <c r="V274" s="298">
        <v>25</v>
      </c>
      <c r="W274" s="108"/>
      <c r="X274" s="109" t="s">
        <v>117</v>
      </c>
      <c r="Y274" s="20">
        <f t="shared" si="12"/>
        <v>1</v>
      </c>
      <c r="AA274" s="98">
        <f t="shared" si="13"/>
        <v>0.44047999999999732</v>
      </c>
      <c r="AB274" s="98" t="e">
        <f t="shared" si="14"/>
        <v>#VALUE!</v>
      </c>
    </row>
    <row r="275" spans="1:35" ht="22.35" customHeight="1" thickBot="1" x14ac:dyDescent="0.3">
      <c r="A275" s="209" t="s">
        <v>328</v>
      </c>
      <c r="B275" s="209" t="s">
        <v>501</v>
      </c>
      <c r="C275" s="210">
        <v>16</v>
      </c>
      <c r="D275" s="211" t="s">
        <v>502</v>
      </c>
      <c r="E275" s="211" t="s">
        <v>503</v>
      </c>
      <c r="F275" s="212" t="s">
        <v>65</v>
      </c>
      <c r="G275" s="213" t="s">
        <v>89</v>
      </c>
      <c r="H275" s="214">
        <v>20</v>
      </c>
      <c r="I275" s="213">
        <v>18.920159999999999</v>
      </c>
      <c r="J275" s="211" t="s">
        <v>400</v>
      </c>
      <c r="K275" s="215" t="s">
        <v>504</v>
      </c>
      <c r="L275" s="215">
        <v>4</v>
      </c>
      <c r="M275" s="215"/>
      <c r="N275" s="216">
        <v>1</v>
      </c>
      <c r="O275" s="247"/>
      <c r="P275" s="248"/>
      <c r="Q275" s="248"/>
      <c r="R275" s="249" t="s">
        <v>380</v>
      </c>
      <c r="S275" s="250" t="s">
        <v>400</v>
      </c>
      <c r="T275" s="125" t="str">
        <f>INDEX([1]data!$B$1:$B$100,MATCH('04.02 - 10.02'!S275,[0]!exclusive01,))</f>
        <v>VU</v>
      </c>
      <c r="U275" s="244" t="s">
        <v>457</v>
      </c>
      <c r="V275" s="245">
        <v>25</v>
      </c>
      <c r="W275" s="108"/>
      <c r="X275" s="109" t="s">
        <v>119</v>
      </c>
      <c r="Y275" s="20">
        <f t="shared" si="12"/>
        <v>1</v>
      </c>
      <c r="AA275" s="98">
        <f t="shared" si="13"/>
        <v>1.0798400000000008</v>
      </c>
      <c r="AB275" s="98" t="e">
        <f t="shared" si="14"/>
        <v>#VALUE!</v>
      </c>
    </row>
    <row r="276" spans="1:35" ht="22.35" customHeight="1" thickBot="1" x14ac:dyDescent="0.3">
      <c r="A276" s="127"/>
      <c r="B276" s="127"/>
      <c r="C276" s="128"/>
      <c r="D276" s="129"/>
      <c r="E276" s="129"/>
      <c r="F276" s="130"/>
      <c r="G276" s="132"/>
      <c r="H276" s="99"/>
      <c r="I276" s="158"/>
      <c r="J276" s="129"/>
      <c r="K276" s="159"/>
      <c r="L276" s="133"/>
      <c r="M276" s="133"/>
      <c r="N276" s="134"/>
      <c r="O276" s="135"/>
      <c r="P276" s="136"/>
      <c r="Q276" s="137"/>
      <c r="R276" s="138"/>
      <c r="S276" s="144" t="s">
        <v>138</v>
      </c>
      <c r="T276" s="112" t="s">
        <v>306</v>
      </c>
      <c r="U276" s="106"/>
      <c r="V276" s="107">
        <v>26</v>
      </c>
      <c r="W276" s="96"/>
      <c r="X276" s="97"/>
      <c r="Y276" s="20">
        <f t="shared" si="12"/>
        <v>0</v>
      </c>
      <c r="AA276" s="98">
        <f t="shared" si="13"/>
        <v>0</v>
      </c>
      <c r="AB276" s="98">
        <f t="shared" si="14"/>
        <v>0</v>
      </c>
      <c r="AC276" s="110"/>
      <c r="AD276" s="77"/>
      <c r="AE276" s="77"/>
      <c r="AF276" s="75"/>
      <c r="AG276" s="75"/>
      <c r="AH276" s="75"/>
      <c r="AI276" s="75"/>
    </row>
    <row r="277" spans="1:35" ht="22.35" customHeight="1" thickBot="1" x14ac:dyDescent="0.3">
      <c r="A277" s="80"/>
      <c r="B277" s="80"/>
      <c r="F277" s="141"/>
      <c r="H277" s="99"/>
      <c r="I277" s="84"/>
      <c r="K277" s="86"/>
      <c r="L277" s="86"/>
      <c r="M277" s="86"/>
      <c r="O277" s="100"/>
      <c r="P277" s="143"/>
      <c r="Q277" s="102"/>
      <c r="R277" s="103"/>
      <c r="S277" s="144" t="s">
        <v>138</v>
      </c>
      <c r="T277" s="112" t="s">
        <v>306</v>
      </c>
      <c r="U277" s="106"/>
      <c r="V277" s="107">
        <v>26</v>
      </c>
      <c r="W277" s="108"/>
      <c r="X277" s="109"/>
      <c r="Y277" s="20">
        <f t="shared" si="12"/>
        <v>0</v>
      </c>
      <c r="AA277" s="98">
        <f t="shared" si="13"/>
        <v>0</v>
      </c>
      <c r="AB277" s="98">
        <f t="shared" si="14"/>
        <v>0</v>
      </c>
      <c r="AC277" s="110"/>
      <c r="AD277" s="77"/>
      <c r="AE277" s="77"/>
      <c r="AF277" s="75"/>
      <c r="AG277" s="75"/>
      <c r="AH277" s="75"/>
      <c r="AI277" s="75"/>
    </row>
    <row r="278" spans="1:35" ht="22.35" customHeight="1" thickBot="1" x14ac:dyDescent="0.3">
      <c r="A278" s="80"/>
      <c r="B278" s="80"/>
      <c r="F278" s="141"/>
      <c r="H278" s="99"/>
      <c r="I278" s="84"/>
      <c r="K278" s="86"/>
      <c r="L278" s="86"/>
      <c r="M278" s="86"/>
      <c r="O278" s="100"/>
      <c r="P278" s="143"/>
      <c r="Q278" s="90"/>
      <c r="R278" s="91"/>
      <c r="S278" s="144" t="s">
        <v>138</v>
      </c>
      <c r="T278" s="112" t="s">
        <v>306</v>
      </c>
      <c r="U278" s="106"/>
      <c r="V278" s="107">
        <v>26</v>
      </c>
      <c r="W278" s="108"/>
      <c r="X278" s="109"/>
      <c r="Y278" s="20">
        <f t="shared" si="12"/>
        <v>0</v>
      </c>
      <c r="AA278" s="98">
        <f t="shared" si="13"/>
        <v>0</v>
      </c>
      <c r="AB278" s="98">
        <f t="shared" si="14"/>
        <v>0</v>
      </c>
      <c r="AC278" s="110"/>
      <c r="AD278" s="77"/>
      <c r="AE278" s="77"/>
      <c r="AF278" s="75"/>
      <c r="AG278" s="75"/>
      <c r="AH278" s="75"/>
      <c r="AI278" s="75"/>
    </row>
    <row r="279" spans="1:35" ht="22.35" customHeight="1" thickBot="1" x14ac:dyDescent="0.3">
      <c r="A279" s="80"/>
      <c r="B279" s="80"/>
      <c r="F279" s="141"/>
      <c r="H279" s="99"/>
      <c r="I279" s="84"/>
      <c r="K279" s="86"/>
      <c r="L279" s="86"/>
      <c r="M279" s="86"/>
      <c r="O279" s="100"/>
      <c r="P279" s="143"/>
      <c r="Q279" s="90"/>
      <c r="R279" s="91"/>
      <c r="S279" s="144" t="s">
        <v>138</v>
      </c>
      <c r="T279" s="112" t="s">
        <v>306</v>
      </c>
      <c r="U279" s="106"/>
      <c r="V279" s="107">
        <v>26</v>
      </c>
      <c r="W279" s="108"/>
      <c r="X279" s="109"/>
      <c r="Y279" s="20">
        <f t="shared" si="12"/>
        <v>0</v>
      </c>
      <c r="AA279" s="98">
        <f t="shared" si="13"/>
        <v>0</v>
      </c>
      <c r="AB279" s="98">
        <f t="shared" si="14"/>
        <v>0</v>
      </c>
      <c r="AC279" s="110"/>
      <c r="AD279" s="77"/>
      <c r="AE279" s="77"/>
      <c r="AF279" s="75"/>
      <c r="AG279" s="75"/>
      <c r="AH279" s="75"/>
      <c r="AI279" s="75"/>
    </row>
    <row r="280" spans="1:35" ht="22.35" customHeight="1" thickBot="1" x14ac:dyDescent="0.3">
      <c r="A280" s="80"/>
      <c r="B280" s="80"/>
      <c r="F280" s="141"/>
      <c r="H280" s="99"/>
      <c r="I280" s="84"/>
      <c r="K280" s="86"/>
      <c r="L280" s="86"/>
      <c r="M280" s="86"/>
      <c r="O280" s="100"/>
      <c r="P280" s="143"/>
      <c r="Q280" s="90"/>
      <c r="R280" s="91"/>
      <c r="S280" s="144" t="s">
        <v>138</v>
      </c>
      <c r="T280" s="112" t="s">
        <v>306</v>
      </c>
      <c r="U280" s="106"/>
      <c r="V280" s="107">
        <v>26</v>
      </c>
      <c r="W280" s="108"/>
      <c r="X280" s="109"/>
      <c r="Y280" s="20">
        <f t="shared" si="12"/>
        <v>0</v>
      </c>
      <c r="AA280" s="98">
        <f t="shared" si="13"/>
        <v>0</v>
      </c>
      <c r="AB280" s="98">
        <f t="shared" si="14"/>
        <v>0</v>
      </c>
      <c r="AC280" s="110"/>
      <c r="AD280" s="77"/>
      <c r="AE280" s="77"/>
      <c r="AF280" s="75"/>
      <c r="AG280" s="75"/>
      <c r="AH280" s="75"/>
      <c r="AI280" s="75"/>
    </row>
    <row r="281" spans="1:35" ht="22.35" customHeight="1" thickBot="1" x14ac:dyDescent="0.3">
      <c r="A281" s="80"/>
      <c r="B281" s="80"/>
      <c r="F281" s="141"/>
      <c r="H281" s="99"/>
      <c r="I281" s="84"/>
      <c r="K281" s="86"/>
      <c r="L281" s="86"/>
      <c r="M281" s="86"/>
      <c r="O281" s="100"/>
      <c r="P281" s="143"/>
      <c r="Q281" s="90"/>
      <c r="R281" s="91"/>
      <c r="S281" s="144" t="s">
        <v>138</v>
      </c>
      <c r="T281" s="112" t="s">
        <v>306</v>
      </c>
      <c r="U281" s="106"/>
      <c r="V281" s="107">
        <v>26</v>
      </c>
      <c r="W281" s="108"/>
      <c r="X281" s="109"/>
      <c r="Y281" s="20">
        <f t="shared" si="12"/>
        <v>0</v>
      </c>
      <c r="AA281" s="98">
        <f t="shared" si="13"/>
        <v>0</v>
      </c>
      <c r="AB281" s="98">
        <f t="shared" si="14"/>
        <v>0</v>
      </c>
      <c r="AC281" s="110"/>
      <c r="AD281" s="77"/>
      <c r="AE281" s="77"/>
      <c r="AF281" s="75"/>
      <c r="AG281" s="75"/>
      <c r="AH281" s="75"/>
      <c r="AI281" s="75"/>
    </row>
    <row r="282" spans="1:35" ht="22.35" customHeight="1" thickBot="1" x14ac:dyDescent="0.3">
      <c r="A282" s="80"/>
      <c r="B282" s="80"/>
      <c r="F282" s="141"/>
      <c r="H282" s="99"/>
      <c r="I282" s="84"/>
      <c r="K282" s="86"/>
      <c r="L282" s="86"/>
      <c r="M282" s="86"/>
      <c r="O282" s="100"/>
      <c r="P282" s="143"/>
      <c r="Q282" s="90"/>
      <c r="R282" s="91"/>
      <c r="S282" s="144" t="s">
        <v>138</v>
      </c>
      <c r="T282" s="112" t="s">
        <v>306</v>
      </c>
      <c r="U282" s="106"/>
      <c r="V282" s="107">
        <v>26</v>
      </c>
      <c r="W282" s="108"/>
      <c r="X282" s="109"/>
      <c r="Y282" s="20">
        <f t="shared" si="12"/>
        <v>0</v>
      </c>
      <c r="AA282" s="98">
        <f t="shared" si="13"/>
        <v>0</v>
      </c>
      <c r="AB282" s="98">
        <f t="shared" si="14"/>
        <v>0</v>
      </c>
      <c r="AC282" s="110"/>
      <c r="AD282" s="77"/>
      <c r="AE282" s="77"/>
      <c r="AF282" s="75"/>
      <c r="AG282" s="75"/>
      <c r="AH282" s="75"/>
      <c r="AI282" s="75"/>
    </row>
    <row r="283" spans="1:35" ht="22.35" customHeight="1" thickBot="1" x14ac:dyDescent="0.3">
      <c r="A283" s="80"/>
      <c r="B283" s="80"/>
      <c r="D283" s="23" t="s">
        <v>390</v>
      </c>
      <c r="F283" s="141"/>
      <c r="H283" s="99"/>
      <c r="I283" s="84"/>
      <c r="K283" s="86"/>
      <c r="L283" s="86"/>
      <c r="M283" s="86"/>
      <c r="O283" s="100"/>
      <c r="P283" s="143"/>
      <c r="Q283" s="90"/>
      <c r="R283" s="91"/>
      <c r="S283" s="144" t="s">
        <v>138</v>
      </c>
      <c r="T283" s="112" t="s">
        <v>306</v>
      </c>
      <c r="U283" s="106"/>
      <c r="V283" s="107">
        <v>26</v>
      </c>
      <c r="W283" s="108"/>
      <c r="X283" s="109"/>
      <c r="Y283" s="20">
        <f t="shared" si="12"/>
        <v>0</v>
      </c>
      <c r="AA283" s="98">
        <f t="shared" si="13"/>
        <v>0</v>
      </c>
      <c r="AB283" s="98">
        <f t="shared" si="14"/>
        <v>0</v>
      </c>
      <c r="AC283" s="110"/>
      <c r="AD283" s="77"/>
      <c r="AE283" s="77"/>
      <c r="AF283" s="75"/>
      <c r="AG283" s="75"/>
      <c r="AH283" s="75"/>
      <c r="AI283" s="75"/>
    </row>
    <row r="284" spans="1:35" ht="22.35" customHeight="1" thickBot="1" x14ac:dyDescent="0.3">
      <c r="A284" s="80"/>
      <c r="B284" s="80"/>
      <c r="F284" s="141"/>
      <c r="H284" s="99"/>
      <c r="I284" s="84"/>
      <c r="K284" s="86"/>
      <c r="L284" s="86"/>
      <c r="M284" s="86"/>
      <c r="O284" s="100"/>
      <c r="P284" s="143"/>
      <c r="Q284" s="90"/>
      <c r="R284" s="91"/>
      <c r="S284" s="144" t="s">
        <v>138</v>
      </c>
      <c r="T284" s="112" t="s">
        <v>306</v>
      </c>
      <c r="U284" s="106"/>
      <c r="V284" s="107">
        <v>26</v>
      </c>
      <c r="W284" s="108"/>
      <c r="X284" s="109"/>
      <c r="Y284" s="20">
        <f t="shared" si="12"/>
        <v>0</v>
      </c>
      <c r="AA284" s="98">
        <f t="shared" si="13"/>
        <v>0</v>
      </c>
      <c r="AB284" s="98">
        <f t="shared" si="14"/>
        <v>0</v>
      </c>
      <c r="AC284" s="110"/>
      <c r="AD284" s="77"/>
      <c r="AE284" s="77"/>
      <c r="AF284" s="75"/>
      <c r="AG284" s="75"/>
      <c r="AH284" s="75"/>
      <c r="AI284" s="75"/>
    </row>
    <row r="285" spans="1:35" ht="22.35" customHeight="1" thickBot="1" x14ac:dyDescent="0.3">
      <c r="A285" s="80"/>
      <c r="B285" s="80"/>
      <c r="F285" s="141"/>
      <c r="H285" s="99"/>
      <c r="I285" s="84"/>
      <c r="K285" s="86"/>
      <c r="L285" s="86"/>
      <c r="M285" s="86"/>
      <c r="O285" s="100"/>
      <c r="P285" s="143"/>
      <c r="Q285" s="90"/>
      <c r="R285" s="91"/>
      <c r="S285" s="144" t="s">
        <v>138</v>
      </c>
      <c r="T285" s="112" t="s">
        <v>306</v>
      </c>
      <c r="U285" s="106"/>
      <c r="V285" s="107">
        <v>26</v>
      </c>
      <c r="W285" s="108"/>
      <c r="X285" s="109"/>
      <c r="Y285" s="20">
        <f t="shared" si="12"/>
        <v>0</v>
      </c>
      <c r="AA285" s="98">
        <f t="shared" si="13"/>
        <v>0</v>
      </c>
      <c r="AB285" s="98">
        <f t="shared" si="14"/>
        <v>0</v>
      </c>
      <c r="AC285" s="110"/>
      <c r="AD285" s="77"/>
      <c r="AE285" s="77"/>
      <c r="AF285" s="75"/>
      <c r="AG285" s="75"/>
      <c r="AH285" s="75"/>
      <c r="AI285" s="75"/>
    </row>
    <row r="286" spans="1:35" ht="22.35" customHeight="1" thickBot="1" x14ac:dyDescent="0.3">
      <c r="A286" s="80"/>
      <c r="B286" s="80"/>
      <c r="F286" s="141"/>
      <c r="H286" s="99"/>
      <c r="I286" s="84"/>
      <c r="K286" s="86"/>
      <c r="L286" s="86"/>
      <c r="M286" s="86"/>
      <c r="O286" s="100"/>
      <c r="P286" s="143"/>
      <c r="Q286" s="90"/>
      <c r="R286" s="91"/>
      <c r="S286" s="144" t="s">
        <v>138</v>
      </c>
      <c r="T286" s="112" t="s">
        <v>306</v>
      </c>
      <c r="U286" s="106"/>
      <c r="V286" s="107">
        <v>26</v>
      </c>
      <c r="W286" s="108"/>
      <c r="X286" s="109"/>
      <c r="Y286" s="20">
        <f t="shared" si="12"/>
        <v>0</v>
      </c>
      <c r="AA286" s="98">
        <f t="shared" si="13"/>
        <v>0</v>
      </c>
      <c r="AB286" s="98">
        <f t="shared" si="14"/>
        <v>0</v>
      </c>
      <c r="AC286" s="110"/>
      <c r="AD286" s="77"/>
      <c r="AE286" s="77"/>
      <c r="AF286" s="75"/>
      <c r="AG286" s="75"/>
      <c r="AH286" s="75"/>
      <c r="AI286" s="75"/>
    </row>
    <row r="287" spans="1:35" ht="22.35" customHeight="1" thickBot="1" x14ac:dyDescent="0.3">
      <c r="A287" s="80"/>
      <c r="B287" s="80"/>
      <c r="F287" s="141"/>
      <c r="H287" s="99"/>
      <c r="I287" s="84"/>
      <c r="K287" s="86"/>
      <c r="L287" s="86"/>
      <c r="M287" s="86"/>
      <c r="O287" s="100"/>
      <c r="P287" s="143"/>
      <c r="Q287" s="90"/>
      <c r="R287" s="91"/>
      <c r="S287" s="144" t="s">
        <v>138</v>
      </c>
      <c r="T287" s="112" t="s">
        <v>306</v>
      </c>
      <c r="U287" s="106"/>
      <c r="V287" s="107">
        <v>26</v>
      </c>
      <c r="W287" s="108"/>
      <c r="X287" s="109"/>
      <c r="Y287" s="20">
        <f t="shared" si="12"/>
        <v>0</v>
      </c>
      <c r="AA287" s="98">
        <f t="shared" si="13"/>
        <v>0</v>
      </c>
      <c r="AB287" s="98">
        <f t="shared" si="14"/>
        <v>0</v>
      </c>
      <c r="AC287" s="110"/>
      <c r="AD287" s="77"/>
      <c r="AE287" s="77"/>
      <c r="AF287" s="75"/>
      <c r="AG287" s="75"/>
      <c r="AH287" s="75"/>
      <c r="AI287" s="75"/>
    </row>
    <row r="288" spans="1:35" ht="22.35" customHeight="1" thickBot="1" x14ac:dyDescent="0.3">
      <c r="A288" s="80"/>
      <c r="B288" s="80"/>
      <c r="F288" s="141"/>
      <c r="H288" s="99"/>
      <c r="I288" s="84"/>
      <c r="K288" s="86"/>
      <c r="L288" s="86"/>
      <c r="M288" s="86"/>
      <c r="O288" s="100"/>
      <c r="P288" s="143"/>
      <c r="Q288" s="90"/>
      <c r="R288" s="91"/>
      <c r="S288" s="144" t="s">
        <v>138</v>
      </c>
      <c r="T288" s="112" t="s">
        <v>306</v>
      </c>
      <c r="U288" s="106"/>
      <c r="V288" s="107">
        <v>26</v>
      </c>
      <c r="W288" s="108"/>
      <c r="X288" s="109"/>
      <c r="Y288" s="20">
        <f t="shared" si="12"/>
        <v>0</v>
      </c>
      <c r="AA288" s="98">
        <f t="shared" si="13"/>
        <v>0</v>
      </c>
      <c r="AB288" s="98">
        <f t="shared" si="14"/>
        <v>0</v>
      </c>
      <c r="AC288" s="110"/>
      <c r="AD288" s="77"/>
      <c r="AE288" s="77"/>
      <c r="AF288" s="75"/>
      <c r="AG288" s="75"/>
      <c r="AH288" s="75"/>
      <c r="AI288" s="75"/>
    </row>
    <row r="289" spans="1:35" ht="22.35" customHeight="1" thickBot="1" x14ac:dyDescent="0.3">
      <c r="A289" s="80"/>
      <c r="B289" s="80"/>
      <c r="F289" s="141"/>
      <c r="H289" s="99"/>
      <c r="I289" s="84"/>
      <c r="K289" s="86"/>
      <c r="L289" s="86"/>
      <c r="M289" s="86"/>
      <c r="O289" s="100"/>
      <c r="P289" s="143"/>
      <c r="Q289" s="90"/>
      <c r="R289" s="91"/>
      <c r="S289" s="144" t="s">
        <v>138</v>
      </c>
      <c r="T289" s="112" t="s">
        <v>306</v>
      </c>
      <c r="U289" s="106"/>
      <c r="V289" s="107">
        <v>26</v>
      </c>
      <c r="W289" s="160"/>
      <c r="X289" s="161"/>
      <c r="Y289" s="20">
        <f t="shared" si="12"/>
        <v>0</v>
      </c>
      <c r="AA289" s="98">
        <f t="shared" si="13"/>
        <v>0</v>
      </c>
      <c r="AB289" s="98">
        <f t="shared" si="14"/>
        <v>0</v>
      </c>
      <c r="AC289" s="110"/>
      <c r="AD289" s="77"/>
      <c r="AE289" s="77"/>
      <c r="AF289" s="75"/>
      <c r="AG289" s="75"/>
      <c r="AH289" s="75"/>
      <c r="AI289" s="75"/>
    </row>
    <row r="290" spans="1:35" ht="22.35" customHeight="1" thickBot="1" x14ac:dyDescent="0.3">
      <c r="A290" s="80"/>
      <c r="B290" s="80"/>
      <c r="F290" s="141"/>
      <c r="H290" s="99"/>
      <c r="I290" s="84"/>
      <c r="K290" s="86"/>
      <c r="L290" s="86"/>
      <c r="M290" s="86"/>
      <c r="O290" s="100"/>
      <c r="P290" s="143"/>
      <c r="Q290" s="90"/>
      <c r="R290" s="91"/>
      <c r="S290" s="144" t="s">
        <v>138</v>
      </c>
      <c r="T290" s="112" t="s">
        <v>306</v>
      </c>
      <c r="U290" s="106"/>
      <c r="V290" s="107">
        <v>26</v>
      </c>
      <c r="W290" s="160"/>
      <c r="X290" s="161"/>
      <c r="Y290" s="20">
        <f t="shared" si="12"/>
        <v>0</v>
      </c>
      <c r="AA290" s="98">
        <f t="shared" si="13"/>
        <v>0</v>
      </c>
      <c r="AB290" s="98">
        <f t="shared" si="14"/>
        <v>0</v>
      </c>
      <c r="AC290" s="110"/>
      <c r="AD290" s="77"/>
      <c r="AE290" s="77"/>
      <c r="AF290" s="75"/>
      <c r="AG290" s="75"/>
      <c r="AH290" s="75"/>
      <c r="AI290" s="75"/>
    </row>
    <row r="291" spans="1:35" ht="22.35" customHeight="1" thickBot="1" x14ac:dyDescent="0.3">
      <c r="A291" s="252"/>
      <c r="B291" s="252"/>
      <c r="C291" s="253"/>
      <c r="D291" s="254"/>
      <c r="E291" s="254"/>
      <c r="F291" s="195"/>
      <c r="G291" s="196"/>
      <c r="H291" s="255"/>
      <c r="I291" s="256"/>
      <c r="J291" s="257"/>
      <c r="K291" s="258"/>
      <c r="L291" s="258"/>
      <c r="M291" s="258"/>
      <c r="N291" s="228"/>
      <c r="O291" s="200"/>
      <c r="P291" s="202"/>
      <c r="Q291" s="259"/>
      <c r="R291" s="260"/>
      <c r="S291" s="155" t="s">
        <v>138</v>
      </c>
      <c r="T291" s="124" t="s">
        <v>306</v>
      </c>
      <c r="U291" s="125"/>
      <c r="V291" s="126">
        <v>26</v>
      </c>
      <c r="W291" s="261"/>
      <c r="X291" s="262"/>
      <c r="Y291" s="20">
        <f t="shared" si="12"/>
        <v>0</v>
      </c>
      <c r="AA291" s="98">
        <f t="shared" si="13"/>
        <v>0</v>
      </c>
      <c r="AB291" s="98">
        <f t="shared" si="14"/>
        <v>0</v>
      </c>
      <c r="AC291" s="110"/>
      <c r="AD291" s="77"/>
      <c r="AE291" s="77"/>
      <c r="AF291" s="75"/>
      <c r="AG291" s="75"/>
      <c r="AH291" s="75"/>
      <c r="AI291" s="75"/>
    </row>
    <row r="292" spans="1:35" ht="22.35" customHeight="1" thickBot="1" x14ac:dyDescent="0.3">
      <c r="A292" s="175"/>
      <c r="B292" s="175"/>
      <c r="C292" s="176"/>
      <c r="D292" s="177" t="s">
        <v>505</v>
      </c>
      <c r="E292" s="178"/>
      <c r="F292" s="179"/>
      <c r="G292" s="180"/>
      <c r="H292" s="181"/>
      <c r="I292" s="180"/>
      <c r="J292" s="178"/>
      <c r="K292" s="182"/>
      <c r="L292" s="182"/>
      <c r="M292" s="182"/>
      <c r="N292" s="183"/>
      <c r="O292" s="184"/>
      <c r="P292" s="184"/>
      <c r="Q292" s="184"/>
      <c r="R292" s="185"/>
      <c r="S292" s="186"/>
      <c r="T292" s="187" t="s">
        <v>506</v>
      </c>
      <c r="U292" s="188"/>
      <c r="V292" s="189"/>
      <c r="W292" s="188"/>
      <c r="X292" s="190"/>
      <c r="Y292" s="20">
        <f t="shared" si="12"/>
        <v>0</v>
      </c>
      <c r="AA292" s="98">
        <f t="shared" si="13"/>
        <v>0</v>
      </c>
      <c r="AB292" s="98">
        <f t="shared" si="14"/>
        <v>0</v>
      </c>
    </row>
    <row r="293" spans="1:35" ht="22.35" customHeight="1" thickBot="1" x14ac:dyDescent="0.3">
      <c r="A293" s="127"/>
      <c r="B293" s="127"/>
      <c r="C293" s="128"/>
      <c r="D293" s="129"/>
      <c r="E293" s="129"/>
      <c r="F293" s="130"/>
      <c r="G293" s="132"/>
      <c r="H293" s="191"/>
      <c r="I293" s="158"/>
      <c r="J293" s="129"/>
      <c r="K293" s="159"/>
      <c r="L293" s="133"/>
      <c r="M293" s="133"/>
      <c r="N293" s="134"/>
      <c r="O293" s="135"/>
      <c r="P293" s="136"/>
      <c r="Q293" s="137"/>
      <c r="R293" s="138"/>
      <c r="S293" s="144" t="s">
        <v>507</v>
      </c>
      <c r="T293" s="112" t="s">
        <v>506</v>
      </c>
      <c r="U293" s="106" t="s">
        <v>508</v>
      </c>
      <c r="V293" s="107">
        <v>27</v>
      </c>
      <c r="W293" s="96"/>
      <c r="X293" s="97"/>
      <c r="Y293" s="20">
        <f t="shared" si="12"/>
        <v>0</v>
      </c>
      <c r="AA293" s="98">
        <f t="shared" si="13"/>
        <v>0</v>
      </c>
      <c r="AB293" s="98">
        <f t="shared" si="14"/>
        <v>0</v>
      </c>
    </row>
    <row r="294" spans="1:35" ht="22.35" customHeight="1" thickBot="1" x14ac:dyDescent="0.3">
      <c r="A294" s="80"/>
      <c r="B294" s="80"/>
      <c r="F294" s="141"/>
      <c r="H294" s="191"/>
      <c r="I294" s="84"/>
      <c r="K294" s="86"/>
      <c r="L294" s="86"/>
      <c r="M294" s="86"/>
      <c r="O294" s="100"/>
      <c r="P294" s="143"/>
      <c r="Q294" s="102"/>
      <c r="R294" s="103"/>
      <c r="S294" s="144" t="s">
        <v>507</v>
      </c>
      <c r="T294" s="112" t="s">
        <v>506</v>
      </c>
      <c r="U294" s="106" t="s">
        <v>508</v>
      </c>
      <c r="V294" s="107">
        <v>27</v>
      </c>
      <c r="W294" s="108"/>
      <c r="X294" s="109"/>
      <c r="Y294" s="20">
        <f t="shared" si="12"/>
        <v>0</v>
      </c>
      <c r="AA294" s="98">
        <f t="shared" si="13"/>
        <v>0</v>
      </c>
      <c r="AB294" s="98">
        <f t="shared" si="14"/>
        <v>0</v>
      </c>
    </row>
    <row r="295" spans="1:35" ht="22.35" customHeight="1" thickBot="1" x14ac:dyDescent="0.3">
      <c r="A295" s="80"/>
      <c r="B295" s="80"/>
      <c r="F295" s="141"/>
      <c r="H295" s="191"/>
      <c r="I295" s="84"/>
      <c r="K295" s="86"/>
      <c r="L295" s="86"/>
      <c r="M295" s="86"/>
      <c r="O295" s="100"/>
      <c r="P295" s="143"/>
      <c r="Q295" s="102"/>
      <c r="R295" s="103"/>
      <c r="S295" s="144" t="s">
        <v>507</v>
      </c>
      <c r="T295" s="112" t="s">
        <v>506</v>
      </c>
      <c r="U295" s="106" t="s">
        <v>508</v>
      </c>
      <c r="V295" s="107">
        <v>27</v>
      </c>
      <c r="W295" s="108"/>
      <c r="X295" s="109"/>
      <c r="Y295" s="20">
        <f t="shared" si="12"/>
        <v>0</v>
      </c>
      <c r="AA295" s="98">
        <f t="shared" si="13"/>
        <v>0</v>
      </c>
      <c r="AB295" s="98">
        <f t="shared" si="14"/>
        <v>0</v>
      </c>
    </row>
    <row r="296" spans="1:35" ht="22.35" customHeight="1" thickBot="1" x14ac:dyDescent="0.3">
      <c r="A296" s="80"/>
      <c r="B296" s="80"/>
      <c r="F296" s="141"/>
      <c r="H296" s="191"/>
      <c r="I296" s="84"/>
      <c r="K296" s="86"/>
      <c r="L296" s="86"/>
      <c r="M296" s="86"/>
      <c r="O296" s="100"/>
      <c r="P296" s="143"/>
      <c r="Q296" s="102"/>
      <c r="R296" s="103"/>
      <c r="S296" s="144" t="s">
        <v>507</v>
      </c>
      <c r="T296" s="112" t="s">
        <v>506</v>
      </c>
      <c r="U296" s="106" t="s">
        <v>508</v>
      </c>
      <c r="V296" s="107">
        <v>27</v>
      </c>
      <c r="W296" s="108"/>
      <c r="X296" s="109"/>
      <c r="Y296" s="20">
        <f t="shared" si="12"/>
        <v>0</v>
      </c>
      <c r="AA296" s="98">
        <f t="shared" si="13"/>
        <v>0</v>
      </c>
      <c r="AB296" s="98">
        <f t="shared" si="14"/>
        <v>0</v>
      </c>
    </row>
    <row r="297" spans="1:35" ht="22.35" customHeight="1" thickBot="1" x14ac:dyDescent="0.3">
      <c r="A297" s="80"/>
      <c r="B297" s="80"/>
      <c r="F297" s="141"/>
      <c r="H297" s="191"/>
      <c r="I297" s="84"/>
      <c r="K297" s="86"/>
      <c r="L297" s="86"/>
      <c r="M297" s="86"/>
      <c r="O297" s="100"/>
      <c r="P297" s="143"/>
      <c r="Q297" s="102"/>
      <c r="R297" s="103"/>
      <c r="S297" s="144" t="s">
        <v>507</v>
      </c>
      <c r="T297" s="112" t="s">
        <v>506</v>
      </c>
      <c r="U297" s="106" t="s">
        <v>508</v>
      </c>
      <c r="V297" s="107">
        <v>27</v>
      </c>
      <c r="W297" s="108"/>
      <c r="X297" s="109"/>
      <c r="Y297" s="20">
        <f t="shared" si="12"/>
        <v>0</v>
      </c>
      <c r="AA297" s="98">
        <f t="shared" si="13"/>
        <v>0</v>
      </c>
      <c r="AB297" s="98">
        <f t="shared" si="14"/>
        <v>0</v>
      </c>
    </row>
    <row r="298" spans="1:35" ht="22.35" customHeight="1" thickBot="1" x14ac:dyDescent="0.3">
      <c r="A298" s="80"/>
      <c r="B298" s="80"/>
      <c r="F298" s="141"/>
      <c r="H298" s="191"/>
      <c r="I298" s="84"/>
      <c r="K298" s="86"/>
      <c r="L298" s="86"/>
      <c r="M298" s="86"/>
      <c r="O298" s="100"/>
      <c r="P298" s="143"/>
      <c r="Q298" s="102"/>
      <c r="R298" s="103"/>
      <c r="S298" s="144" t="s">
        <v>507</v>
      </c>
      <c r="T298" s="112" t="s">
        <v>506</v>
      </c>
      <c r="U298" s="106" t="s">
        <v>508</v>
      </c>
      <c r="V298" s="107">
        <v>27</v>
      </c>
      <c r="W298" s="108"/>
      <c r="X298" s="109"/>
      <c r="Y298" s="20">
        <f t="shared" si="12"/>
        <v>0</v>
      </c>
      <c r="AA298" s="98">
        <f t="shared" si="13"/>
        <v>0</v>
      </c>
      <c r="AB298" s="98">
        <f t="shared" si="14"/>
        <v>0</v>
      </c>
    </row>
    <row r="299" spans="1:35" ht="22.35" customHeight="1" thickBot="1" x14ac:dyDescent="0.3">
      <c r="A299" s="80"/>
      <c r="B299" s="80"/>
      <c r="F299" s="141"/>
      <c r="H299" s="191"/>
      <c r="I299" s="84"/>
      <c r="K299" s="86"/>
      <c r="L299" s="86"/>
      <c r="M299" s="86"/>
      <c r="O299" s="100"/>
      <c r="P299" s="143"/>
      <c r="Q299" s="102"/>
      <c r="R299" s="103"/>
      <c r="S299" s="144" t="s">
        <v>507</v>
      </c>
      <c r="T299" s="112" t="s">
        <v>506</v>
      </c>
      <c r="U299" s="106" t="s">
        <v>509</v>
      </c>
      <c r="V299" s="107">
        <v>27</v>
      </c>
      <c r="W299" s="108"/>
      <c r="X299" s="109"/>
      <c r="Y299" s="20">
        <f t="shared" si="12"/>
        <v>0</v>
      </c>
      <c r="AA299" s="98">
        <f t="shared" si="13"/>
        <v>0</v>
      </c>
      <c r="AB299" s="98">
        <f t="shared" si="14"/>
        <v>0</v>
      </c>
    </row>
    <row r="300" spans="1:35" ht="22.35" customHeight="1" thickBot="1" x14ac:dyDescent="0.3">
      <c r="A300" s="80"/>
      <c r="B300" s="80"/>
      <c r="F300" s="141"/>
      <c r="H300" s="191"/>
      <c r="I300" s="84"/>
      <c r="K300" s="86"/>
      <c r="L300" s="86"/>
      <c r="M300" s="86"/>
      <c r="O300" s="100"/>
      <c r="P300" s="143"/>
      <c r="Q300" s="102"/>
      <c r="R300" s="103"/>
      <c r="S300" s="144" t="s">
        <v>507</v>
      </c>
      <c r="T300" s="112" t="s">
        <v>506</v>
      </c>
      <c r="U300" s="106" t="s">
        <v>509</v>
      </c>
      <c r="V300" s="107">
        <v>27</v>
      </c>
      <c r="W300" s="108"/>
      <c r="X300" s="109"/>
      <c r="Y300" s="20">
        <f t="shared" si="12"/>
        <v>0</v>
      </c>
      <c r="AA300" s="98">
        <f t="shared" si="13"/>
        <v>0</v>
      </c>
      <c r="AB300" s="98">
        <f t="shared" si="14"/>
        <v>0</v>
      </c>
    </row>
    <row r="301" spans="1:35" ht="22.35" customHeight="1" thickBot="1" x14ac:dyDescent="0.3">
      <c r="A301" s="80"/>
      <c r="B301" s="80"/>
      <c r="F301" s="141"/>
      <c r="H301" s="191"/>
      <c r="I301" s="84"/>
      <c r="K301" s="86"/>
      <c r="L301" s="86"/>
      <c r="M301" s="86"/>
      <c r="O301" s="100"/>
      <c r="P301" s="143"/>
      <c r="Q301" s="102"/>
      <c r="R301" s="103"/>
      <c r="S301" s="144" t="s">
        <v>507</v>
      </c>
      <c r="T301" s="112" t="s">
        <v>506</v>
      </c>
      <c r="U301" s="106" t="s">
        <v>509</v>
      </c>
      <c r="V301" s="107">
        <v>27</v>
      </c>
      <c r="W301" s="108"/>
      <c r="X301" s="109"/>
      <c r="Y301" s="20">
        <f t="shared" si="12"/>
        <v>0</v>
      </c>
      <c r="AA301" s="98">
        <f t="shared" si="13"/>
        <v>0</v>
      </c>
      <c r="AB301" s="98">
        <f t="shared" si="14"/>
        <v>0</v>
      </c>
    </row>
    <row r="302" spans="1:35" ht="22.35" customHeight="1" thickBot="1" x14ac:dyDescent="0.3">
      <c r="A302" s="80"/>
      <c r="B302" s="80"/>
      <c r="F302" s="141"/>
      <c r="H302" s="191"/>
      <c r="I302" s="84"/>
      <c r="K302" s="86"/>
      <c r="L302" s="86"/>
      <c r="M302" s="86"/>
      <c r="O302" s="100"/>
      <c r="P302" s="143"/>
      <c r="Q302" s="102"/>
      <c r="R302" s="103"/>
      <c r="S302" s="144" t="s">
        <v>507</v>
      </c>
      <c r="T302" s="112" t="s">
        <v>506</v>
      </c>
      <c r="U302" s="106" t="s">
        <v>509</v>
      </c>
      <c r="V302" s="107">
        <v>27</v>
      </c>
      <c r="W302" s="108"/>
      <c r="X302" s="109"/>
      <c r="Y302" s="20">
        <f t="shared" si="12"/>
        <v>0</v>
      </c>
      <c r="AA302" s="98">
        <f t="shared" si="13"/>
        <v>0</v>
      </c>
      <c r="AB302" s="98">
        <f t="shared" si="14"/>
        <v>0</v>
      </c>
    </row>
    <row r="303" spans="1:35" ht="22.35" customHeight="1" thickBot="1" x14ac:dyDescent="0.3">
      <c r="A303" s="80"/>
      <c r="B303" s="80"/>
      <c r="F303" s="141"/>
      <c r="H303" s="191"/>
      <c r="I303" s="84"/>
      <c r="K303" s="86"/>
      <c r="L303" s="86"/>
      <c r="M303" s="86"/>
      <c r="O303" s="100"/>
      <c r="P303" s="143"/>
      <c r="Q303" s="102"/>
      <c r="R303" s="103"/>
      <c r="S303" s="144" t="s">
        <v>507</v>
      </c>
      <c r="T303" s="112" t="s">
        <v>506</v>
      </c>
      <c r="U303" s="106" t="s">
        <v>509</v>
      </c>
      <c r="V303" s="107">
        <v>27</v>
      </c>
      <c r="W303" s="108"/>
      <c r="X303" s="109"/>
      <c r="Y303" s="20">
        <f t="shared" si="12"/>
        <v>0</v>
      </c>
      <c r="AA303" s="98">
        <f t="shared" si="13"/>
        <v>0</v>
      </c>
      <c r="AB303" s="98">
        <f t="shared" si="14"/>
        <v>0</v>
      </c>
    </row>
    <row r="304" spans="1:35" ht="22.35" customHeight="1" thickBot="1" x14ac:dyDescent="0.3">
      <c r="A304" s="209"/>
      <c r="B304" s="209">
        <v>40345116</v>
      </c>
      <c r="C304" s="193">
        <v>24</v>
      </c>
      <c r="D304" s="194" t="s">
        <v>510</v>
      </c>
      <c r="E304" s="194" t="s">
        <v>428</v>
      </c>
      <c r="F304" s="227" t="s">
        <v>511</v>
      </c>
      <c r="G304" s="196" t="s">
        <v>89</v>
      </c>
      <c r="H304" s="191">
        <v>11.5</v>
      </c>
      <c r="I304" s="196">
        <v>10.73</v>
      </c>
      <c r="J304" s="194" t="s">
        <v>421</v>
      </c>
      <c r="K304" s="198">
        <v>2011982</v>
      </c>
      <c r="L304" s="198">
        <v>4</v>
      </c>
      <c r="M304" s="198"/>
      <c r="N304" s="228">
        <v>0</v>
      </c>
      <c r="O304" s="229">
        <v>8616</v>
      </c>
      <c r="P304" s="230">
        <v>1</v>
      </c>
      <c r="Q304" s="230">
        <v>1</v>
      </c>
      <c r="R304" s="231">
        <v>11.5</v>
      </c>
      <c r="S304" s="220" t="s">
        <v>512</v>
      </c>
      <c r="T304" s="221" t="str">
        <f>INDEX([1]data!$B$1:$B$100,MATCH('04.02 - 10.02'!S304,[0]!exclusive01,))</f>
        <v>DUCANH</v>
      </c>
      <c r="U304" s="221" t="s">
        <v>508</v>
      </c>
      <c r="V304" s="222">
        <v>27</v>
      </c>
      <c r="W304" s="108"/>
      <c r="X304" s="109" t="s">
        <v>45</v>
      </c>
      <c r="Y304" s="20">
        <f>COUNTIF(K:K,K304)</f>
        <v>2</v>
      </c>
      <c r="AA304" s="98">
        <f>H304-I304</f>
        <v>0.76999999999999957</v>
      </c>
      <c r="AB304" s="98">
        <f>R304-H304</f>
        <v>0</v>
      </c>
    </row>
    <row r="305" spans="1:28" ht="22.35" customHeight="1" thickBot="1" x14ac:dyDescent="0.3">
      <c r="A305" s="209"/>
      <c r="B305" s="209">
        <v>40345116</v>
      </c>
      <c r="C305" s="193">
        <v>24</v>
      </c>
      <c r="D305" s="194" t="s">
        <v>510</v>
      </c>
      <c r="E305" s="194" t="s">
        <v>428</v>
      </c>
      <c r="F305" s="227" t="s">
        <v>511</v>
      </c>
      <c r="G305" s="196" t="s">
        <v>89</v>
      </c>
      <c r="H305" s="191">
        <v>11.5</v>
      </c>
      <c r="I305" s="196">
        <v>10.73</v>
      </c>
      <c r="J305" s="194" t="s">
        <v>421</v>
      </c>
      <c r="K305" s="198">
        <v>2011982</v>
      </c>
      <c r="L305" s="198">
        <v>4</v>
      </c>
      <c r="M305" s="198"/>
      <c r="N305" s="228">
        <v>0</v>
      </c>
      <c r="O305" s="229">
        <v>8616</v>
      </c>
      <c r="P305" s="230">
        <v>1</v>
      </c>
      <c r="Q305" s="230">
        <v>1</v>
      </c>
      <c r="R305" s="231">
        <v>11.5</v>
      </c>
      <c r="S305" s="220" t="s">
        <v>512</v>
      </c>
      <c r="T305" s="221" t="str">
        <f>INDEX([1]data!$B$1:$B$100,MATCH('04.02 - 10.02'!S305,[0]!exclusive01,))</f>
        <v>DUCANH</v>
      </c>
      <c r="U305" s="221" t="s">
        <v>508</v>
      </c>
      <c r="V305" s="222">
        <v>27</v>
      </c>
      <c r="W305" s="108"/>
      <c r="X305" s="109" t="s">
        <v>55</v>
      </c>
      <c r="Y305" s="20">
        <f t="shared" si="12"/>
        <v>2</v>
      </c>
      <c r="AA305" s="98">
        <f t="shared" si="13"/>
        <v>0.76999999999999957</v>
      </c>
      <c r="AB305" s="98">
        <f t="shared" si="14"/>
        <v>0</v>
      </c>
    </row>
    <row r="306" spans="1:28" ht="22.35" customHeight="1" thickBot="1" x14ac:dyDescent="0.3">
      <c r="A306" s="80"/>
      <c r="B306" s="80">
        <v>8445291034662</v>
      </c>
      <c r="C306" s="81">
        <v>30</v>
      </c>
      <c r="D306" s="23" t="s">
        <v>513</v>
      </c>
      <c r="E306" s="23" t="s">
        <v>514</v>
      </c>
      <c r="F306" s="82" t="s">
        <v>338</v>
      </c>
      <c r="G306" s="21" t="s">
        <v>89</v>
      </c>
      <c r="H306" s="191">
        <v>7.5</v>
      </c>
      <c r="I306" s="21">
        <v>7.26</v>
      </c>
      <c r="J306" s="23" t="s">
        <v>421</v>
      </c>
      <c r="K306" s="86">
        <v>2114183</v>
      </c>
      <c r="L306" s="86">
        <v>4</v>
      </c>
      <c r="M306" s="86"/>
      <c r="N306" s="87">
        <v>0</v>
      </c>
      <c r="O306" s="223">
        <v>3181</v>
      </c>
      <c r="P306" s="224">
        <v>1</v>
      </c>
      <c r="Q306" s="224">
        <v>1</v>
      </c>
      <c r="R306" s="225">
        <v>8.5</v>
      </c>
      <c r="S306" s="208" t="s">
        <v>515</v>
      </c>
      <c r="T306" s="94" t="str">
        <f>INDEX([1]data!$B$1:$B$100,MATCH('04.02 - 10.02'!S306,[0]!exclusive01,))</f>
        <v>DUCANH</v>
      </c>
      <c r="U306" s="94" t="s">
        <v>508</v>
      </c>
      <c r="V306" s="95">
        <v>28</v>
      </c>
      <c r="W306" s="108"/>
      <c r="X306" s="109" t="s">
        <v>45</v>
      </c>
      <c r="Y306" s="20">
        <f t="shared" si="12"/>
        <v>1</v>
      </c>
      <c r="AA306" s="98">
        <f t="shared" si="13"/>
        <v>0.24000000000000021</v>
      </c>
      <c r="AB306" s="98">
        <f t="shared" si="14"/>
        <v>1</v>
      </c>
    </row>
    <row r="307" spans="1:28" ht="22.35" customHeight="1" thickBot="1" x14ac:dyDescent="0.3">
      <c r="A307" s="80"/>
      <c r="B307" s="80">
        <v>4014400933055</v>
      </c>
      <c r="C307" s="81">
        <v>14</v>
      </c>
      <c r="D307" s="23" t="s">
        <v>516</v>
      </c>
      <c r="E307" s="23" t="s">
        <v>508</v>
      </c>
      <c r="F307" s="82" t="s">
        <v>517</v>
      </c>
      <c r="G307" s="21">
        <v>3</v>
      </c>
      <c r="H307" s="191">
        <v>88.9</v>
      </c>
      <c r="I307" s="21">
        <v>84.45</v>
      </c>
      <c r="J307" s="23" t="s">
        <v>518</v>
      </c>
      <c r="K307" s="86">
        <v>2112388</v>
      </c>
      <c r="L307" s="86">
        <v>4</v>
      </c>
      <c r="M307" s="86"/>
      <c r="N307" s="87">
        <v>0</v>
      </c>
      <c r="O307" s="223">
        <v>1080</v>
      </c>
      <c r="P307" s="224">
        <v>1</v>
      </c>
      <c r="Q307" s="224">
        <v>1</v>
      </c>
      <c r="R307" s="225">
        <v>86.9</v>
      </c>
      <c r="S307" s="226" t="s">
        <v>519</v>
      </c>
      <c r="T307" s="94" t="str">
        <f>INDEX([1]data!$B$1:$B$100,MATCH('04.02 - 10.02'!S307,[0]!exclusive01,))</f>
        <v>DUCANH</v>
      </c>
      <c r="U307" s="106" t="s">
        <v>508</v>
      </c>
      <c r="V307" s="107">
        <v>28</v>
      </c>
      <c r="W307" s="108"/>
      <c r="X307" s="109" t="s">
        <v>55</v>
      </c>
      <c r="Y307" s="20">
        <f t="shared" si="12"/>
        <v>1</v>
      </c>
      <c r="AA307" s="98">
        <f t="shared" si="13"/>
        <v>4.4500000000000028</v>
      </c>
      <c r="AB307" s="98">
        <f t="shared" si="14"/>
        <v>-2</v>
      </c>
    </row>
    <row r="308" spans="1:28" ht="22.35" customHeight="1" thickBot="1" x14ac:dyDescent="0.3">
      <c r="A308" s="80"/>
      <c r="B308" s="80">
        <v>9002859071461</v>
      </c>
      <c r="C308" s="81">
        <v>22</v>
      </c>
      <c r="D308" s="23" t="s">
        <v>520</v>
      </c>
      <c r="E308" s="23" t="s">
        <v>508</v>
      </c>
      <c r="F308" s="82" t="s">
        <v>86</v>
      </c>
      <c r="G308" s="21">
        <v>3</v>
      </c>
      <c r="H308" s="191">
        <v>40.9</v>
      </c>
      <c r="I308" s="21">
        <v>40.21</v>
      </c>
      <c r="J308" s="23" t="s">
        <v>521</v>
      </c>
      <c r="K308" s="86">
        <v>2012935</v>
      </c>
      <c r="L308" s="86">
        <v>4</v>
      </c>
      <c r="M308" s="86"/>
      <c r="N308" s="87">
        <v>0</v>
      </c>
      <c r="O308" s="223">
        <v>612</v>
      </c>
      <c r="P308" s="224">
        <v>1</v>
      </c>
      <c r="Q308" s="224">
        <v>1</v>
      </c>
      <c r="R308" s="225">
        <v>47.9</v>
      </c>
      <c r="S308" s="226" t="s">
        <v>522</v>
      </c>
      <c r="T308" s="94" t="str">
        <f>INDEX([1]data!$B$1:$B$100,MATCH('04.02 - 10.02'!S308,[0]!exclusive01,))</f>
        <v>DUCANH</v>
      </c>
      <c r="U308" s="106" t="s">
        <v>508</v>
      </c>
      <c r="V308" s="107">
        <v>28</v>
      </c>
      <c r="W308" s="108"/>
      <c r="X308" s="109" t="s">
        <v>117</v>
      </c>
      <c r="Y308" s="20">
        <f t="shared" si="12"/>
        <v>1</v>
      </c>
      <c r="AA308" s="98">
        <f t="shared" si="13"/>
        <v>0.68999999999999773</v>
      </c>
      <c r="AB308" s="98">
        <f t="shared" si="14"/>
        <v>7</v>
      </c>
    </row>
    <row r="309" spans="1:28" ht="22.35" customHeight="1" thickBot="1" x14ac:dyDescent="0.3">
      <c r="A309" s="209"/>
      <c r="B309" s="209">
        <v>7622210140463</v>
      </c>
      <c r="C309" s="193">
        <v>18</v>
      </c>
      <c r="D309" s="194" t="s">
        <v>523</v>
      </c>
      <c r="E309" s="194" t="s">
        <v>524</v>
      </c>
      <c r="F309" s="227" t="s">
        <v>525</v>
      </c>
      <c r="G309" s="196">
        <v>4</v>
      </c>
      <c r="H309" s="191">
        <v>72.900000000000006</v>
      </c>
      <c r="I309" s="196">
        <v>69.790000000000006</v>
      </c>
      <c r="J309" s="194" t="s">
        <v>526</v>
      </c>
      <c r="K309" s="198">
        <v>2012846</v>
      </c>
      <c r="L309" s="198">
        <v>4</v>
      </c>
      <c r="M309" s="198"/>
      <c r="N309" s="228">
        <v>0</v>
      </c>
      <c r="O309" s="229">
        <v>226</v>
      </c>
      <c r="P309" s="230">
        <v>1</v>
      </c>
      <c r="Q309" s="230">
        <v>1</v>
      </c>
      <c r="R309" s="231">
        <v>79.900000000000006</v>
      </c>
      <c r="S309" s="232" t="s">
        <v>526</v>
      </c>
      <c r="T309" s="125" t="str">
        <f>INDEX([1]data!$B$1:$B$100,MATCH('04.02 - 10.02'!S309,[0]!exclusive01,))</f>
        <v>DUCANH</v>
      </c>
      <c r="U309" s="125" t="s">
        <v>508</v>
      </c>
      <c r="V309" s="233">
        <v>28</v>
      </c>
      <c r="W309" s="108"/>
      <c r="X309" s="109" t="s">
        <v>119</v>
      </c>
      <c r="Y309" s="20">
        <f t="shared" si="12"/>
        <v>1</v>
      </c>
      <c r="AA309" s="98">
        <f t="shared" si="13"/>
        <v>3.1099999999999994</v>
      </c>
      <c r="AB309" s="98">
        <f t="shared" si="14"/>
        <v>7</v>
      </c>
    </row>
    <row r="310" spans="1:28" ht="22.35" customHeight="1" thickBot="1" x14ac:dyDescent="0.3">
      <c r="A310" s="80"/>
      <c r="B310" s="80"/>
      <c r="F310" s="141"/>
      <c r="H310" s="191"/>
      <c r="I310" s="84"/>
      <c r="K310" s="86"/>
      <c r="L310" s="86"/>
      <c r="M310" s="86"/>
      <c r="O310" s="88"/>
      <c r="P310" s="136"/>
      <c r="Q310" s="90"/>
      <c r="R310" s="91"/>
      <c r="S310" s="139" t="s">
        <v>527</v>
      </c>
      <c r="T310" s="140" t="s">
        <v>506</v>
      </c>
      <c r="U310" s="94"/>
      <c r="V310" s="95">
        <v>29</v>
      </c>
      <c r="W310" s="108"/>
      <c r="X310" s="109"/>
      <c r="Y310" s="20">
        <f t="shared" si="12"/>
        <v>0</v>
      </c>
      <c r="AA310" s="98">
        <f t="shared" si="13"/>
        <v>0</v>
      </c>
      <c r="AB310" s="98">
        <f t="shared" si="14"/>
        <v>0</v>
      </c>
    </row>
    <row r="311" spans="1:28" ht="22.35" customHeight="1" thickBot="1" x14ac:dyDescent="0.3">
      <c r="A311" s="80"/>
      <c r="B311" s="80"/>
      <c r="F311" s="141"/>
      <c r="H311" s="191"/>
      <c r="I311" s="84"/>
      <c r="K311" s="86"/>
      <c r="L311" s="86"/>
      <c r="M311" s="86"/>
      <c r="O311" s="100"/>
      <c r="P311" s="143"/>
      <c r="Q311" s="102"/>
      <c r="R311" s="103"/>
      <c r="S311" s="144" t="s">
        <v>527</v>
      </c>
      <c r="T311" s="112" t="s">
        <v>506</v>
      </c>
      <c r="U311" s="106"/>
      <c r="V311" s="107">
        <v>29</v>
      </c>
      <c r="W311" s="108"/>
      <c r="X311" s="109"/>
      <c r="Y311" s="20">
        <f t="shared" si="12"/>
        <v>0</v>
      </c>
      <c r="AA311" s="98">
        <f t="shared" si="13"/>
        <v>0</v>
      </c>
      <c r="AB311" s="98">
        <f t="shared" si="14"/>
        <v>0</v>
      </c>
    </row>
    <row r="312" spans="1:28" ht="22.35" customHeight="1" thickBot="1" x14ac:dyDescent="0.3">
      <c r="A312" s="80"/>
      <c r="B312" s="80"/>
      <c r="F312" s="141"/>
      <c r="H312" s="191"/>
      <c r="I312" s="84"/>
      <c r="K312" s="86"/>
      <c r="L312" s="86"/>
      <c r="M312" s="86"/>
      <c r="O312" s="100"/>
      <c r="P312" s="143"/>
      <c r="Q312" s="102"/>
      <c r="R312" s="103"/>
      <c r="S312" s="144" t="s">
        <v>527</v>
      </c>
      <c r="T312" s="112" t="s">
        <v>506</v>
      </c>
      <c r="U312" s="106"/>
      <c r="V312" s="107">
        <v>29</v>
      </c>
      <c r="W312" s="108"/>
      <c r="X312" s="109"/>
      <c r="Y312" s="20">
        <f t="shared" si="12"/>
        <v>0</v>
      </c>
      <c r="AA312" s="98">
        <f t="shared" si="13"/>
        <v>0</v>
      </c>
      <c r="AB312" s="98">
        <f t="shared" si="14"/>
        <v>0</v>
      </c>
    </row>
    <row r="313" spans="1:28" ht="22.35" customHeight="1" thickBot="1" x14ac:dyDescent="0.3">
      <c r="A313" s="80"/>
      <c r="B313" s="80"/>
      <c r="F313" s="141"/>
      <c r="H313" s="191"/>
      <c r="I313" s="84"/>
      <c r="K313" s="86"/>
      <c r="L313" s="86"/>
      <c r="M313" s="86"/>
      <c r="O313" s="100"/>
      <c r="P313" s="143"/>
      <c r="Q313" s="102"/>
      <c r="R313" s="103"/>
      <c r="S313" s="144" t="s">
        <v>527</v>
      </c>
      <c r="T313" s="112" t="s">
        <v>506</v>
      </c>
      <c r="U313" s="106"/>
      <c r="V313" s="107">
        <v>29</v>
      </c>
      <c r="W313" s="108"/>
      <c r="X313" s="109"/>
      <c r="Y313" s="20">
        <f t="shared" si="12"/>
        <v>0</v>
      </c>
      <c r="AA313" s="98">
        <f t="shared" si="13"/>
        <v>0</v>
      </c>
      <c r="AB313" s="98">
        <f t="shared" si="14"/>
        <v>0</v>
      </c>
    </row>
    <row r="314" spans="1:28" ht="22.35" customHeight="1" thickBot="1" x14ac:dyDescent="0.3">
      <c r="A314" s="80"/>
      <c r="B314" s="80"/>
      <c r="F314" s="141"/>
      <c r="H314" s="191"/>
      <c r="I314" s="84"/>
      <c r="K314" s="86"/>
      <c r="L314" s="86"/>
      <c r="M314" s="86"/>
      <c r="O314" s="299"/>
      <c r="P314" s="300"/>
      <c r="Q314" s="301"/>
      <c r="R314" s="146"/>
      <c r="S314" s="302" t="s">
        <v>528</v>
      </c>
      <c r="T314" s="303" t="s">
        <v>506</v>
      </c>
      <c r="U314" s="304"/>
      <c r="V314" s="107">
        <v>29</v>
      </c>
      <c r="W314" s="108"/>
      <c r="X314" s="109"/>
      <c r="Y314" s="20">
        <f t="shared" si="12"/>
        <v>0</v>
      </c>
      <c r="AA314" s="98">
        <f t="shared" si="13"/>
        <v>0</v>
      </c>
      <c r="AB314" s="98">
        <f t="shared" si="14"/>
        <v>0</v>
      </c>
    </row>
    <row r="315" spans="1:28" ht="22.35" customHeight="1" thickBot="1" x14ac:dyDescent="0.3">
      <c r="A315" s="80"/>
      <c r="B315" s="80"/>
      <c r="F315" s="141"/>
      <c r="H315" s="191"/>
      <c r="I315" s="84"/>
      <c r="K315" s="86"/>
      <c r="L315" s="86"/>
      <c r="M315" s="86"/>
      <c r="O315" s="299"/>
      <c r="P315" s="300"/>
      <c r="Q315" s="301"/>
      <c r="R315" s="146"/>
      <c r="S315" s="302" t="s">
        <v>528</v>
      </c>
      <c r="T315" s="303" t="s">
        <v>506</v>
      </c>
      <c r="U315" s="304"/>
      <c r="V315" s="107">
        <v>29</v>
      </c>
      <c r="W315" s="108"/>
      <c r="X315" s="109"/>
      <c r="Y315" s="20">
        <f t="shared" si="12"/>
        <v>0</v>
      </c>
      <c r="AA315" s="98">
        <f t="shared" si="13"/>
        <v>0</v>
      </c>
      <c r="AB315" s="98">
        <f t="shared" si="14"/>
        <v>0</v>
      </c>
    </row>
    <row r="316" spans="1:28" ht="22.35" customHeight="1" thickBot="1" x14ac:dyDescent="0.3">
      <c r="A316" s="80"/>
      <c r="B316" s="80"/>
      <c r="F316" s="141"/>
      <c r="H316" s="191"/>
      <c r="I316" s="84"/>
      <c r="K316" s="86"/>
      <c r="L316" s="86"/>
      <c r="M316" s="86"/>
      <c r="O316" s="299"/>
      <c r="P316" s="300"/>
      <c r="Q316" s="301"/>
      <c r="R316" s="146"/>
      <c r="S316" s="302" t="s">
        <v>528</v>
      </c>
      <c r="T316" s="303" t="s">
        <v>506</v>
      </c>
      <c r="U316" s="304"/>
      <c r="V316" s="107">
        <v>29</v>
      </c>
      <c r="W316" s="108"/>
      <c r="X316" s="109"/>
      <c r="Y316" s="20">
        <f t="shared" si="12"/>
        <v>0</v>
      </c>
      <c r="AA316" s="98">
        <f t="shared" si="13"/>
        <v>0</v>
      </c>
      <c r="AB316" s="98">
        <f t="shared" si="14"/>
        <v>0</v>
      </c>
    </row>
    <row r="317" spans="1:28" ht="22.35" customHeight="1" thickBot="1" x14ac:dyDescent="0.3">
      <c r="A317" s="209"/>
      <c r="B317" s="209"/>
      <c r="C317" s="210"/>
      <c r="D317" s="211"/>
      <c r="E317" s="211"/>
      <c r="F317" s="236"/>
      <c r="G317" s="213"/>
      <c r="H317" s="191"/>
      <c r="I317" s="238"/>
      <c r="J317" s="211"/>
      <c r="K317" s="215"/>
      <c r="L317" s="215"/>
      <c r="M317" s="215"/>
      <c r="N317" s="216"/>
      <c r="O317" s="239"/>
      <c r="P317" s="240"/>
      <c r="Q317" s="154"/>
      <c r="R317" s="241"/>
      <c r="S317" s="242" t="s">
        <v>528</v>
      </c>
      <c r="T317" s="243" t="s">
        <v>506</v>
      </c>
      <c r="U317" s="244"/>
      <c r="V317" s="233">
        <v>29</v>
      </c>
      <c r="W317" s="108"/>
      <c r="X317" s="109"/>
      <c r="Y317" s="20">
        <f t="shared" si="12"/>
        <v>0</v>
      </c>
      <c r="AA317" s="98">
        <f t="shared" si="13"/>
        <v>0</v>
      </c>
      <c r="AB317" s="98">
        <f t="shared" si="14"/>
        <v>0</v>
      </c>
    </row>
    <row r="318" spans="1:28" ht="22.35" customHeight="1" thickBot="1" x14ac:dyDescent="0.3">
      <c r="A318" s="80"/>
      <c r="B318" s="80">
        <v>4014400928877</v>
      </c>
      <c r="C318" s="81">
        <v>18</v>
      </c>
      <c r="D318" s="23" t="s">
        <v>529</v>
      </c>
      <c r="E318" s="23" t="s">
        <v>428</v>
      </c>
      <c r="F318" s="82" t="s">
        <v>530</v>
      </c>
      <c r="G318" s="21">
        <v>2</v>
      </c>
      <c r="H318" s="191">
        <v>28.9</v>
      </c>
      <c r="I318" s="21">
        <v>27.33</v>
      </c>
      <c r="J318" s="23" t="s">
        <v>518</v>
      </c>
      <c r="K318" s="86">
        <v>2115274</v>
      </c>
      <c r="L318" s="86">
        <v>4</v>
      </c>
      <c r="M318" s="86"/>
      <c r="N318" s="87">
        <v>0</v>
      </c>
      <c r="O318" s="305">
        <v>556</v>
      </c>
      <c r="P318" s="121">
        <v>1</v>
      </c>
      <c r="Q318" s="121">
        <v>1</v>
      </c>
      <c r="R318" s="306">
        <v>31.9</v>
      </c>
      <c r="S318" s="307" t="s">
        <v>531</v>
      </c>
      <c r="T318" s="308" t="str">
        <f>INDEX([1]data!$B$1:$B$100,MATCH('04.02 - 10.02'!S318,[0]!exclusive01,))</f>
        <v>DUCANH</v>
      </c>
      <c r="U318" s="308" t="s">
        <v>509</v>
      </c>
      <c r="V318" s="309">
        <v>29</v>
      </c>
      <c r="W318" s="108"/>
      <c r="X318" s="109" t="s">
        <v>45</v>
      </c>
      <c r="Y318" s="20">
        <f t="shared" si="12"/>
        <v>1</v>
      </c>
      <c r="AA318" s="98">
        <f t="shared" si="13"/>
        <v>1.5700000000000003</v>
      </c>
      <c r="AB318" s="98">
        <f t="shared" si="14"/>
        <v>3</v>
      </c>
    </row>
    <row r="319" spans="1:28" ht="22.35" customHeight="1" thickBot="1" x14ac:dyDescent="0.3">
      <c r="A319" s="209"/>
      <c r="B319" s="209">
        <v>8720892211651</v>
      </c>
      <c r="C319" s="193">
        <v>12</v>
      </c>
      <c r="D319" s="194" t="s">
        <v>532</v>
      </c>
      <c r="E319" s="194" t="s">
        <v>533</v>
      </c>
      <c r="F319" s="227" t="s">
        <v>242</v>
      </c>
      <c r="G319" s="196">
        <v>4</v>
      </c>
      <c r="H319" s="191">
        <v>46.9</v>
      </c>
      <c r="I319" s="196">
        <v>44.69</v>
      </c>
      <c r="J319" s="194" t="s">
        <v>534</v>
      </c>
      <c r="K319" s="198">
        <v>2115571</v>
      </c>
      <c r="L319" s="198">
        <v>4</v>
      </c>
      <c r="M319" s="198"/>
      <c r="N319" s="228">
        <v>0</v>
      </c>
      <c r="O319" s="229">
        <v>143</v>
      </c>
      <c r="P319" s="230">
        <v>1</v>
      </c>
      <c r="Q319" s="230">
        <v>1</v>
      </c>
      <c r="R319" s="231">
        <v>52.9</v>
      </c>
      <c r="S319" s="232" t="s">
        <v>534</v>
      </c>
      <c r="T319" s="125" t="str">
        <f>INDEX([1]data!$B$1:$B$100,MATCH('04.02 - 10.02'!S319,[0]!exclusive01,))</f>
        <v>DUCANH</v>
      </c>
      <c r="U319" s="125" t="s">
        <v>419</v>
      </c>
      <c r="V319" s="156">
        <v>29</v>
      </c>
      <c r="W319" s="108"/>
      <c r="X319" s="109" t="s">
        <v>55</v>
      </c>
      <c r="Y319" s="20">
        <f t="shared" si="12"/>
        <v>1</v>
      </c>
      <c r="AA319" s="98">
        <f t="shared" si="13"/>
        <v>2.2100000000000009</v>
      </c>
      <c r="AB319" s="98">
        <f t="shared" si="14"/>
        <v>6</v>
      </c>
    </row>
    <row r="320" spans="1:28" ht="22.35" customHeight="1" thickBot="1" x14ac:dyDescent="0.3">
      <c r="A320" s="80"/>
      <c r="B320" s="80">
        <v>8410525200502</v>
      </c>
      <c r="C320" s="128">
        <v>6</v>
      </c>
      <c r="D320" s="129" t="s">
        <v>535</v>
      </c>
      <c r="E320" s="129" t="s">
        <v>536</v>
      </c>
      <c r="F320" s="234" t="s">
        <v>537</v>
      </c>
      <c r="G320" s="132" t="s">
        <v>538</v>
      </c>
      <c r="H320" s="277">
        <v>215</v>
      </c>
      <c r="I320" s="132">
        <v>204.96</v>
      </c>
      <c r="J320" s="129" t="s">
        <v>539</v>
      </c>
      <c r="K320" s="133">
        <v>2011616</v>
      </c>
      <c r="L320" s="133">
        <v>4</v>
      </c>
      <c r="M320" s="133"/>
      <c r="N320" s="134">
        <v>0</v>
      </c>
      <c r="O320" s="235">
        <v>52</v>
      </c>
      <c r="P320" s="206">
        <v>1</v>
      </c>
      <c r="Q320" s="206">
        <v>1</v>
      </c>
      <c r="R320" s="207">
        <v>235</v>
      </c>
      <c r="S320" s="208" t="s">
        <v>539</v>
      </c>
      <c r="T320" s="94" t="str">
        <f>INDEX([1]data!$B$1:$B$100,MATCH('04.02 - 10.02'!S320,[0]!exclusive01,))</f>
        <v>DUCANH</v>
      </c>
      <c r="U320" s="94" t="s">
        <v>509</v>
      </c>
      <c r="V320" s="95">
        <v>30</v>
      </c>
      <c r="W320" s="108">
        <v>1</v>
      </c>
      <c r="X320" s="109" t="s">
        <v>45</v>
      </c>
      <c r="Y320" s="20">
        <f t="shared" si="12"/>
        <v>1</v>
      </c>
      <c r="AA320" s="98">
        <f t="shared" si="13"/>
        <v>10.039999999999992</v>
      </c>
      <c r="AB320" s="98">
        <f t="shared" si="14"/>
        <v>20</v>
      </c>
    </row>
    <row r="321" spans="1:35" ht="22.35" customHeight="1" thickBot="1" x14ac:dyDescent="0.3">
      <c r="A321" s="80"/>
      <c r="B321" s="80">
        <v>8413209317503</v>
      </c>
      <c r="C321" s="81">
        <v>6</v>
      </c>
      <c r="D321" s="23" t="s">
        <v>540</v>
      </c>
      <c r="G321" s="21">
        <v>1</v>
      </c>
      <c r="H321" s="191">
        <v>285</v>
      </c>
      <c r="I321" s="21">
        <v>273.85000000000002</v>
      </c>
      <c r="J321" s="23" t="s">
        <v>541</v>
      </c>
      <c r="K321" s="86">
        <v>2012758</v>
      </c>
      <c r="L321" s="86">
        <v>4</v>
      </c>
      <c r="M321" s="86"/>
      <c r="N321" s="87">
        <v>0</v>
      </c>
      <c r="O321" s="223">
        <v>116</v>
      </c>
      <c r="P321" s="224"/>
      <c r="Q321" s="224">
        <v>1</v>
      </c>
      <c r="R321" s="225">
        <v>319</v>
      </c>
      <c r="S321" s="226" t="s">
        <v>542</v>
      </c>
      <c r="T321" s="94" t="str">
        <f>INDEX([1]data!$B$1:$B$100,MATCH('04.02 - 10.02'!S321,[0]!exclusive01,))</f>
        <v>DUCANH</v>
      </c>
      <c r="U321" s="106" t="s">
        <v>509</v>
      </c>
      <c r="V321" s="107">
        <v>30</v>
      </c>
      <c r="W321" s="108"/>
      <c r="X321" s="109" t="s">
        <v>55</v>
      </c>
      <c r="Y321" s="20">
        <f t="shared" si="12"/>
        <v>1</v>
      </c>
      <c r="AA321" s="98">
        <f t="shared" si="13"/>
        <v>11.149999999999977</v>
      </c>
      <c r="AB321" s="98">
        <f t="shared" si="14"/>
        <v>34</v>
      </c>
    </row>
    <row r="322" spans="1:35" ht="22.35" customHeight="1" thickBot="1" x14ac:dyDescent="0.3">
      <c r="A322" s="80"/>
      <c r="B322" s="80">
        <v>8590311100510</v>
      </c>
      <c r="C322" s="81">
        <v>600</v>
      </c>
      <c r="D322" s="23" t="s">
        <v>543</v>
      </c>
      <c r="G322" s="21">
        <v>1</v>
      </c>
      <c r="H322" s="191">
        <v>6.1</v>
      </c>
      <c r="I322" s="21">
        <v>5.8</v>
      </c>
      <c r="J322" s="23" t="s">
        <v>541</v>
      </c>
      <c r="K322" s="86">
        <v>2115534</v>
      </c>
      <c r="L322" s="86">
        <v>4</v>
      </c>
      <c r="M322" s="86"/>
      <c r="N322" s="87">
        <v>0</v>
      </c>
      <c r="O322" s="223">
        <v>594</v>
      </c>
      <c r="P322" s="224">
        <v>1</v>
      </c>
      <c r="Q322" s="224">
        <v>1</v>
      </c>
      <c r="R322" s="225">
        <v>6.9</v>
      </c>
      <c r="S322" s="226" t="s">
        <v>544</v>
      </c>
      <c r="T322" s="94" t="str">
        <f>INDEX([1]data!$B$1:$B$100,MATCH('04.02 - 10.02'!S322,[0]!exclusive01,))</f>
        <v>DUCANH</v>
      </c>
      <c r="U322" s="106" t="s">
        <v>509</v>
      </c>
      <c r="V322" s="107">
        <v>30</v>
      </c>
      <c r="W322" s="108"/>
      <c r="X322" s="109" t="s">
        <v>117</v>
      </c>
      <c r="Y322" s="20">
        <f t="shared" si="12"/>
        <v>1</v>
      </c>
      <c r="AA322" s="98">
        <f t="shared" si="13"/>
        <v>0.29999999999999982</v>
      </c>
      <c r="AB322" s="98">
        <f t="shared" si="14"/>
        <v>0.80000000000000071</v>
      </c>
    </row>
    <row r="323" spans="1:35" ht="22.35" customHeight="1" thickBot="1" x14ac:dyDescent="0.3">
      <c r="A323" s="209"/>
      <c r="B323" s="209">
        <v>6931722309635</v>
      </c>
      <c r="C323" s="193">
        <v>96</v>
      </c>
      <c r="D323" s="194" t="s">
        <v>545</v>
      </c>
      <c r="E323" s="194"/>
      <c r="F323" s="227"/>
      <c r="G323" s="196">
        <v>1</v>
      </c>
      <c r="H323" s="191">
        <v>17.5</v>
      </c>
      <c r="I323" s="196">
        <v>16.760000000000002</v>
      </c>
      <c r="J323" s="194" t="s">
        <v>546</v>
      </c>
      <c r="K323" s="198">
        <v>2110089</v>
      </c>
      <c r="L323" s="198">
        <v>4</v>
      </c>
      <c r="M323" s="198"/>
      <c r="N323" s="228">
        <v>0</v>
      </c>
      <c r="O323" s="229">
        <v>396</v>
      </c>
      <c r="P323" s="230">
        <v>1</v>
      </c>
      <c r="Q323" s="230">
        <v>1</v>
      </c>
      <c r="R323" s="231">
        <v>18.899999999999999</v>
      </c>
      <c r="S323" s="232" t="s">
        <v>546</v>
      </c>
      <c r="T323" s="125" t="str">
        <f>INDEX([1]data!$B$1:$B$100,MATCH('04.02 - 10.02'!S323,[0]!exclusive01,))</f>
        <v>DUCANH</v>
      </c>
      <c r="U323" s="125" t="s">
        <v>509</v>
      </c>
      <c r="V323" s="233">
        <v>30</v>
      </c>
      <c r="W323" s="108"/>
      <c r="X323" s="109" t="s">
        <v>119</v>
      </c>
      <c r="Y323" s="20">
        <f t="shared" si="12"/>
        <v>1</v>
      </c>
      <c r="AA323" s="98">
        <f t="shared" si="13"/>
        <v>0.73999999999999844</v>
      </c>
      <c r="AB323" s="98">
        <f t="shared" si="14"/>
        <v>1.3999999999999986</v>
      </c>
    </row>
    <row r="324" spans="1:35" ht="22.35" customHeight="1" thickBot="1" x14ac:dyDescent="0.3">
      <c r="A324" s="80"/>
      <c r="B324" s="80">
        <v>9001508084760</v>
      </c>
      <c r="C324" s="128">
        <v>28</v>
      </c>
      <c r="D324" s="129" t="s">
        <v>547</v>
      </c>
      <c r="E324" s="129" t="s">
        <v>548</v>
      </c>
      <c r="F324" s="234" t="s">
        <v>549</v>
      </c>
      <c r="G324" s="132" t="s">
        <v>89</v>
      </c>
      <c r="H324" s="277">
        <v>24.9</v>
      </c>
      <c r="I324" s="132">
        <v>23.65</v>
      </c>
      <c r="J324" s="129" t="s">
        <v>550</v>
      </c>
      <c r="K324" s="133">
        <v>2016163</v>
      </c>
      <c r="L324" s="133">
        <v>4</v>
      </c>
      <c r="M324" s="133"/>
      <c r="N324" s="134">
        <v>0</v>
      </c>
      <c r="O324" s="235">
        <v>680</v>
      </c>
      <c r="P324" s="206">
        <v>1</v>
      </c>
      <c r="Q324" s="206">
        <v>1</v>
      </c>
      <c r="R324" s="207">
        <v>27.5</v>
      </c>
      <c r="S324" s="208" t="s">
        <v>550</v>
      </c>
      <c r="T324" s="94" t="str">
        <f>INDEX([1]data!$B$1:$B$100,MATCH('04.02 - 10.02'!S324,[0]!exclusive01,))</f>
        <v>DUCANH</v>
      </c>
      <c r="U324" s="94" t="s">
        <v>419</v>
      </c>
      <c r="V324" s="95">
        <v>31</v>
      </c>
      <c r="W324" s="108">
        <v>1</v>
      </c>
      <c r="X324" s="109" t="s">
        <v>45</v>
      </c>
      <c r="Y324" s="20">
        <f t="shared" si="12"/>
        <v>1</v>
      </c>
      <c r="AA324" s="98">
        <f t="shared" si="13"/>
        <v>1.25</v>
      </c>
      <c r="AB324" s="98">
        <f t="shared" si="14"/>
        <v>2.6000000000000014</v>
      </c>
    </row>
    <row r="325" spans="1:35" ht="22.35" customHeight="1" thickBot="1" x14ac:dyDescent="0.3">
      <c r="A325" s="80"/>
      <c r="B325" s="80">
        <v>8690481003212</v>
      </c>
      <c r="C325" s="81">
        <v>24</v>
      </c>
      <c r="D325" s="23" t="s">
        <v>551</v>
      </c>
      <c r="E325" s="23" t="s">
        <v>552</v>
      </c>
      <c r="F325" s="82" t="s">
        <v>553</v>
      </c>
      <c r="G325" s="21">
        <v>2</v>
      </c>
      <c r="H325" s="277">
        <v>6.5</v>
      </c>
      <c r="I325" s="21">
        <v>6.27</v>
      </c>
      <c r="J325" s="23" t="s">
        <v>554</v>
      </c>
      <c r="K325" s="86">
        <v>2111133</v>
      </c>
      <c r="L325" s="86">
        <v>4</v>
      </c>
      <c r="M325" s="86"/>
      <c r="N325" s="87">
        <v>0</v>
      </c>
      <c r="O325" s="223">
        <v>2012</v>
      </c>
      <c r="P325" s="224">
        <v>1</v>
      </c>
      <c r="Q325" s="224">
        <v>1</v>
      </c>
      <c r="R325" s="225">
        <v>7.2</v>
      </c>
      <c r="S325" s="226" t="s">
        <v>554</v>
      </c>
      <c r="T325" s="94" t="str">
        <f>INDEX([1]data!$B$1:$B$100,MATCH('04.02 - 10.02'!S325,[0]!exclusive01,))</f>
        <v>DUCANH</v>
      </c>
      <c r="U325" s="106" t="s">
        <v>419</v>
      </c>
      <c r="V325" s="107">
        <v>31</v>
      </c>
      <c r="W325" s="108">
        <v>1</v>
      </c>
      <c r="X325" s="109" t="s">
        <v>55</v>
      </c>
      <c r="Y325" s="20">
        <f t="shared" si="12"/>
        <v>1</v>
      </c>
      <c r="AA325" s="98">
        <f t="shared" si="13"/>
        <v>0.23000000000000043</v>
      </c>
      <c r="AB325" s="98">
        <f t="shared" si="14"/>
        <v>0.70000000000000018</v>
      </c>
    </row>
    <row r="326" spans="1:35" ht="22.35" customHeight="1" thickBot="1" x14ac:dyDescent="0.3">
      <c r="A326" s="80"/>
      <c r="B326" s="80">
        <v>8693029204041</v>
      </c>
      <c r="C326" s="81">
        <v>8</v>
      </c>
      <c r="D326" s="23" t="s">
        <v>555</v>
      </c>
      <c r="E326" s="23" t="s">
        <v>556</v>
      </c>
      <c r="F326" s="82" t="s">
        <v>40</v>
      </c>
      <c r="G326" s="21" t="s">
        <v>89</v>
      </c>
      <c r="H326" s="191">
        <v>109</v>
      </c>
      <c r="I326" s="21">
        <v>101.08</v>
      </c>
      <c r="J326" s="23" t="s">
        <v>557</v>
      </c>
      <c r="K326" s="86">
        <v>2110895</v>
      </c>
      <c r="L326" s="86">
        <v>4</v>
      </c>
      <c r="M326" s="86"/>
      <c r="N326" s="87">
        <v>0</v>
      </c>
      <c r="O326" s="223">
        <v>133</v>
      </c>
      <c r="P326" s="224">
        <v>1</v>
      </c>
      <c r="Q326" s="224">
        <v>1</v>
      </c>
      <c r="R326" s="225">
        <v>115</v>
      </c>
      <c r="S326" s="226" t="s">
        <v>557</v>
      </c>
      <c r="T326" s="94" t="str">
        <f>INDEX([1]data!$B$1:$B$100,MATCH('04.02 - 10.02'!S326,[0]!exclusive01,))</f>
        <v>DUCANH</v>
      </c>
      <c r="U326" s="106" t="s">
        <v>419</v>
      </c>
      <c r="V326" s="107">
        <v>31</v>
      </c>
      <c r="W326" s="108"/>
      <c r="X326" s="109" t="s">
        <v>117</v>
      </c>
      <c r="Y326" s="20">
        <f t="shared" si="12"/>
        <v>1</v>
      </c>
      <c r="AA326" s="98">
        <f t="shared" si="13"/>
        <v>7.9200000000000017</v>
      </c>
      <c r="AB326" s="98">
        <f t="shared" si="14"/>
        <v>6</v>
      </c>
    </row>
    <row r="327" spans="1:35" ht="22.35" customHeight="1" thickBot="1" x14ac:dyDescent="0.3">
      <c r="A327" s="209"/>
      <c r="B327" s="209">
        <v>5900951311505</v>
      </c>
      <c r="C327" s="193">
        <v>40</v>
      </c>
      <c r="D327" s="194" t="s">
        <v>558</v>
      </c>
      <c r="E327" s="194" t="s">
        <v>419</v>
      </c>
      <c r="F327" s="227" t="s">
        <v>559</v>
      </c>
      <c r="G327" s="196" t="s">
        <v>89</v>
      </c>
      <c r="H327" s="191">
        <v>11.5</v>
      </c>
      <c r="I327" s="196">
        <v>11.32</v>
      </c>
      <c r="J327" s="194" t="s">
        <v>560</v>
      </c>
      <c r="K327" s="198">
        <v>2010035</v>
      </c>
      <c r="L327" s="198">
        <v>4</v>
      </c>
      <c r="M327" s="198"/>
      <c r="N327" s="228">
        <v>0</v>
      </c>
      <c r="O327" s="229">
        <v>18205</v>
      </c>
      <c r="P327" s="230">
        <v>1</v>
      </c>
      <c r="Q327" s="230">
        <v>1</v>
      </c>
      <c r="R327" s="231">
        <v>12.9</v>
      </c>
      <c r="S327" s="232" t="s">
        <v>560</v>
      </c>
      <c r="T327" s="125" t="str">
        <f>INDEX([1]data!$B$1:$B$100,MATCH('04.02 - 10.02'!S327,[0]!exclusive01,))</f>
        <v>DUCANH</v>
      </c>
      <c r="U327" s="125" t="s">
        <v>419</v>
      </c>
      <c r="V327" s="233">
        <v>31</v>
      </c>
      <c r="W327" s="108"/>
      <c r="X327" s="109" t="s">
        <v>119</v>
      </c>
      <c r="Y327" s="20">
        <f t="shared" ref="Y327:Y390" si="15">COUNTIF(K:K,K327)</f>
        <v>1</v>
      </c>
      <c r="AA327" s="98">
        <f t="shared" si="13"/>
        <v>0.17999999999999972</v>
      </c>
      <c r="AB327" s="98">
        <f t="shared" si="14"/>
        <v>1.4000000000000004</v>
      </c>
    </row>
    <row r="328" spans="1:35" ht="22.35" customHeight="1" thickBot="1" x14ac:dyDescent="0.3">
      <c r="A328" s="80"/>
      <c r="B328" s="80">
        <v>8585000207533</v>
      </c>
      <c r="C328" s="128">
        <v>18</v>
      </c>
      <c r="D328" s="129" t="s">
        <v>561</v>
      </c>
      <c r="E328" s="129" t="s">
        <v>556</v>
      </c>
      <c r="F328" s="234" t="s">
        <v>242</v>
      </c>
      <c r="G328" s="132">
        <v>3</v>
      </c>
      <c r="H328" s="191">
        <v>13.9</v>
      </c>
      <c r="I328" s="132">
        <v>13.31</v>
      </c>
      <c r="J328" s="129" t="s">
        <v>562</v>
      </c>
      <c r="K328" s="133">
        <v>2016687</v>
      </c>
      <c r="L328" s="133">
        <v>4</v>
      </c>
      <c r="M328" s="133"/>
      <c r="N328" s="134">
        <v>0</v>
      </c>
      <c r="O328" s="235">
        <v>2433</v>
      </c>
      <c r="P328" s="206">
        <v>1</v>
      </c>
      <c r="Q328" s="206">
        <v>1</v>
      </c>
      <c r="R328" s="207">
        <v>14.9</v>
      </c>
      <c r="S328" s="226" t="s">
        <v>563</v>
      </c>
      <c r="T328" s="94" t="str">
        <f>INDEX([1]data!$B$1:$B$100,MATCH('04.02 - 10.02'!S328,[0]!exclusive01,))</f>
        <v>DUCANH</v>
      </c>
      <c r="U328" s="106" t="s">
        <v>564</v>
      </c>
      <c r="V328" s="107">
        <v>32</v>
      </c>
      <c r="W328" s="108"/>
      <c r="X328" s="109" t="s">
        <v>45</v>
      </c>
      <c r="Y328" s="20">
        <f t="shared" si="15"/>
        <v>1</v>
      </c>
      <c r="AA328" s="98">
        <f t="shared" ref="AA328:AA423" si="16">H328-I328</f>
        <v>0.58999999999999986</v>
      </c>
      <c r="AB328" s="98">
        <f t="shared" ref="AB328:AB423" si="17">R328-H328</f>
        <v>1</v>
      </c>
    </row>
    <row r="329" spans="1:35" ht="22.35" customHeight="1" thickBot="1" x14ac:dyDescent="0.3">
      <c r="A329" s="80"/>
      <c r="B329" s="80">
        <v>5901414205621</v>
      </c>
      <c r="C329" s="81">
        <v>24</v>
      </c>
      <c r="D329" s="23" t="s">
        <v>565</v>
      </c>
      <c r="E329" s="23" t="s">
        <v>566</v>
      </c>
      <c r="F329" s="82" t="s">
        <v>567</v>
      </c>
      <c r="G329" s="21">
        <v>1</v>
      </c>
      <c r="H329" s="191">
        <v>19.899999999999999</v>
      </c>
      <c r="I329" s="21">
        <v>18.75</v>
      </c>
      <c r="J329" s="23" t="s">
        <v>568</v>
      </c>
      <c r="K329" s="86">
        <v>2114990</v>
      </c>
      <c r="L329" s="86">
        <v>4</v>
      </c>
      <c r="M329" s="86"/>
      <c r="N329" s="87">
        <v>0</v>
      </c>
      <c r="O329" s="223">
        <v>277</v>
      </c>
      <c r="P329" s="224">
        <v>1</v>
      </c>
      <c r="Q329" s="224">
        <v>1</v>
      </c>
      <c r="R329" s="225">
        <v>21.9</v>
      </c>
      <c r="S329" s="226" t="s">
        <v>568</v>
      </c>
      <c r="T329" s="94" t="str">
        <f>INDEX([1]data!$B$1:$B$100,MATCH('04.02 - 10.02'!S329,[0]!exclusive01,))</f>
        <v>DUCANH</v>
      </c>
      <c r="U329" s="106" t="s">
        <v>564</v>
      </c>
      <c r="V329" s="107">
        <v>32</v>
      </c>
      <c r="W329" s="108"/>
      <c r="X329" s="109" t="s">
        <v>55</v>
      </c>
      <c r="Y329" s="20">
        <f t="shared" si="15"/>
        <v>1</v>
      </c>
      <c r="AA329" s="98">
        <f t="shared" si="16"/>
        <v>1.1499999999999986</v>
      </c>
      <c r="AB329" s="98">
        <f t="shared" si="17"/>
        <v>2</v>
      </c>
    </row>
    <row r="330" spans="1:35" ht="22.35" customHeight="1" thickBot="1" x14ac:dyDescent="0.3">
      <c r="A330" s="80"/>
      <c r="B330" s="80">
        <v>8594027771002</v>
      </c>
      <c r="C330" s="81">
        <v>280</v>
      </c>
      <c r="D330" s="23" t="s">
        <v>569</v>
      </c>
      <c r="E330" s="23" t="s">
        <v>428</v>
      </c>
      <c r="F330" s="82" t="s">
        <v>570</v>
      </c>
      <c r="G330" s="21">
        <v>4</v>
      </c>
      <c r="H330" s="277">
        <v>5.9</v>
      </c>
      <c r="I330" s="21">
        <v>5.71</v>
      </c>
      <c r="J330" s="23" t="s">
        <v>571</v>
      </c>
      <c r="K330" s="86">
        <v>2014358</v>
      </c>
      <c r="L330" s="86">
        <v>4</v>
      </c>
      <c r="M330" s="86"/>
      <c r="N330" s="87">
        <v>0</v>
      </c>
      <c r="O330" s="223">
        <v>10516</v>
      </c>
      <c r="P330" s="224">
        <v>1</v>
      </c>
      <c r="Q330" s="224">
        <v>1</v>
      </c>
      <c r="R330" s="225">
        <v>6.9</v>
      </c>
      <c r="S330" s="226" t="s">
        <v>571</v>
      </c>
      <c r="T330" s="94" t="str">
        <f>INDEX([1]data!$B$1:$B$100,MATCH('04.02 - 10.02'!S330,[0]!exclusive01,))</f>
        <v>DUCANH</v>
      </c>
      <c r="U330" s="106" t="s">
        <v>419</v>
      </c>
      <c r="V330" s="107">
        <v>32</v>
      </c>
      <c r="W330" s="108">
        <v>1</v>
      </c>
      <c r="X330" s="109" t="s">
        <v>117</v>
      </c>
      <c r="Y330" s="20">
        <f t="shared" si="15"/>
        <v>1</v>
      </c>
      <c r="AA330" s="98">
        <f t="shared" si="16"/>
        <v>0.19000000000000039</v>
      </c>
      <c r="AB330" s="98">
        <f t="shared" si="17"/>
        <v>1</v>
      </c>
    </row>
    <row r="331" spans="1:35" ht="22.35" customHeight="1" thickBot="1" x14ac:dyDescent="0.3">
      <c r="A331" s="209"/>
      <c r="B331" s="209">
        <v>3850102977536</v>
      </c>
      <c r="C331" s="210">
        <v>40</v>
      </c>
      <c r="D331" s="211" t="s">
        <v>572</v>
      </c>
      <c r="E331" s="211"/>
      <c r="F331" s="236" t="s">
        <v>573</v>
      </c>
      <c r="G331" s="213">
        <v>2</v>
      </c>
      <c r="H331" s="191">
        <v>6.9</v>
      </c>
      <c r="I331" s="238">
        <v>6.71</v>
      </c>
      <c r="J331" s="211" t="s">
        <v>574</v>
      </c>
      <c r="K331" s="215">
        <v>2015000</v>
      </c>
      <c r="L331" s="215">
        <v>4</v>
      </c>
      <c r="M331" s="215"/>
      <c r="N331" s="216">
        <v>0</v>
      </c>
      <c r="O331" s="239">
        <v>3165</v>
      </c>
      <c r="P331" s="240">
        <v>1</v>
      </c>
      <c r="Q331" s="154">
        <v>1</v>
      </c>
      <c r="R331" s="241">
        <v>8.1999999999999993</v>
      </c>
      <c r="S331" s="232" t="s">
        <v>574</v>
      </c>
      <c r="T331" s="125" t="str">
        <f>INDEX([1]data!$B$1:$B$100,MATCH('04.02 - 10.02'!S331,[0]!exclusive01,))</f>
        <v>DUCANH</v>
      </c>
      <c r="U331" s="125" t="s">
        <v>575</v>
      </c>
      <c r="V331" s="156">
        <v>32</v>
      </c>
      <c r="W331" s="160"/>
      <c r="X331" s="161" t="s">
        <v>119</v>
      </c>
      <c r="Y331" s="20">
        <f t="shared" si="15"/>
        <v>1</v>
      </c>
      <c r="AA331" s="98">
        <f t="shared" si="16"/>
        <v>0.19000000000000039</v>
      </c>
      <c r="AB331" s="98">
        <f t="shared" si="17"/>
        <v>1.2999999999999989</v>
      </c>
    </row>
    <row r="332" spans="1:35" ht="22.35" customHeight="1" thickBot="1" x14ac:dyDescent="0.3">
      <c r="A332" s="127"/>
      <c r="B332" s="127"/>
      <c r="C332" s="128"/>
      <c r="D332" s="129"/>
      <c r="E332" s="129"/>
      <c r="F332" s="130"/>
      <c r="G332" s="132"/>
      <c r="H332" s="99"/>
      <c r="I332" s="158"/>
      <c r="J332" s="129"/>
      <c r="K332" s="159"/>
      <c r="L332" s="133"/>
      <c r="M332" s="133"/>
      <c r="N332" s="134"/>
      <c r="O332" s="135"/>
      <c r="P332" s="136"/>
      <c r="Q332" s="137"/>
      <c r="R332" s="138"/>
      <c r="S332" s="139" t="s">
        <v>138</v>
      </c>
      <c r="T332" s="140" t="s">
        <v>506</v>
      </c>
      <c r="U332" s="94"/>
      <c r="V332" s="95">
        <v>33</v>
      </c>
      <c r="W332" s="160"/>
      <c r="X332" s="161"/>
      <c r="Y332" s="20">
        <f t="shared" si="15"/>
        <v>0</v>
      </c>
      <c r="AA332" s="98">
        <f t="shared" si="16"/>
        <v>0</v>
      </c>
      <c r="AB332" s="98">
        <f t="shared" si="17"/>
        <v>0</v>
      </c>
      <c r="AC332" s="110"/>
      <c r="AD332" s="77"/>
      <c r="AE332" s="77"/>
      <c r="AF332" s="75"/>
      <c r="AG332" s="75"/>
      <c r="AH332" s="75"/>
      <c r="AI332" s="75"/>
    </row>
    <row r="333" spans="1:35" ht="22.35" customHeight="1" thickBot="1" x14ac:dyDescent="0.3">
      <c r="A333" s="80"/>
      <c r="B333" s="80"/>
      <c r="F333" s="141"/>
      <c r="H333" s="99"/>
      <c r="I333" s="84"/>
      <c r="K333" s="86"/>
      <c r="L333" s="86"/>
      <c r="M333" s="86"/>
      <c r="O333" s="100"/>
      <c r="P333" s="143"/>
      <c r="Q333" s="102"/>
      <c r="R333" s="103"/>
      <c r="S333" s="144" t="s">
        <v>138</v>
      </c>
      <c r="T333" s="112" t="s">
        <v>506</v>
      </c>
      <c r="U333" s="106"/>
      <c r="V333" s="107">
        <v>33</v>
      </c>
      <c r="W333" s="160"/>
      <c r="X333" s="161"/>
      <c r="Y333" s="20">
        <f t="shared" si="15"/>
        <v>0</v>
      </c>
      <c r="AA333" s="98">
        <f t="shared" si="16"/>
        <v>0</v>
      </c>
      <c r="AB333" s="98">
        <f t="shared" si="17"/>
        <v>0</v>
      </c>
      <c r="AC333" s="110"/>
      <c r="AD333" s="77"/>
      <c r="AE333" s="77"/>
      <c r="AF333" s="75"/>
      <c r="AG333" s="75"/>
      <c r="AH333" s="75"/>
      <c r="AI333" s="75"/>
    </row>
    <row r="334" spans="1:35" ht="22.35" customHeight="1" thickBot="1" x14ac:dyDescent="0.3">
      <c r="A334" s="80"/>
      <c r="B334" s="80"/>
      <c r="F334" s="141"/>
      <c r="H334" s="99"/>
      <c r="I334" s="84"/>
      <c r="K334" s="86"/>
      <c r="L334" s="86"/>
      <c r="M334" s="86"/>
      <c r="O334" s="100"/>
      <c r="P334" s="143"/>
      <c r="Q334" s="90"/>
      <c r="R334" s="91"/>
      <c r="S334" s="144" t="s">
        <v>138</v>
      </c>
      <c r="T334" s="112" t="s">
        <v>506</v>
      </c>
      <c r="U334" s="106"/>
      <c r="V334" s="107">
        <v>33</v>
      </c>
      <c r="W334" s="160"/>
      <c r="X334" s="161"/>
      <c r="Y334" s="20">
        <f t="shared" si="15"/>
        <v>0</v>
      </c>
      <c r="AA334" s="98">
        <f t="shared" si="16"/>
        <v>0</v>
      </c>
      <c r="AB334" s="98">
        <f t="shared" si="17"/>
        <v>0</v>
      </c>
      <c r="AC334" s="110"/>
      <c r="AD334" s="77"/>
      <c r="AE334" s="77"/>
      <c r="AF334" s="75"/>
      <c r="AG334" s="75"/>
      <c r="AH334" s="75"/>
      <c r="AI334" s="75"/>
    </row>
    <row r="335" spans="1:35" ht="22.35" customHeight="1" thickBot="1" x14ac:dyDescent="0.3">
      <c r="A335" s="80"/>
      <c r="B335" s="80"/>
      <c r="F335" s="141"/>
      <c r="H335" s="99"/>
      <c r="I335" s="84"/>
      <c r="K335" s="86"/>
      <c r="L335" s="86"/>
      <c r="M335" s="86"/>
      <c r="O335" s="100"/>
      <c r="P335" s="143"/>
      <c r="Q335" s="90"/>
      <c r="R335" s="91"/>
      <c r="S335" s="144" t="s">
        <v>138</v>
      </c>
      <c r="T335" s="112" t="s">
        <v>506</v>
      </c>
      <c r="U335" s="106"/>
      <c r="V335" s="107">
        <v>33</v>
      </c>
      <c r="W335" s="160"/>
      <c r="X335" s="161"/>
      <c r="Y335" s="20">
        <f t="shared" si="15"/>
        <v>0</v>
      </c>
      <c r="AA335" s="98">
        <f t="shared" si="16"/>
        <v>0</v>
      </c>
      <c r="AB335" s="98">
        <f t="shared" si="17"/>
        <v>0</v>
      </c>
      <c r="AC335" s="110"/>
      <c r="AD335" s="77"/>
      <c r="AE335" s="77"/>
      <c r="AF335" s="75"/>
      <c r="AG335" s="75"/>
      <c r="AH335" s="75"/>
      <c r="AI335" s="75"/>
    </row>
    <row r="336" spans="1:35" ht="22.35" customHeight="1" thickBot="1" x14ac:dyDescent="0.3">
      <c r="A336" s="80"/>
      <c r="B336" s="80"/>
      <c r="F336" s="141"/>
      <c r="H336" s="99"/>
      <c r="I336" s="84"/>
      <c r="K336" s="86"/>
      <c r="L336" s="86"/>
      <c r="M336" s="86"/>
      <c r="O336" s="100"/>
      <c r="P336" s="143"/>
      <c r="Q336" s="90"/>
      <c r="R336" s="91"/>
      <c r="S336" s="144" t="s">
        <v>138</v>
      </c>
      <c r="T336" s="112" t="s">
        <v>506</v>
      </c>
      <c r="U336" s="106"/>
      <c r="V336" s="107">
        <v>33</v>
      </c>
      <c r="W336" s="160"/>
      <c r="X336" s="161"/>
      <c r="Y336" s="20">
        <f t="shared" si="15"/>
        <v>0</v>
      </c>
      <c r="AA336" s="98">
        <f t="shared" si="16"/>
        <v>0</v>
      </c>
      <c r="AB336" s="98">
        <f t="shared" si="17"/>
        <v>0</v>
      </c>
      <c r="AC336" s="110"/>
      <c r="AD336" s="77"/>
      <c r="AE336" s="77"/>
      <c r="AF336" s="75"/>
      <c r="AG336" s="75"/>
      <c r="AH336" s="75"/>
      <c r="AI336" s="75"/>
    </row>
    <row r="337" spans="1:35" ht="22.35" customHeight="1" thickBot="1" x14ac:dyDescent="0.3">
      <c r="A337" s="80"/>
      <c r="B337" s="80"/>
      <c r="F337" s="141"/>
      <c r="H337" s="99"/>
      <c r="I337" s="84"/>
      <c r="K337" s="86"/>
      <c r="L337" s="86"/>
      <c r="M337" s="86"/>
      <c r="O337" s="100"/>
      <c r="P337" s="143"/>
      <c r="Q337" s="90"/>
      <c r="R337" s="91"/>
      <c r="S337" s="144" t="s">
        <v>138</v>
      </c>
      <c r="T337" s="112" t="s">
        <v>506</v>
      </c>
      <c r="U337" s="106"/>
      <c r="V337" s="107">
        <v>33</v>
      </c>
      <c r="W337" s="160"/>
      <c r="X337" s="161"/>
      <c r="Y337" s="20">
        <f t="shared" si="15"/>
        <v>0</v>
      </c>
      <c r="AA337" s="98">
        <f t="shared" si="16"/>
        <v>0</v>
      </c>
      <c r="AB337" s="98">
        <f t="shared" si="17"/>
        <v>0</v>
      </c>
      <c r="AC337" s="110"/>
      <c r="AD337" s="77"/>
      <c r="AE337" s="77"/>
      <c r="AF337" s="75"/>
      <c r="AG337" s="75"/>
      <c r="AH337" s="75"/>
      <c r="AI337" s="75"/>
    </row>
    <row r="338" spans="1:35" ht="22.35" customHeight="1" thickBot="1" x14ac:dyDescent="0.3">
      <c r="A338" s="80"/>
      <c r="B338" s="80"/>
      <c r="F338" s="141"/>
      <c r="H338" s="99"/>
      <c r="I338" s="84"/>
      <c r="K338" s="86"/>
      <c r="L338" s="86"/>
      <c r="M338" s="86"/>
      <c r="O338" s="100"/>
      <c r="P338" s="143"/>
      <c r="Q338" s="90"/>
      <c r="R338" s="91"/>
      <c r="S338" s="144" t="s">
        <v>138</v>
      </c>
      <c r="T338" s="112" t="s">
        <v>506</v>
      </c>
      <c r="U338" s="106"/>
      <c r="V338" s="107">
        <v>33</v>
      </c>
      <c r="W338" s="160"/>
      <c r="X338" s="161"/>
      <c r="Y338" s="20">
        <f t="shared" si="15"/>
        <v>0</v>
      </c>
      <c r="AA338" s="98">
        <f t="shared" si="16"/>
        <v>0</v>
      </c>
      <c r="AB338" s="98">
        <f t="shared" si="17"/>
        <v>0</v>
      </c>
      <c r="AC338" s="110"/>
      <c r="AD338" s="77"/>
      <c r="AE338" s="77"/>
      <c r="AF338" s="75"/>
      <c r="AG338" s="75"/>
      <c r="AH338" s="75"/>
      <c r="AI338" s="75"/>
    </row>
    <row r="339" spans="1:35" ht="22.35" customHeight="1" thickBot="1" x14ac:dyDescent="0.3">
      <c r="A339" s="80"/>
      <c r="B339" s="80"/>
      <c r="F339" s="141"/>
      <c r="H339" s="99"/>
      <c r="I339" s="84"/>
      <c r="K339" s="86"/>
      <c r="L339" s="86"/>
      <c r="M339" s="86"/>
      <c r="O339" s="100"/>
      <c r="P339" s="143"/>
      <c r="Q339" s="90"/>
      <c r="R339" s="91"/>
      <c r="S339" s="144" t="s">
        <v>138</v>
      </c>
      <c r="T339" s="112" t="s">
        <v>506</v>
      </c>
      <c r="U339" s="106"/>
      <c r="V339" s="107">
        <v>33</v>
      </c>
      <c r="W339" s="160"/>
      <c r="X339" s="161"/>
      <c r="Y339" s="20">
        <f t="shared" si="15"/>
        <v>0</v>
      </c>
      <c r="AA339" s="98">
        <f t="shared" si="16"/>
        <v>0</v>
      </c>
      <c r="AB339" s="98">
        <f t="shared" si="17"/>
        <v>0</v>
      </c>
      <c r="AC339" s="110"/>
      <c r="AD339" s="77"/>
      <c r="AE339" s="77"/>
      <c r="AF339" s="75"/>
      <c r="AG339" s="75"/>
      <c r="AH339" s="75"/>
      <c r="AI339" s="75"/>
    </row>
    <row r="340" spans="1:35" ht="22.35" customHeight="1" thickBot="1" x14ac:dyDescent="0.3">
      <c r="A340" s="80"/>
      <c r="B340" s="80"/>
      <c r="F340" s="141"/>
      <c r="H340" s="99"/>
      <c r="I340" s="84"/>
      <c r="K340" s="86"/>
      <c r="L340" s="86"/>
      <c r="M340" s="86"/>
      <c r="O340" s="100"/>
      <c r="P340" s="143"/>
      <c r="Q340" s="90"/>
      <c r="R340" s="91"/>
      <c r="S340" s="144" t="s">
        <v>138</v>
      </c>
      <c r="T340" s="112" t="s">
        <v>506</v>
      </c>
      <c r="U340" s="106"/>
      <c r="V340" s="107">
        <v>33</v>
      </c>
      <c r="W340" s="160"/>
      <c r="X340" s="161"/>
      <c r="Y340" s="20">
        <f t="shared" si="15"/>
        <v>0</v>
      </c>
      <c r="AA340" s="98">
        <f t="shared" si="16"/>
        <v>0</v>
      </c>
      <c r="AB340" s="98">
        <f t="shared" si="17"/>
        <v>0</v>
      </c>
      <c r="AC340" s="110"/>
      <c r="AD340" s="77"/>
      <c r="AE340" s="77"/>
      <c r="AF340" s="75"/>
      <c r="AG340" s="75"/>
      <c r="AH340" s="75"/>
      <c r="AI340" s="75"/>
    </row>
    <row r="341" spans="1:35" ht="22.35" customHeight="1" thickBot="1" x14ac:dyDescent="0.3">
      <c r="A341" s="80"/>
      <c r="B341" s="80"/>
      <c r="F341" s="141"/>
      <c r="H341" s="99"/>
      <c r="I341" s="84"/>
      <c r="K341" s="86"/>
      <c r="L341" s="86"/>
      <c r="M341" s="86"/>
      <c r="O341" s="100"/>
      <c r="P341" s="143"/>
      <c r="Q341" s="90"/>
      <c r="R341" s="91"/>
      <c r="S341" s="144" t="s">
        <v>138</v>
      </c>
      <c r="T341" s="112" t="s">
        <v>506</v>
      </c>
      <c r="U341" s="106"/>
      <c r="V341" s="107">
        <v>33</v>
      </c>
      <c r="W341" s="160"/>
      <c r="X341" s="161"/>
      <c r="Y341" s="20">
        <f t="shared" si="15"/>
        <v>0</v>
      </c>
      <c r="AA341" s="98">
        <f t="shared" si="16"/>
        <v>0</v>
      </c>
      <c r="AB341" s="98">
        <f t="shared" si="17"/>
        <v>0</v>
      </c>
      <c r="AC341" s="110"/>
      <c r="AD341" s="77"/>
      <c r="AE341" s="77"/>
      <c r="AF341" s="75"/>
      <c r="AG341" s="75"/>
      <c r="AH341" s="75"/>
      <c r="AI341" s="75"/>
    </row>
    <row r="342" spans="1:35" ht="22.35" customHeight="1" thickBot="1" x14ac:dyDescent="0.3">
      <c r="A342" s="80"/>
      <c r="B342" s="80"/>
      <c r="F342" s="141"/>
      <c r="H342" s="99"/>
      <c r="I342" s="84"/>
      <c r="K342" s="86"/>
      <c r="L342" s="86"/>
      <c r="M342" s="86"/>
      <c r="O342" s="100"/>
      <c r="P342" s="143"/>
      <c r="Q342" s="90"/>
      <c r="R342" s="91"/>
      <c r="S342" s="144" t="s">
        <v>138</v>
      </c>
      <c r="T342" s="112" t="s">
        <v>506</v>
      </c>
      <c r="U342" s="106"/>
      <c r="V342" s="107">
        <v>33</v>
      </c>
      <c r="W342" s="160"/>
      <c r="X342" s="161"/>
      <c r="Y342" s="20">
        <f t="shared" si="15"/>
        <v>0</v>
      </c>
      <c r="AA342" s="98">
        <f t="shared" si="16"/>
        <v>0</v>
      </c>
      <c r="AB342" s="98">
        <f t="shared" si="17"/>
        <v>0</v>
      </c>
      <c r="AC342" s="110"/>
      <c r="AD342" s="77"/>
      <c r="AE342" s="77"/>
      <c r="AF342" s="75"/>
      <c r="AG342" s="75"/>
      <c r="AH342" s="75"/>
      <c r="AI342" s="75"/>
    </row>
    <row r="343" spans="1:35" ht="22.35" customHeight="1" thickBot="1" x14ac:dyDescent="0.3">
      <c r="A343" s="80"/>
      <c r="B343" s="80"/>
      <c r="F343" s="141"/>
      <c r="H343" s="99"/>
      <c r="I343" s="84"/>
      <c r="K343" s="86"/>
      <c r="L343" s="86"/>
      <c r="M343" s="86"/>
      <c r="O343" s="100"/>
      <c r="P343" s="143"/>
      <c r="Q343" s="90"/>
      <c r="R343" s="91"/>
      <c r="S343" s="144" t="s">
        <v>138</v>
      </c>
      <c r="T343" s="112" t="s">
        <v>506</v>
      </c>
      <c r="U343" s="106"/>
      <c r="V343" s="107">
        <v>33</v>
      </c>
      <c r="W343" s="160"/>
      <c r="X343" s="161"/>
      <c r="Y343" s="20">
        <f t="shared" si="15"/>
        <v>0</v>
      </c>
      <c r="AA343" s="98">
        <f t="shared" si="16"/>
        <v>0</v>
      </c>
      <c r="AB343" s="98">
        <f t="shared" si="17"/>
        <v>0</v>
      </c>
      <c r="AC343" s="110"/>
      <c r="AD343" s="77"/>
      <c r="AE343" s="77"/>
      <c r="AF343" s="75"/>
      <c r="AG343" s="75"/>
      <c r="AH343" s="75"/>
      <c r="AI343" s="75"/>
    </row>
    <row r="344" spans="1:35" ht="22.35" customHeight="1" thickBot="1" x14ac:dyDescent="0.3">
      <c r="A344" s="80"/>
      <c r="B344" s="80"/>
      <c r="F344" s="141"/>
      <c r="H344" s="99"/>
      <c r="I344" s="84"/>
      <c r="K344" s="86"/>
      <c r="L344" s="86"/>
      <c r="M344" s="86"/>
      <c r="O344" s="100"/>
      <c r="P344" s="143"/>
      <c r="Q344" s="90"/>
      <c r="R344" s="91"/>
      <c r="S344" s="144" t="s">
        <v>138</v>
      </c>
      <c r="T344" s="112" t="s">
        <v>506</v>
      </c>
      <c r="U344" s="106"/>
      <c r="V344" s="107">
        <v>33</v>
      </c>
      <c r="W344" s="160"/>
      <c r="X344" s="161"/>
      <c r="Y344" s="20">
        <f t="shared" si="15"/>
        <v>0</v>
      </c>
      <c r="AA344" s="98">
        <f t="shared" si="16"/>
        <v>0</v>
      </c>
      <c r="AB344" s="98">
        <f t="shared" si="17"/>
        <v>0</v>
      </c>
      <c r="AC344" s="110"/>
      <c r="AD344" s="77"/>
      <c r="AE344" s="77"/>
      <c r="AF344" s="75"/>
      <c r="AG344" s="75"/>
      <c r="AH344" s="75"/>
      <c r="AI344" s="75"/>
    </row>
    <row r="345" spans="1:35" ht="22.35" customHeight="1" thickBot="1" x14ac:dyDescent="0.3">
      <c r="A345" s="80"/>
      <c r="B345" s="80"/>
      <c r="F345" s="141"/>
      <c r="H345" s="99"/>
      <c r="I345" s="84"/>
      <c r="K345" s="86"/>
      <c r="L345" s="86"/>
      <c r="M345" s="86"/>
      <c r="O345" s="100"/>
      <c r="P345" s="143"/>
      <c r="Q345" s="90"/>
      <c r="R345" s="91"/>
      <c r="S345" s="144" t="s">
        <v>138</v>
      </c>
      <c r="T345" s="112" t="s">
        <v>506</v>
      </c>
      <c r="U345" s="106"/>
      <c r="V345" s="107">
        <v>33</v>
      </c>
      <c r="W345" s="160"/>
      <c r="X345" s="161"/>
      <c r="Y345" s="20">
        <f t="shared" si="15"/>
        <v>0</v>
      </c>
      <c r="AA345" s="98">
        <f t="shared" si="16"/>
        <v>0</v>
      </c>
      <c r="AB345" s="98">
        <f t="shared" si="17"/>
        <v>0</v>
      </c>
      <c r="AC345" s="110"/>
      <c r="AD345" s="77"/>
      <c r="AE345" s="77"/>
      <c r="AF345" s="75"/>
      <c r="AG345" s="75"/>
      <c r="AH345" s="75"/>
      <c r="AI345" s="75"/>
    </row>
    <row r="346" spans="1:35" ht="22.35" customHeight="1" thickBot="1" x14ac:dyDescent="0.3">
      <c r="A346" s="80"/>
      <c r="B346" s="80"/>
      <c r="F346" s="141"/>
      <c r="H346" s="99"/>
      <c r="I346" s="84"/>
      <c r="K346" s="86"/>
      <c r="L346" s="86"/>
      <c r="M346" s="86"/>
      <c r="O346" s="100"/>
      <c r="P346" s="143"/>
      <c r="Q346" s="90"/>
      <c r="R346" s="91"/>
      <c r="S346" s="144" t="s">
        <v>138</v>
      </c>
      <c r="T346" s="112" t="s">
        <v>506</v>
      </c>
      <c r="U346" s="106"/>
      <c r="V346" s="107">
        <v>33</v>
      </c>
      <c r="W346" s="160"/>
      <c r="X346" s="161"/>
      <c r="Y346" s="20">
        <f t="shared" si="15"/>
        <v>0</v>
      </c>
      <c r="AA346" s="98">
        <f t="shared" si="16"/>
        <v>0</v>
      </c>
      <c r="AB346" s="98">
        <f t="shared" si="17"/>
        <v>0</v>
      </c>
      <c r="AC346" s="110"/>
      <c r="AD346" s="77"/>
      <c r="AE346" s="77"/>
      <c r="AF346" s="75"/>
      <c r="AG346" s="75"/>
      <c r="AH346" s="75"/>
      <c r="AI346" s="75"/>
    </row>
    <row r="347" spans="1:35" ht="22.35" customHeight="1" thickBot="1" x14ac:dyDescent="0.3">
      <c r="A347" s="252"/>
      <c r="B347" s="252"/>
      <c r="C347" s="253"/>
      <c r="D347" s="254"/>
      <c r="E347" s="254"/>
      <c r="F347" s="195"/>
      <c r="G347" s="196"/>
      <c r="H347" s="255"/>
      <c r="I347" s="256"/>
      <c r="J347" s="257"/>
      <c r="K347" s="258"/>
      <c r="L347" s="258"/>
      <c r="M347" s="258"/>
      <c r="N347" s="228"/>
      <c r="O347" s="200"/>
      <c r="P347" s="202"/>
      <c r="Q347" s="259"/>
      <c r="R347" s="260"/>
      <c r="S347" s="155" t="s">
        <v>138</v>
      </c>
      <c r="T347" s="124" t="s">
        <v>506</v>
      </c>
      <c r="U347" s="125"/>
      <c r="V347" s="126">
        <v>33</v>
      </c>
      <c r="W347" s="160"/>
      <c r="X347" s="161"/>
      <c r="Y347" s="20">
        <f t="shared" si="15"/>
        <v>0</v>
      </c>
      <c r="AA347" s="98">
        <f t="shared" si="16"/>
        <v>0</v>
      </c>
      <c r="AB347" s="98">
        <f t="shared" si="17"/>
        <v>0</v>
      </c>
      <c r="AC347" s="110"/>
      <c r="AD347" s="77"/>
      <c r="AE347" s="77"/>
      <c r="AF347" s="75"/>
      <c r="AG347" s="75"/>
      <c r="AH347" s="75"/>
      <c r="AI347" s="75"/>
    </row>
    <row r="348" spans="1:35" ht="22.35" customHeight="1" thickBot="1" x14ac:dyDescent="0.3">
      <c r="A348" s="127"/>
      <c r="B348" s="127"/>
      <c r="C348" s="128"/>
      <c r="D348" s="129"/>
      <c r="E348" s="129"/>
      <c r="F348" s="130"/>
      <c r="G348" s="132"/>
      <c r="H348" s="99"/>
      <c r="I348" s="158"/>
      <c r="J348" s="129"/>
      <c r="K348" s="159"/>
      <c r="L348" s="133"/>
      <c r="M348" s="133"/>
      <c r="N348" s="134"/>
      <c r="O348" s="135"/>
      <c r="P348" s="136"/>
      <c r="Q348" s="137"/>
      <c r="R348" s="138"/>
      <c r="S348" s="144" t="s">
        <v>138</v>
      </c>
      <c r="T348" s="112" t="s">
        <v>506</v>
      </c>
      <c r="U348" s="106"/>
      <c r="V348" s="107">
        <v>34</v>
      </c>
      <c r="W348" s="160"/>
      <c r="X348" s="161"/>
      <c r="Y348" s="20">
        <f t="shared" si="15"/>
        <v>0</v>
      </c>
      <c r="AA348" s="98">
        <f t="shared" si="16"/>
        <v>0</v>
      </c>
      <c r="AB348" s="98">
        <f t="shared" si="17"/>
        <v>0</v>
      </c>
      <c r="AC348" s="110"/>
      <c r="AD348" s="77"/>
      <c r="AE348" s="77"/>
      <c r="AF348" s="75"/>
      <c r="AG348" s="75"/>
      <c r="AH348" s="75"/>
      <c r="AI348" s="75"/>
    </row>
    <row r="349" spans="1:35" ht="22.35" customHeight="1" thickBot="1" x14ac:dyDescent="0.3">
      <c r="A349" s="80"/>
      <c r="B349" s="80"/>
      <c r="F349" s="141"/>
      <c r="H349" s="99"/>
      <c r="I349" s="84"/>
      <c r="K349" s="86"/>
      <c r="L349" s="86"/>
      <c r="M349" s="86"/>
      <c r="O349" s="100"/>
      <c r="P349" s="143"/>
      <c r="Q349" s="102"/>
      <c r="R349" s="103"/>
      <c r="S349" s="144" t="s">
        <v>138</v>
      </c>
      <c r="T349" s="112" t="s">
        <v>506</v>
      </c>
      <c r="U349" s="106"/>
      <c r="V349" s="107">
        <v>34</v>
      </c>
      <c r="W349" s="160"/>
      <c r="X349" s="161"/>
      <c r="Y349" s="20">
        <f t="shared" si="15"/>
        <v>0</v>
      </c>
      <c r="AA349" s="98">
        <f t="shared" si="16"/>
        <v>0</v>
      </c>
      <c r="AB349" s="98">
        <f t="shared" si="17"/>
        <v>0</v>
      </c>
      <c r="AC349" s="110"/>
      <c r="AD349" s="77"/>
      <c r="AE349" s="77"/>
      <c r="AF349" s="75"/>
      <c r="AG349" s="75"/>
      <c r="AH349" s="75"/>
      <c r="AI349" s="75"/>
    </row>
    <row r="350" spans="1:35" ht="22.35" customHeight="1" thickBot="1" x14ac:dyDescent="0.3">
      <c r="A350" s="80"/>
      <c r="B350" s="80"/>
      <c r="F350" s="141"/>
      <c r="H350" s="99"/>
      <c r="I350" s="84"/>
      <c r="K350" s="86"/>
      <c r="L350" s="86"/>
      <c r="M350" s="86"/>
      <c r="O350" s="100"/>
      <c r="P350" s="143"/>
      <c r="Q350" s="90"/>
      <c r="R350" s="91"/>
      <c r="S350" s="144" t="s">
        <v>138</v>
      </c>
      <c r="T350" s="112" t="s">
        <v>506</v>
      </c>
      <c r="U350" s="106"/>
      <c r="V350" s="107">
        <v>34</v>
      </c>
      <c r="W350" s="160"/>
      <c r="X350" s="161"/>
      <c r="Y350" s="20">
        <f t="shared" si="15"/>
        <v>0</v>
      </c>
      <c r="AA350" s="98">
        <f t="shared" si="16"/>
        <v>0</v>
      </c>
      <c r="AB350" s="98">
        <f t="shared" si="17"/>
        <v>0</v>
      </c>
      <c r="AC350" s="110"/>
      <c r="AD350" s="77"/>
      <c r="AE350" s="77"/>
      <c r="AF350" s="75"/>
      <c r="AG350" s="75"/>
      <c r="AH350" s="75"/>
      <c r="AI350" s="75"/>
    </row>
    <row r="351" spans="1:35" ht="22.35" customHeight="1" thickBot="1" x14ac:dyDescent="0.3">
      <c r="A351" s="80"/>
      <c r="B351" s="80"/>
      <c r="F351" s="141"/>
      <c r="H351" s="99"/>
      <c r="I351" s="84"/>
      <c r="K351" s="86"/>
      <c r="L351" s="86"/>
      <c r="M351" s="86"/>
      <c r="O351" s="100"/>
      <c r="P351" s="143"/>
      <c r="Q351" s="90"/>
      <c r="R351" s="91"/>
      <c r="S351" s="144" t="s">
        <v>138</v>
      </c>
      <c r="T351" s="112" t="s">
        <v>506</v>
      </c>
      <c r="U351" s="106"/>
      <c r="V351" s="107">
        <v>34</v>
      </c>
      <c r="W351" s="108"/>
      <c r="X351" s="109"/>
      <c r="Y351" s="20">
        <f t="shared" si="15"/>
        <v>0</v>
      </c>
      <c r="AA351" s="98">
        <f t="shared" si="16"/>
        <v>0</v>
      </c>
      <c r="AB351" s="98">
        <f t="shared" si="17"/>
        <v>0</v>
      </c>
      <c r="AC351" s="110"/>
      <c r="AD351" s="77"/>
      <c r="AE351" s="77"/>
      <c r="AF351" s="75"/>
      <c r="AG351" s="75"/>
      <c r="AH351" s="75"/>
      <c r="AI351" s="75"/>
    </row>
    <row r="352" spans="1:35" ht="22.35" customHeight="1" thickBot="1" x14ac:dyDescent="0.3">
      <c r="A352" s="80"/>
      <c r="B352" s="80"/>
      <c r="F352" s="141"/>
      <c r="H352" s="99"/>
      <c r="I352" s="84"/>
      <c r="K352" s="86"/>
      <c r="L352" s="86"/>
      <c r="M352" s="86"/>
      <c r="O352" s="100"/>
      <c r="P352" s="143"/>
      <c r="Q352" s="90"/>
      <c r="R352" s="91"/>
      <c r="S352" s="144" t="s">
        <v>138</v>
      </c>
      <c r="T352" s="112" t="s">
        <v>506</v>
      </c>
      <c r="U352" s="106"/>
      <c r="V352" s="107">
        <v>34</v>
      </c>
      <c r="W352" s="108"/>
      <c r="X352" s="109"/>
      <c r="Y352" s="20">
        <f t="shared" si="15"/>
        <v>0</v>
      </c>
      <c r="AA352" s="98">
        <f t="shared" si="16"/>
        <v>0</v>
      </c>
      <c r="AB352" s="98">
        <f t="shared" si="17"/>
        <v>0</v>
      </c>
      <c r="AC352" s="110"/>
      <c r="AD352" s="77"/>
      <c r="AE352" s="77"/>
      <c r="AF352" s="75"/>
      <c r="AG352" s="75"/>
      <c r="AH352" s="75"/>
      <c r="AI352" s="75"/>
    </row>
    <row r="353" spans="1:35" ht="22.35" customHeight="1" thickBot="1" x14ac:dyDescent="0.3">
      <c r="A353" s="80"/>
      <c r="B353" s="80"/>
      <c r="F353" s="141"/>
      <c r="H353" s="99"/>
      <c r="I353" s="84"/>
      <c r="K353" s="86"/>
      <c r="L353" s="86"/>
      <c r="M353" s="86"/>
      <c r="O353" s="100"/>
      <c r="P353" s="143"/>
      <c r="Q353" s="90"/>
      <c r="R353" s="91"/>
      <c r="S353" s="144" t="s">
        <v>138</v>
      </c>
      <c r="T353" s="112" t="s">
        <v>506</v>
      </c>
      <c r="U353" s="106"/>
      <c r="V353" s="107">
        <v>34</v>
      </c>
      <c r="W353" s="108"/>
      <c r="X353" s="109"/>
      <c r="Y353" s="20">
        <f t="shared" si="15"/>
        <v>0</v>
      </c>
      <c r="AA353" s="98">
        <f t="shared" si="16"/>
        <v>0</v>
      </c>
      <c r="AB353" s="98">
        <f t="shared" si="17"/>
        <v>0</v>
      </c>
      <c r="AC353" s="110"/>
      <c r="AD353" s="77"/>
      <c r="AE353" s="77"/>
      <c r="AF353" s="75"/>
      <c r="AG353" s="75"/>
      <c r="AH353" s="75"/>
      <c r="AI353" s="75"/>
    </row>
    <row r="354" spans="1:35" ht="22.35" customHeight="1" thickBot="1" x14ac:dyDescent="0.3">
      <c r="A354" s="80"/>
      <c r="B354" s="80"/>
      <c r="F354" s="141"/>
      <c r="H354" s="99"/>
      <c r="I354" s="84"/>
      <c r="K354" s="86"/>
      <c r="L354" s="86"/>
      <c r="M354" s="86"/>
      <c r="O354" s="100"/>
      <c r="P354" s="143"/>
      <c r="Q354" s="90"/>
      <c r="R354" s="91"/>
      <c r="S354" s="144" t="s">
        <v>138</v>
      </c>
      <c r="T354" s="112" t="s">
        <v>506</v>
      </c>
      <c r="U354" s="106"/>
      <c r="V354" s="107">
        <v>34</v>
      </c>
      <c r="W354" s="108"/>
      <c r="X354" s="109"/>
      <c r="Y354" s="20">
        <f t="shared" si="15"/>
        <v>0</v>
      </c>
      <c r="AA354" s="98">
        <f t="shared" si="16"/>
        <v>0</v>
      </c>
      <c r="AB354" s="98">
        <f t="shared" si="17"/>
        <v>0</v>
      </c>
      <c r="AC354" s="110"/>
      <c r="AD354" s="77"/>
      <c r="AE354" s="77"/>
      <c r="AF354" s="75"/>
      <c r="AG354" s="75"/>
      <c r="AH354" s="75"/>
      <c r="AI354" s="75"/>
    </row>
    <row r="355" spans="1:35" ht="22.35" customHeight="1" thickBot="1" x14ac:dyDescent="0.3">
      <c r="A355" s="80"/>
      <c r="B355" s="80"/>
      <c r="F355" s="141"/>
      <c r="H355" s="99"/>
      <c r="I355" s="84"/>
      <c r="K355" s="86"/>
      <c r="L355" s="86"/>
      <c r="M355" s="86"/>
      <c r="O355" s="100"/>
      <c r="P355" s="143"/>
      <c r="Q355" s="90"/>
      <c r="R355" s="91"/>
      <c r="S355" s="144" t="s">
        <v>138</v>
      </c>
      <c r="T355" s="112" t="s">
        <v>506</v>
      </c>
      <c r="U355" s="106"/>
      <c r="V355" s="107">
        <v>34</v>
      </c>
      <c r="W355" s="108"/>
      <c r="X355" s="109"/>
      <c r="Y355" s="20">
        <f t="shared" si="15"/>
        <v>0</v>
      </c>
      <c r="AA355" s="98">
        <f t="shared" si="16"/>
        <v>0</v>
      </c>
      <c r="AB355" s="98">
        <f t="shared" si="17"/>
        <v>0</v>
      </c>
      <c r="AC355" s="110"/>
      <c r="AD355" s="77"/>
      <c r="AE355" s="77"/>
      <c r="AF355" s="75"/>
      <c r="AG355" s="75"/>
      <c r="AH355" s="75"/>
      <c r="AI355" s="75"/>
    </row>
    <row r="356" spans="1:35" ht="22.35" customHeight="1" thickBot="1" x14ac:dyDescent="0.3">
      <c r="A356" s="80"/>
      <c r="B356" s="80"/>
      <c r="F356" s="141"/>
      <c r="H356" s="99"/>
      <c r="I356" s="84"/>
      <c r="K356" s="86"/>
      <c r="L356" s="86"/>
      <c r="M356" s="86"/>
      <c r="O356" s="100"/>
      <c r="P356" s="143"/>
      <c r="Q356" s="90"/>
      <c r="R356" s="91"/>
      <c r="S356" s="144" t="s">
        <v>138</v>
      </c>
      <c r="T356" s="112" t="s">
        <v>506</v>
      </c>
      <c r="U356" s="106"/>
      <c r="V356" s="107">
        <v>34</v>
      </c>
      <c r="W356" s="108"/>
      <c r="X356" s="109"/>
      <c r="Y356" s="20">
        <f t="shared" si="15"/>
        <v>0</v>
      </c>
      <c r="AA356" s="98">
        <f t="shared" si="16"/>
        <v>0</v>
      </c>
      <c r="AB356" s="98">
        <f t="shared" si="17"/>
        <v>0</v>
      </c>
      <c r="AC356" s="110"/>
      <c r="AD356" s="77"/>
      <c r="AE356" s="77"/>
      <c r="AF356" s="75"/>
      <c r="AG356" s="75"/>
      <c r="AH356" s="75"/>
      <c r="AI356" s="75"/>
    </row>
    <row r="357" spans="1:35" ht="22.35" customHeight="1" thickBot="1" x14ac:dyDescent="0.3">
      <c r="A357" s="80"/>
      <c r="B357" s="80"/>
      <c r="F357" s="141"/>
      <c r="H357" s="99"/>
      <c r="I357" s="84"/>
      <c r="K357" s="86"/>
      <c r="L357" s="86"/>
      <c r="M357" s="86"/>
      <c r="O357" s="100"/>
      <c r="P357" s="143"/>
      <c r="Q357" s="90"/>
      <c r="R357" s="91"/>
      <c r="S357" s="144" t="s">
        <v>138</v>
      </c>
      <c r="T357" s="112" t="s">
        <v>506</v>
      </c>
      <c r="U357" s="106"/>
      <c r="V357" s="107">
        <v>34</v>
      </c>
      <c r="W357" s="108"/>
      <c r="X357" s="109"/>
      <c r="Y357" s="20">
        <f t="shared" si="15"/>
        <v>0</v>
      </c>
      <c r="AA357" s="98">
        <f t="shared" si="16"/>
        <v>0</v>
      </c>
      <c r="AB357" s="98">
        <f t="shared" si="17"/>
        <v>0</v>
      </c>
      <c r="AC357" s="110"/>
      <c r="AD357" s="77"/>
      <c r="AE357" s="77"/>
      <c r="AF357" s="75"/>
      <c r="AG357" s="75"/>
      <c r="AH357" s="75"/>
      <c r="AI357" s="75"/>
    </row>
    <row r="358" spans="1:35" ht="22.35" customHeight="1" thickBot="1" x14ac:dyDescent="0.3">
      <c r="A358" s="80"/>
      <c r="B358" s="80"/>
      <c r="F358" s="141"/>
      <c r="H358" s="99"/>
      <c r="I358" s="84"/>
      <c r="K358" s="86"/>
      <c r="L358" s="86"/>
      <c r="M358" s="86"/>
      <c r="O358" s="100"/>
      <c r="P358" s="143"/>
      <c r="Q358" s="90"/>
      <c r="R358" s="91"/>
      <c r="S358" s="144" t="s">
        <v>138</v>
      </c>
      <c r="T358" s="112" t="s">
        <v>506</v>
      </c>
      <c r="U358" s="106"/>
      <c r="V358" s="107">
        <v>34</v>
      </c>
      <c r="W358" s="108"/>
      <c r="X358" s="109"/>
      <c r="Y358" s="20">
        <f t="shared" si="15"/>
        <v>0</v>
      </c>
      <c r="AA358" s="98">
        <f t="shared" si="16"/>
        <v>0</v>
      </c>
      <c r="AB358" s="98">
        <f t="shared" si="17"/>
        <v>0</v>
      </c>
      <c r="AC358" s="110"/>
      <c r="AD358" s="77"/>
      <c r="AE358" s="77"/>
      <c r="AF358" s="75"/>
      <c r="AG358" s="75"/>
      <c r="AH358" s="75"/>
      <c r="AI358" s="75"/>
    </row>
    <row r="359" spans="1:35" ht="22.35" customHeight="1" thickBot="1" x14ac:dyDescent="0.3">
      <c r="A359" s="80"/>
      <c r="B359" s="80"/>
      <c r="F359" s="141"/>
      <c r="H359" s="99"/>
      <c r="I359" s="84"/>
      <c r="K359" s="86"/>
      <c r="L359" s="86"/>
      <c r="M359" s="86"/>
      <c r="O359" s="100"/>
      <c r="P359" s="143"/>
      <c r="Q359" s="90"/>
      <c r="R359" s="91"/>
      <c r="S359" s="144" t="s">
        <v>138</v>
      </c>
      <c r="T359" s="112" t="s">
        <v>506</v>
      </c>
      <c r="U359" s="106"/>
      <c r="V359" s="107">
        <v>34</v>
      </c>
      <c r="W359" s="108"/>
      <c r="X359" s="109"/>
      <c r="Y359" s="20">
        <f t="shared" si="15"/>
        <v>0</v>
      </c>
      <c r="AA359" s="98">
        <f t="shared" si="16"/>
        <v>0</v>
      </c>
      <c r="AB359" s="98">
        <f t="shared" si="17"/>
        <v>0</v>
      </c>
      <c r="AC359" s="110"/>
      <c r="AD359" s="77"/>
      <c r="AE359" s="77"/>
      <c r="AF359" s="75"/>
      <c r="AG359" s="75"/>
      <c r="AH359" s="75"/>
      <c r="AI359" s="75"/>
    </row>
    <row r="360" spans="1:35" ht="22.35" customHeight="1" thickBot="1" x14ac:dyDescent="0.3">
      <c r="A360" s="80"/>
      <c r="B360" s="80"/>
      <c r="F360" s="141"/>
      <c r="H360" s="99"/>
      <c r="I360" s="84"/>
      <c r="K360" s="86"/>
      <c r="L360" s="86"/>
      <c r="M360" s="86"/>
      <c r="O360" s="100"/>
      <c r="P360" s="143"/>
      <c r="Q360" s="90"/>
      <c r="R360" s="91"/>
      <c r="S360" s="144" t="s">
        <v>138</v>
      </c>
      <c r="T360" s="112" t="s">
        <v>506</v>
      </c>
      <c r="U360" s="106"/>
      <c r="V360" s="107">
        <v>34</v>
      </c>
      <c r="W360" s="108"/>
      <c r="X360" s="109"/>
      <c r="Y360" s="20">
        <f t="shared" si="15"/>
        <v>0</v>
      </c>
      <c r="AA360" s="98">
        <f t="shared" si="16"/>
        <v>0</v>
      </c>
      <c r="AB360" s="98">
        <f t="shared" si="17"/>
        <v>0</v>
      </c>
      <c r="AC360" s="110"/>
      <c r="AD360" s="77"/>
      <c r="AE360" s="77"/>
      <c r="AF360" s="75"/>
      <c r="AG360" s="75"/>
      <c r="AH360" s="75"/>
      <c r="AI360" s="75"/>
    </row>
    <row r="361" spans="1:35" ht="22.35" customHeight="1" thickBot="1" x14ac:dyDescent="0.3">
      <c r="A361" s="80"/>
      <c r="B361" s="80"/>
      <c r="F361" s="141"/>
      <c r="H361" s="99"/>
      <c r="I361" s="84"/>
      <c r="K361" s="86"/>
      <c r="L361" s="86"/>
      <c r="M361" s="86"/>
      <c r="O361" s="100"/>
      <c r="P361" s="143"/>
      <c r="Q361" s="90"/>
      <c r="R361" s="91"/>
      <c r="S361" s="144" t="s">
        <v>138</v>
      </c>
      <c r="T361" s="112" t="s">
        <v>506</v>
      </c>
      <c r="U361" s="106"/>
      <c r="V361" s="107">
        <v>34</v>
      </c>
      <c r="W361" s="160"/>
      <c r="X361" s="161"/>
      <c r="Y361" s="20">
        <f t="shared" si="15"/>
        <v>0</v>
      </c>
      <c r="AA361" s="98">
        <f t="shared" si="16"/>
        <v>0</v>
      </c>
      <c r="AB361" s="98">
        <f t="shared" si="17"/>
        <v>0</v>
      </c>
      <c r="AC361" s="110"/>
      <c r="AD361" s="77"/>
      <c r="AE361" s="77"/>
      <c r="AF361" s="75"/>
      <c r="AG361" s="75"/>
      <c r="AH361" s="75"/>
      <c r="AI361" s="75"/>
    </row>
    <row r="362" spans="1:35" ht="22.35" customHeight="1" thickBot="1" x14ac:dyDescent="0.3">
      <c r="A362" s="80"/>
      <c r="B362" s="80"/>
      <c r="F362" s="141"/>
      <c r="H362" s="99"/>
      <c r="I362" s="84"/>
      <c r="K362" s="86"/>
      <c r="L362" s="86"/>
      <c r="M362" s="86"/>
      <c r="O362" s="100"/>
      <c r="P362" s="143"/>
      <c r="Q362" s="90"/>
      <c r="R362" s="91"/>
      <c r="S362" s="144" t="s">
        <v>138</v>
      </c>
      <c r="T362" s="112" t="s">
        <v>506</v>
      </c>
      <c r="U362" s="106"/>
      <c r="V362" s="107">
        <v>34</v>
      </c>
      <c r="W362" s="160"/>
      <c r="X362" s="161"/>
      <c r="Y362" s="20">
        <f t="shared" si="15"/>
        <v>0</v>
      </c>
      <c r="AA362" s="98">
        <f t="shared" si="16"/>
        <v>0</v>
      </c>
      <c r="AB362" s="98">
        <f t="shared" si="17"/>
        <v>0</v>
      </c>
      <c r="AC362" s="110"/>
      <c r="AD362" s="77"/>
      <c r="AE362" s="77"/>
      <c r="AF362" s="75"/>
      <c r="AG362" s="75"/>
      <c r="AH362" s="75"/>
      <c r="AI362" s="75"/>
    </row>
    <row r="363" spans="1:35" ht="22.35" customHeight="1" thickBot="1" x14ac:dyDescent="0.3">
      <c r="A363" s="252"/>
      <c r="B363" s="252"/>
      <c r="C363" s="253"/>
      <c r="D363" s="254"/>
      <c r="E363" s="254"/>
      <c r="F363" s="195"/>
      <c r="G363" s="196"/>
      <c r="H363" s="255"/>
      <c r="I363" s="256"/>
      <c r="J363" s="257"/>
      <c r="K363" s="258"/>
      <c r="L363" s="258"/>
      <c r="M363" s="258"/>
      <c r="N363" s="228"/>
      <c r="O363" s="200"/>
      <c r="P363" s="202"/>
      <c r="Q363" s="259"/>
      <c r="R363" s="260"/>
      <c r="S363" s="155" t="s">
        <v>138</v>
      </c>
      <c r="T363" s="124" t="s">
        <v>506</v>
      </c>
      <c r="U363" s="125"/>
      <c r="V363" s="126">
        <v>34</v>
      </c>
      <c r="W363" s="261"/>
      <c r="X363" s="262"/>
      <c r="Y363" s="20">
        <f t="shared" si="15"/>
        <v>0</v>
      </c>
      <c r="AA363" s="98">
        <f t="shared" si="16"/>
        <v>0</v>
      </c>
      <c r="AB363" s="98">
        <f t="shared" si="17"/>
        <v>0</v>
      </c>
      <c r="AC363" s="110"/>
      <c r="AD363" s="77"/>
      <c r="AE363" s="77"/>
      <c r="AF363" s="75"/>
      <c r="AG363" s="75"/>
      <c r="AH363" s="75"/>
      <c r="AI363" s="75"/>
    </row>
    <row r="364" spans="1:35" ht="22.35" customHeight="1" thickBot="1" x14ac:dyDescent="0.3">
      <c r="A364" s="263"/>
      <c r="B364" s="263"/>
      <c r="C364" s="264"/>
      <c r="D364" s="265" t="s">
        <v>576</v>
      </c>
      <c r="E364" s="266"/>
      <c r="F364" s="267"/>
      <c r="G364" s="268"/>
      <c r="H364" s="269"/>
      <c r="I364" s="268"/>
      <c r="J364" s="266"/>
      <c r="K364" s="270"/>
      <c r="L364" s="270"/>
      <c r="M364" s="270"/>
      <c r="N364" s="271"/>
      <c r="O364" s="271"/>
      <c r="P364" s="271"/>
      <c r="Q364" s="271"/>
      <c r="R364" s="272"/>
      <c r="S364" s="310"/>
      <c r="T364" s="187" t="s">
        <v>296</v>
      </c>
      <c r="U364" s="268"/>
      <c r="V364" s="273"/>
      <c r="W364" s="268"/>
      <c r="X364" s="274"/>
      <c r="Y364" s="20">
        <f t="shared" si="15"/>
        <v>0</v>
      </c>
      <c r="AA364" s="98">
        <f t="shared" si="16"/>
        <v>0</v>
      </c>
      <c r="AB364" s="98">
        <f t="shared" si="17"/>
        <v>0</v>
      </c>
    </row>
    <row r="365" spans="1:35" ht="22.35" customHeight="1" thickBot="1" x14ac:dyDescent="0.3">
      <c r="A365" s="80" t="s">
        <v>449</v>
      </c>
      <c r="B365" s="80" t="s">
        <v>577</v>
      </c>
      <c r="C365" s="81">
        <v>18</v>
      </c>
      <c r="D365" s="23" t="s">
        <v>578</v>
      </c>
      <c r="E365" s="23" t="s">
        <v>579</v>
      </c>
      <c r="F365" s="141" t="s">
        <v>580</v>
      </c>
      <c r="G365" s="21" t="s">
        <v>89</v>
      </c>
      <c r="H365" s="246">
        <v>13.5</v>
      </c>
      <c r="I365" s="84">
        <v>12.940480000000001</v>
      </c>
      <c r="J365" s="23" t="s">
        <v>581</v>
      </c>
      <c r="K365" s="86" t="s">
        <v>582</v>
      </c>
      <c r="L365" s="86">
        <v>1</v>
      </c>
      <c r="M365" s="86"/>
      <c r="O365" s="88"/>
      <c r="P365" s="136">
        <v>1</v>
      </c>
      <c r="Q365" s="90">
        <v>1</v>
      </c>
      <c r="R365" s="91" t="s">
        <v>583</v>
      </c>
      <c r="S365" s="139" t="s">
        <v>584</v>
      </c>
      <c r="T365" s="140" t="s">
        <v>296</v>
      </c>
      <c r="U365" s="94"/>
      <c r="V365" s="95">
        <v>35</v>
      </c>
      <c r="W365" s="96"/>
      <c r="X365" s="97" t="s">
        <v>45</v>
      </c>
      <c r="Y365" s="20">
        <f t="shared" si="15"/>
        <v>1</v>
      </c>
      <c r="AA365" s="98">
        <f t="shared" si="16"/>
        <v>0.55951999999999913</v>
      </c>
      <c r="AB365" s="98" t="e">
        <f t="shared" si="17"/>
        <v>#VALUE!</v>
      </c>
    </row>
    <row r="366" spans="1:35" ht="22.35" customHeight="1" thickBot="1" x14ac:dyDescent="0.3">
      <c r="A366" s="80" t="s">
        <v>255</v>
      </c>
      <c r="B366" s="80" t="s">
        <v>585</v>
      </c>
      <c r="C366" s="81">
        <v>16</v>
      </c>
      <c r="D366" s="23" t="s">
        <v>586</v>
      </c>
      <c r="E366" s="23" t="s">
        <v>587</v>
      </c>
      <c r="F366" s="141" t="s">
        <v>242</v>
      </c>
      <c r="G366" s="21" t="s">
        <v>89</v>
      </c>
      <c r="H366" s="191">
        <v>12.9</v>
      </c>
      <c r="I366" s="84">
        <v>12.42976</v>
      </c>
      <c r="J366" s="23" t="s">
        <v>588</v>
      </c>
      <c r="K366" s="86" t="s">
        <v>589</v>
      </c>
      <c r="L366" s="86">
        <v>1</v>
      </c>
      <c r="M366" s="86"/>
      <c r="O366" s="100"/>
      <c r="P366" s="143">
        <v>1</v>
      </c>
      <c r="Q366" s="102">
        <v>1</v>
      </c>
      <c r="R366" s="103" t="s">
        <v>590</v>
      </c>
      <c r="S366" s="144" t="s">
        <v>584</v>
      </c>
      <c r="T366" s="112" t="s">
        <v>296</v>
      </c>
      <c r="U366" s="106"/>
      <c r="V366" s="107">
        <v>35</v>
      </c>
      <c r="W366" s="108"/>
      <c r="X366" s="109" t="s">
        <v>50</v>
      </c>
      <c r="Y366" s="20">
        <f t="shared" si="15"/>
        <v>1</v>
      </c>
      <c r="AA366" s="98">
        <f t="shared" si="16"/>
        <v>0.47024000000000044</v>
      </c>
      <c r="AB366" s="98" t="e">
        <f t="shared" si="17"/>
        <v>#VALUE!</v>
      </c>
    </row>
    <row r="367" spans="1:35" ht="22.35" customHeight="1" thickBot="1" x14ac:dyDescent="0.3">
      <c r="A367" s="80" t="s">
        <v>381</v>
      </c>
      <c r="B367" s="80" t="s">
        <v>591</v>
      </c>
      <c r="C367" s="81">
        <v>15</v>
      </c>
      <c r="D367" s="23" t="s">
        <v>592</v>
      </c>
      <c r="E367" s="23" t="s">
        <v>593</v>
      </c>
      <c r="F367" s="141" t="s">
        <v>594</v>
      </c>
      <c r="G367" s="21" t="s">
        <v>89</v>
      </c>
      <c r="H367" s="191">
        <v>12.9</v>
      </c>
      <c r="I367" s="84">
        <v>12.6896</v>
      </c>
      <c r="J367" s="23" t="s">
        <v>109</v>
      </c>
      <c r="K367" s="86" t="s">
        <v>595</v>
      </c>
      <c r="L367" s="86">
        <v>1</v>
      </c>
      <c r="M367" s="86"/>
      <c r="O367" s="100"/>
      <c r="P367" s="143">
        <v>1</v>
      </c>
      <c r="Q367" s="102">
        <v>1</v>
      </c>
      <c r="R367" s="103" t="s">
        <v>596</v>
      </c>
      <c r="S367" s="144" t="s">
        <v>584</v>
      </c>
      <c r="T367" s="112" t="s">
        <v>296</v>
      </c>
      <c r="U367" s="106"/>
      <c r="V367" s="107">
        <v>35</v>
      </c>
      <c r="W367" s="108"/>
      <c r="X367" s="109" t="s">
        <v>55</v>
      </c>
      <c r="Y367" s="20">
        <f t="shared" si="15"/>
        <v>1</v>
      </c>
      <c r="AA367" s="98">
        <f t="shared" si="16"/>
        <v>0.21039999999999992</v>
      </c>
      <c r="AB367" s="98" t="e">
        <f t="shared" si="17"/>
        <v>#VALUE!</v>
      </c>
    </row>
    <row r="368" spans="1:35" ht="22.35" customHeight="1" thickBot="1" x14ac:dyDescent="0.3">
      <c r="A368" s="80" t="s">
        <v>381</v>
      </c>
      <c r="B368" s="80" t="s">
        <v>597</v>
      </c>
      <c r="C368" s="81">
        <v>14</v>
      </c>
      <c r="D368" s="23" t="s">
        <v>598</v>
      </c>
      <c r="E368" s="23" t="s">
        <v>593</v>
      </c>
      <c r="F368" s="141" t="s">
        <v>599</v>
      </c>
      <c r="G368" s="21" t="s">
        <v>89</v>
      </c>
      <c r="H368" s="191">
        <v>22.9</v>
      </c>
      <c r="I368" s="84">
        <v>21.28</v>
      </c>
      <c r="J368" s="23" t="s">
        <v>109</v>
      </c>
      <c r="K368" s="86" t="s">
        <v>600</v>
      </c>
      <c r="L368" s="86">
        <v>1</v>
      </c>
      <c r="M368" s="86"/>
      <c r="O368" s="100"/>
      <c r="P368" s="143">
        <v>1</v>
      </c>
      <c r="Q368" s="102">
        <v>1</v>
      </c>
      <c r="R368" s="103" t="s">
        <v>448</v>
      </c>
      <c r="S368" s="144" t="s">
        <v>584</v>
      </c>
      <c r="T368" s="112" t="s">
        <v>296</v>
      </c>
      <c r="U368" s="106"/>
      <c r="V368" s="107">
        <v>35</v>
      </c>
      <c r="W368" s="108"/>
      <c r="X368" s="109" t="s">
        <v>59</v>
      </c>
      <c r="Y368" s="20">
        <f t="shared" si="15"/>
        <v>1</v>
      </c>
      <c r="AA368" s="98">
        <f t="shared" si="16"/>
        <v>1.6199999999999974</v>
      </c>
      <c r="AB368" s="98" t="e">
        <f t="shared" si="17"/>
        <v>#VALUE!</v>
      </c>
    </row>
    <row r="369" spans="1:28" ht="22.35" customHeight="1" thickBot="1" x14ac:dyDescent="0.3">
      <c r="A369" s="80" t="s">
        <v>478</v>
      </c>
      <c r="B369" s="80" t="s">
        <v>601</v>
      </c>
      <c r="C369" s="81">
        <v>12</v>
      </c>
      <c r="D369" s="23" t="s">
        <v>602</v>
      </c>
      <c r="E369" s="23" t="s">
        <v>603</v>
      </c>
      <c r="F369" s="141" t="s">
        <v>185</v>
      </c>
      <c r="G369" s="21" t="s">
        <v>89</v>
      </c>
      <c r="H369" s="191">
        <v>25.9</v>
      </c>
      <c r="I369" s="84">
        <v>25.2</v>
      </c>
      <c r="J369" s="23" t="s">
        <v>604</v>
      </c>
      <c r="K369" s="86" t="s">
        <v>605</v>
      </c>
      <c r="L369" s="86">
        <v>1</v>
      </c>
      <c r="M369" s="86"/>
      <c r="O369" s="299"/>
      <c r="P369" s="300">
        <v>1</v>
      </c>
      <c r="Q369" s="301">
        <v>1</v>
      </c>
      <c r="R369" s="146" t="s">
        <v>606</v>
      </c>
      <c r="S369" s="302" t="s">
        <v>584</v>
      </c>
      <c r="T369" s="112" t="s">
        <v>296</v>
      </c>
      <c r="U369" s="304"/>
      <c r="V369" s="107">
        <v>35</v>
      </c>
      <c r="W369" s="108"/>
      <c r="X369" s="109" t="s">
        <v>63</v>
      </c>
      <c r="Y369" s="20">
        <f t="shared" si="15"/>
        <v>1</v>
      </c>
      <c r="AA369" s="98">
        <f t="shared" si="16"/>
        <v>0.69999999999999929</v>
      </c>
      <c r="AB369" s="98" t="e">
        <f t="shared" si="17"/>
        <v>#VALUE!</v>
      </c>
    </row>
    <row r="370" spans="1:28" ht="22.35" customHeight="1" thickBot="1" x14ac:dyDescent="0.3">
      <c r="A370" s="80" t="s">
        <v>607</v>
      </c>
      <c r="B370" s="80" t="s">
        <v>608</v>
      </c>
      <c r="C370" s="81">
        <v>15</v>
      </c>
      <c r="D370" s="23" t="s">
        <v>609</v>
      </c>
      <c r="E370" s="23" t="s">
        <v>610</v>
      </c>
      <c r="F370" s="141" t="s">
        <v>611</v>
      </c>
      <c r="G370" s="21" t="s">
        <v>108</v>
      </c>
      <c r="H370" s="191">
        <v>49.9</v>
      </c>
      <c r="I370" s="84">
        <v>49.17024</v>
      </c>
      <c r="J370" s="23" t="s">
        <v>612</v>
      </c>
      <c r="K370" s="86" t="s">
        <v>613</v>
      </c>
      <c r="L370" s="86">
        <v>1</v>
      </c>
      <c r="M370" s="86"/>
      <c r="O370" s="100"/>
      <c r="P370" s="102">
        <v>1</v>
      </c>
      <c r="Q370" s="102">
        <v>1</v>
      </c>
      <c r="R370" s="311" t="s">
        <v>614</v>
      </c>
      <c r="S370" s="312" t="s">
        <v>584</v>
      </c>
      <c r="T370" s="112" t="s">
        <v>296</v>
      </c>
      <c r="U370" s="313"/>
      <c r="V370" s="107">
        <v>35</v>
      </c>
      <c r="W370" s="108"/>
      <c r="X370" s="109" t="s">
        <v>66</v>
      </c>
      <c r="Y370" s="20">
        <f t="shared" si="15"/>
        <v>1</v>
      </c>
      <c r="AA370" s="98">
        <f t="shared" si="16"/>
        <v>0.72975999999999885</v>
      </c>
      <c r="AB370" s="98" t="e">
        <f t="shared" si="17"/>
        <v>#VALUE!</v>
      </c>
    </row>
    <row r="371" spans="1:28" ht="22.35" customHeight="1" thickBot="1" x14ac:dyDescent="0.3">
      <c r="A371" s="80" t="s">
        <v>255</v>
      </c>
      <c r="B371" s="80" t="s">
        <v>615</v>
      </c>
      <c r="C371" s="81">
        <v>20</v>
      </c>
      <c r="D371" s="23" t="s">
        <v>616</v>
      </c>
      <c r="E371" s="23" t="s">
        <v>617</v>
      </c>
      <c r="F371" s="141" t="s">
        <v>86</v>
      </c>
      <c r="G371" s="21">
        <v>1</v>
      </c>
      <c r="H371" s="191">
        <v>14.5</v>
      </c>
      <c r="I371" s="84">
        <v>14.01008</v>
      </c>
      <c r="J371" s="23" t="s">
        <v>618</v>
      </c>
      <c r="K371" s="86" t="s">
        <v>619</v>
      </c>
      <c r="L371" s="86">
        <v>1</v>
      </c>
      <c r="M371" s="86"/>
      <c r="O371" s="100"/>
      <c r="P371" s="102">
        <v>1</v>
      </c>
      <c r="Q371" s="102">
        <v>1</v>
      </c>
      <c r="R371" s="311" t="s">
        <v>620</v>
      </c>
      <c r="S371" s="312" t="s">
        <v>621</v>
      </c>
      <c r="T371" s="314" t="s">
        <v>296</v>
      </c>
      <c r="U371" s="313"/>
      <c r="V371" s="107">
        <v>35</v>
      </c>
      <c r="W371" s="108"/>
      <c r="X371" s="109" t="s">
        <v>179</v>
      </c>
      <c r="Y371" s="20">
        <f t="shared" si="15"/>
        <v>1</v>
      </c>
      <c r="AA371" s="98">
        <f t="shared" si="16"/>
        <v>0.48991999999999969</v>
      </c>
      <c r="AB371" s="98" t="e">
        <f t="shared" si="17"/>
        <v>#VALUE!</v>
      </c>
    </row>
    <row r="372" spans="1:28" ht="22.35" customHeight="1" thickBot="1" x14ac:dyDescent="0.3">
      <c r="A372" s="80" t="s">
        <v>255</v>
      </c>
      <c r="B372" s="80" t="s">
        <v>622</v>
      </c>
      <c r="C372" s="81">
        <v>15</v>
      </c>
      <c r="D372" s="23" t="s">
        <v>623</v>
      </c>
      <c r="E372" s="23" t="s">
        <v>624</v>
      </c>
      <c r="F372" s="141" t="s">
        <v>185</v>
      </c>
      <c r="G372" s="21">
        <v>1</v>
      </c>
      <c r="H372" s="191">
        <v>19.899999999999999</v>
      </c>
      <c r="I372" s="84">
        <v>18.899999999999999</v>
      </c>
      <c r="J372" s="23" t="s">
        <v>618</v>
      </c>
      <c r="K372" s="86" t="s">
        <v>625</v>
      </c>
      <c r="L372" s="86">
        <v>1</v>
      </c>
      <c r="M372" s="86"/>
      <c r="O372" s="88"/>
      <c r="P372" s="136">
        <v>1</v>
      </c>
      <c r="Q372" s="90">
        <v>1</v>
      </c>
      <c r="R372" s="91" t="s">
        <v>626</v>
      </c>
      <c r="S372" s="139" t="s">
        <v>621</v>
      </c>
      <c r="T372" s="140" t="s">
        <v>296</v>
      </c>
      <c r="U372" s="94"/>
      <c r="V372" s="107">
        <v>35</v>
      </c>
      <c r="W372" s="108"/>
      <c r="X372" s="109" t="s">
        <v>70</v>
      </c>
      <c r="Y372" s="20">
        <f t="shared" si="15"/>
        <v>1</v>
      </c>
      <c r="AA372" s="98">
        <f t="shared" si="16"/>
        <v>1</v>
      </c>
      <c r="AB372" s="98" t="e">
        <f t="shared" si="17"/>
        <v>#VALUE!</v>
      </c>
    </row>
    <row r="373" spans="1:28" ht="22.35" customHeight="1" thickBot="1" x14ac:dyDescent="0.3">
      <c r="A373" s="80" t="s">
        <v>328</v>
      </c>
      <c r="B373" s="80" t="s">
        <v>627</v>
      </c>
      <c r="C373" s="81">
        <v>12</v>
      </c>
      <c r="D373" s="23" t="s">
        <v>628</v>
      </c>
      <c r="E373" s="23" t="s">
        <v>629</v>
      </c>
      <c r="F373" s="141" t="s">
        <v>65</v>
      </c>
      <c r="G373" s="21">
        <v>1</v>
      </c>
      <c r="H373" s="191">
        <v>24.9</v>
      </c>
      <c r="I373" s="84">
        <v>22.19952</v>
      </c>
      <c r="J373" s="23" t="s">
        <v>630</v>
      </c>
      <c r="K373" s="86" t="s">
        <v>631</v>
      </c>
      <c r="L373" s="86">
        <v>1</v>
      </c>
      <c r="M373" s="86"/>
      <c r="O373" s="100"/>
      <c r="P373" s="143">
        <v>1</v>
      </c>
      <c r="Q373" s="102">
        <v>1</v>
      </c>
      <c r="R373" s="103" t="s">
        <v>632</v>
      </c>
      <c r="S373" s="144" t="s">
        <v>621</v>
      </c>
      <c r="T373" s="112" t="s">
        <v>296</v>
      </c>
      <c r="U373" s="106"/>
      <c r="V373" s="107">
        <v>35</v>
      </c>
      <c r="W373" s="108"/>
      <c r="X373" s="109" t="s">
        <v>117</v>
      </c>
      <c r="Y373" s="20">
        <f t="shared" si="15"/>
        <v>1</v>
      </c>
      <c r="AA373" s="98">
        <f t="shared" si="16"/>
        <v>2.7004799999999989</v>
      </c>
      <c r="AB373" s="98" t="e">
        <f t="shared" si="17"/>
        <v>#VALUE!</v>
      </c>
    </row>
    <row r="374" spans="1:28" ht="22.35" customHeight="1" thickBot="1" x14ac:dyDescent="0.3">
      <c r="A374" s="80" t="s">
        <v>328</v>
      </c>
      <c r="B374" s="80" t="s">
        <v>633</v>
      </c>
      <c r="C374" s="81">
        <v>12</v>
      </c>
      <c r="D374" s="23" t="s">
        <v>628</v>
      </c>
      <c r="E374" s="23" t="s">
        <v>629</v>
      </c>
      <c r="F374" s="141" t="s">
        <v>634</v>
      </c>
      <c r="G374" s="21">
        <v>1</v>
      </c>
      <c r="H374" s="191">
        <v>13.5</v>
      </c>
      <c r="I374" s="84">
        <v>11.99968</v>
      </c>
      <c r="J374" s="23" t="s">
        <v>630</v>
      </c>
      <c r="K374" s="86" t="s">
        <v>635</v>
      </c>
      <c r="L374" s="86">
        <v>1</v>
      </c>
      <c r="M374" s="86"/>
      <c r="O374" s="100"/>
      <c r="P374" s="143">
        <v>1</v>
      </c>
      <c r="Q374" s="102">
        <v>1</v>
      </c>
      <c r="R374" s="103" t="s">
        <v>388</v>
      </c>
      <c r="S374" s="144" t="s">
        <v>621</v>
      </c>
      <c r="T374" s="112" t="s">
        <v>296</v>
      </c>
      <c r="U374" s="106"/>
      <c r="V374" s="107">
        <v>35</v>
      </c>
      <c r="W374" s="108"/>
      <c r="X374" s="109" t="s">
        <v>199</v>
      </c>
      <c r="Y374" s="20">
        <f t="shared" si="15"/>
        <v>1</v>
      </c>
      <c r="AA374" s="98">
        <f t="shared" si="16"/>
        <v>1.5003200000000003</v>
      </c>
      <c r="AB374" s="98" t="e">
        <f t="shared" si="17"/>
        <v>#VALUE!</v>
      </c>
    </row>
    <row r="375" spans="1:28" ht="22.35" customHeight="1" thickBot="1" x14ac:dyDescent="0.3">
      <c r="A375" s="80" t="s">
        <v>328</v>
      </c>
      <c r="B375" s="80" t="s">
        <v>636</v>
      </c>
      <c r="C375" s="81">
        <v>30</v>
      </c>
      <c r="D375" s="23" t="s">
        <v>637</v>
      </c>
      <c r="E375" s="23" t="s">
        <v>638</v>
      </c>
      <c r="F375" s="141" t="s">
        <v>86</v>
      </c>
      <c r="G375" s="21">
        <v>1</v>
      </c>
      <c r="H375" s="191">
        <v>9.5</v>
      </c>
      <c r="I375" s="84">
        <v>9.3800000000000008</v>
      </c>
      <c r="J375" s="23" t="s">
        <v>639</v>
      </c>
      <c r="K375" s="86" t="s">
        <v>640</v>
      </c>
      <c r="L375" s="86">
        <v>1</v>
      </c>
      <c r="M375" s="86"/>
      <c r="O375" s="100"/>
      <c r="P375" s="143">
        <v>1</v>
      </c>
      <c r="Q375" s="102">
        <v>1</v>
      </c>
      <c r="R375" s="103" t="s">
        <v>641</v>
      </c>
      <c r="S375" s="144" t="s">
        <v>621</v>
      </c>
      <c r="T375" s="112" t="s">
        <v>296</v>
      </c>
      <c r="U375" s="106"/>
      <c r="V375" s="107">
        <v>35</v>
      </c>
      <c r="W375" s="108"/>
      <c r="X375" s="109" t="s">
        <v>205</v>
      </c>
      <c r="Y375" s="20">
        <f t="shared" si="15"/>
        <v>1</v>
      </c>
      <c r="AA375" s="98">
        <f t="shared" si="16"/>
        <v>0.11999999999999922</v>
      </c>
      <c r="AB375" s="98" t="e">
        <f t="shared" si="17"/>
        <v>#VALUE!</v>
      </c>
    </row>
    <row r="376" spans="1:28" ht="22.35" customHeight="1" thickBot="1" x14ac:dyDescent="0.3">
      <c r="A376" s="209" t="s">
        <v>328</v>
      </c>
      <c r="B376" s="209" t="s">
        <v>642</v>
      </c>
      <c r="C376" s="210">
        <v>15</v>
      </c>
      <c r="D376" s="211" t="s">
        <v>643</v>
      </c>
      <c r="E376" s="211" t="s">
        <v>638</v>
      </c>
      <c r="F376" s="236" t="s">
        <v>185</v>
      </c>
      <c r="G376" s="213">
        <v>1</v>
      </c>
      <c r="H376" s="191">
        <v>17.899999999999999</v>
      </c>
      <c r="I376" s="238">
        <v>17.81024</v>
      </c>
      <c r="J376" s="211" t="s">
        <v>639</v>
      </c>
      <c r="K376" s="215" t="s">
        <v>644</v>
      </c>
      <c r="L376" s="215">
        <v>1</v>
      </c>
      <c r="M376" s="215"/>
      <c r="N376" s="216"/>
      <c r="O376" s="239"/>
      <c r="P376" s="240">
        <v>1</v>
      </c>
      <c r="Q376" s="154">
        <v>1</v>
      </c>
      <c r="R376" s="241" t="s">
        <v>645</v>
      </c>
      <c r="S376" s="242" t="s">
        <v>621</v>
      </c>
      <c r="T376" s="243" t="s">
        <v>296</v>
      </c>
      <c r="U376" s="244"/>
      <c r="V376" s="233">
        <v>35</v>
      </c>
      <c r="W376" s="108"/>
      <c r="X376" s="109" t="s">
        <v>209</v>
      </c>
      <c r="Y376" s="20">
        <f t="shared" si="15"/>
        <v>1</v>
      </c>
      <c r="AA376" s="98">
        <f t="shared" si="16"/>
        <v>8.9759999999998286E-2</v>
      </c>
      <c r="AB376" s="98" t="e">
        <f t="shared" si="17"/>
        <v>#VALUE!</v>
      </c>
    </row>
    <row r="377" spans="1:28" ht="22.35" customHeight="1" thickBot="1" x14ac:dyDescent="0.3">
      <c r="A377" s="209"/>
      <c r="B377" s="209">
        <v>8412600037461</v>
      </c>
      <c r="C377" s="193">
        <v>18</v>
      </c>
      <c r="D377" s="194" t="s">
        <v>646</v>
      </c>
      <c r="E377" s="194" t="s">
        <v>647</v>
      </c>
      <c r="F377" s="227" t="s">
        <v>86</v>
      </c>
      <c r="G377" s="196" t="s">
        <v>89</v>
      </c>
      <c r="H377" s="191">
        <v>35.9</v>
      </c>
      <c r="I377" s="196">
        <v>32.869999999999997</v>
      </c>
      <c r="J377" s="194" t="s">
        <v>648</v>
      </c>
      <c r="K377" s="198">
        <v>4101801</v>
      </c>
      <c r="L377" s="198">
        <v>4</v>
      </c>
      <c r="M377" s="198"/>
      <c r="N377" s="228">
        <v>0</v>
      </c>
      <c r="O377" s="229">
        <v>3799</v>
      </c>
      <c r="P377" s="230">
        <v>1</v>
      </c>
      <c r="Q377" s="230">
        <v>1</v>
      </c>
      <c r="R377" s="231">
        <v>35.9</v>
      </c>
      <c r="S377" s="232" t="s">
        <v>649</v>
      </c>
      <c r="T377" s="125" t="str">
        <f>INDEX([1]data!$B$1:$B$100,MATCH('04.02 - 10.02'!S377,[0]!exclusive01,))</f>
        <v>DUCANH</v>
      </c>
      <c r="U377" s="125" t="s">
        <v>112</v>
      </c>
      <c r="V377" s="233">
        <v>35</v>
      </c>
      <c r="W377" s="108"/>
      <c r="X377" s="109" t="s">
        <v>119</v>
      </c>
      <c r="Y377" s="20">
        <f t="shared" si="15"/>
        <v>1</v>
      </c>
      <c r="AA377" s="98">
        <f t="shared" si="16"/>
        <v>3.0300000000000011</v>
      </c>
      <c r="AB377" s="98">
        <f t="shared" si="17"/>
        <v>0</v>
      </c>
    </row>
    <row r="378" spans="1:28" ht="22.35" customHeight="1" thickBot="1" x14ac:dyDescent="0.3">
      <c r="A378" s="80"/>
      <c r="B378" s="80">
        <v>8595601701293</v>
      </c>
      <c r="C378" s="128">
        <v>25</v>
      </c>
      <c r="D378" s="129" t="s">
        <v>650</v>
      </c>
      <c r="E378" s="129" t="s">
        <v>533</v>
      </c>
      <c r="F378" s="234" t="s">
        <v>242</v>
      </c>
      <c r="G378" s="132">
        <v>4</v>
      </c>
      <c r="H378" s="191">
        <v>9.5</v>
      </c>
      <c r="I378" s="132">
        <v>8.68</v>
      </c>
      <c r="J378" s="129" t="s">
        <v>651</v>
      </c>
      <c r="K378" s="133">
        <v>4101412</v>
      </c>
      <c r="L378" s="133">
        <v>4</v>
      </c>
      <c r="M378" s="133"/>
      <c r="N378" s="134">
        <v>0</v>
      </c>
      <c r="O378" s="235">
        <v>4271</v>
      </c>
      <c r="P378" s="206">
        <v>1</v>
      </c>
      <c r="Q378" s="206">
        <v>1</v>
      </c>
      <c r="R378" s="207">
        <v>9.9</v>
      </c>
      <c r="S378" s="226" t="s">
        <v>651</v>
      </c>
      <c r="T378" s="94" t="s">
        <v>506</v>
      </c>
      <c r="U378" s="106" t="s">
        <v>112</v>
      </c>
      <c r="V378" s="107">
        <v>36</v>
      </c>
      <c r="W378" s="108"/>
      <c r="X378" s="109" t="s">
        <v>45</v>
      </c>
      <c r="Y378" s="20">
        <f t="shared" si="15"/>
        <v>1</v>
      </c>
      <c r="AA378" s="98">
        <f t="shared" si="16"/>
        <v>0.82000000000000028</v>
      </c>
      <c r="AB378" s="98">
        <f t="shared" si="17"/>
        <v>0.40000000000000036</v>
      </c>
    </row>
    <row r="379" spans="1:28" ht="22.35" customHeight="1" thickBot="1" x14ac:dyDescent="0.3">
      <c r="A379" s="80"/>
      <c r="B379" s="80">
        <v>5319992006088</v>
      </c>
      <c r="C379" s="81">
        <v>32</v>
      </c>
      <c r="D379" s="23" t="s">
        <v>652</v>
      </c>
      <c r="E379" s="23" t="s">
        <v>653</v>
      </c>
      <c r="F379" s="82" t="s">
        <v>654</v>
      </c>
      <c r="G379" s="21" t="s">
        <v>89</v>
      </c>
      <c r="H379" s="277">
        <v>5.9</v>
      </c>
      <c r="I379" s="21">
        <v>5.7</v>
      </c>
      <c r="J379" s="23" t="s">
        <v>62</v>
      </c>
      <c r="K379" s="86">
        <v>4101357</v>
      </c>
      <c r="L379" s="86">
        <v>4</v>
      </c>
      <c r="M379" s="86"/>
      <c r="N379" s="87">
        <v>0</v>
      </c>
      <c r="O379" s="223">
        <v>3646</v>
      </c>
      <c r="P379" s="224">
        <v>1</v>
      </c>
      <c r="Q379" s="224">
        <v>1</v>
      </c>
      <c r="R379" s="225">
        <v>6.6</v>
      </c>
      <c r="S379" s="226" t="s">
        <v>62</v>
      </c>
      <c r="T379" s="94" t="str">
        <f>INDEX([1]data!$B$1:$B$100,MATCH('04.02 - 10.02'!S379,[0]!exclusive01,))</f>
        <v>DUCANH</v>
      </c>
      <c r="U379" s="106" t="s">
        <v>112</v>
      </c>
      <c r="V379" s="107">
        <v>36</v>
      </c>
      <c r="W379" s="108">
        <v>1</v>
      </c>
      <c r="X379" s="109" t="s">
        <v>55</v>
      </c>
      <c r="Y379" s="20">
        <f t="shared" si="15"/>
        <v>1</v>
      </c>
      <c r="AA379" s="98">
        <f t="shared" si="16"/>
        <v>0.20000000000000018</v>
      </c>
      <c r="AB379" s="98">
        <f t="shared" si="17"/>
        <v>0.69999999999999929</v>
      </c>
    </row>
    <row r="380" spans="1:28" ht="22.35" customHeight="1" thickBot="1" x14ac:dyDescent="0.3">
      <c r="A380" s="276" t="s">
        <v>655</v>
      </c>
      <c r="B380" s="80" t="s">
        <v>656</v>
      </c>
      <c r="C380" s="81">
        <v>12</v>
      </c>
      <c r="D380" s="23" t="s">
        <v>657</v>
      </c>
      <c r="F380" s="141" t="s">
        <v>362</v>
      </c>
      <c r="G380" s="21">
        <v>4</v>
      </c>
      <c r="H380" s="191">
        <v>17.899999999999999</v>
      </c>
      <c r="I380" s="84">
        <v>17.86</v>
      </c>
      <c r="J380" s="23" t="s">
        <v>109</v>
      </c>
      <c r="K380" s="86" t="s">
        <v>658</v>
      </c>
      <c r="L380" s="86">
        <v>4</v>
      </c>
      <c r="M380" s="86"/>
      <c r="N380" s="87">
        <v>0</v>
      </c>
      <c r="O380" s="100"/>
      <c r="P380" s="143">
        <v>1</v>
      </c>
      <c r="Q380" s="102">
        <v>1</v>
      </c>
      <c r="R380" s="103" t="s">
        <v>645</v>
      </c>
      <c r="S380" s="144" t="s">
        <v>584</v>
      </c>
      <c r="T380" s="112" t="s">
        <v>296</v>
      </c>
      <c r="U380" s="106"/>
      <c r="V380" s="107">
        <v>36</v>
      </c>
      <c r="W380" s="108"/>
      <c r="X380" s="109" t="s">
        <v>117</v>
      </c>
      <c r="Y380" s="20">
        <f t="shared" si="15"/>
        <v>1</v>
      </c>
      <c r="AA380" s="98">
        <f>H380-I380</f>
        <v>3.9999999999999147E-2</v>
      </c>
      <c r="AB380" s="98" t="e">
        <f>R380-H380</f>
        <v>#VALUE!</v>
      </c>
    </row>
    <row r="381" spans="1:28" ht="22.35" customHeight="1" thickBot="1" x14ac:dyDescent="0.3">
      <c r="A381" s="209" t="s">
        <v>659</v>
      </c>
      <c r="B381" s="209" t="s">
        <v>660</v>
      </c>
      <c r="C381" s="210">
        <v>12</v>
      </c>
      <c r="D381" s="211" t="s">
        <v>661</v>
      </c>
      <c r="E381" s="211" t="s">
        <v>629</v>
      </c>
      <c r="F381" s="236" t="s">
        <v>662</v>
      </c>
      <c r="G381" s="213">
        <v>3</v>
      </c>
      <c r="H381" s="191">
        <v>30.9</v>
      </c>
      <c r="I381" s="238">
        <v>30.52</v>
      </c>
      <c r="J381" s="211" t="s">
        <v>663</v>
      </c>
      <c r="K381" s="215" t="s">
        <v>664</v>
      </c>
      <c r="L381" s="215">
        <v>4</v>
      </c>
      <c r="M381" s="215"/>
      <c r="N381" s="216">
        <v>0</v>
      </c>
      <c r="O381" s="239"/>
      <c r="P381" s="240">
        <v>1</v>
      </c>
      <c r="Q381" s="154">
        <v>1</v>
      </c>
      <c r="R381" s="241" t="s">
        <v>327</v>
      </c>
      <c r="S381" s="232" t="s">
        <v>665</v>
      </c>
      <c r="T381" s="125" t="str">
        <f>INDEX([1]data!$B$1:$B$100,MATCH('04.02 - 10.02'!S381,[0]!exclusive01,))</f>
        <v>VU</v>
      </c>
      <c r="U381" s="125" t="s">
        <v>112</v>
      </c>
      <c r="V381" s="156">
        <v>36</v>
      </c>
      <c r="W381" s="108"/>
      <c r="X381" s="109" t="s">
        <v>119</v>
      </c>
      <c r="Y381" s="20">
        <f t="shared" si="15"/>
        <v>1</v>
      </c>
      <c r="AA381" s="98">
        <f t="shared" si="16"/>
        <v>0.37999999999999901</v>
      </c>
      <c r="AB381" s="98" t="e">
        <f t="shared" si="17"/>
        <v>#VALUE!</v>
      </c>
    </row>
    <row r="382" spans="1:28" ht="22.35" customHeight="1" thickBot="1" x14ac:dyDescent="0.3">
      <c r="A382" s="80" t="s">
        <v>666</v>
      </c>
      <c r="B382" s="80" t="s">
        <v>667</v>
      </c>
      <c r="C382" s="128">
        <v>18</v>
      </c>
      <c r="D382" s="129" t="s">
        <v>668</v>
      </c>
      <c r="E382" s="129"/>
      <c r="F382" s="234" t="s">
        <v>399</v>
      </c>
      <c r="G382" s="132" t="s">
        <v>108</v>
      </c>
      <c r="H382" s="191">
        <v>16.899999999999999</v>
      </c>
      <c r="I382" s="132">
        <v>16.54016</v>
      </c>
      <c r="J382" s="129" t="s">
        <v>663</v>
      </c>
      <c r="K382" s="133" t="s">
        <v>669</v>
      </c>
      <c r="L382" s="133">
        <v>4</v>
      </c>
      <c r="M382" s="133"/>
      <c r="N382" s="134">
        <v>0</v>
      </c>
      <c r="O382" s="235"/>
      <c r="P382" s="206">
        <v>1</v>
      </c>
      <c r="Q382" s="206">
        <v>1</v>
      </c>
      <c r="R382" s="207">
        <v>18.899999999999999</v>
      </c>
      <c r="S382" s="208" t="s">
        <v>670</v>
      </c>
      <c r="T382" s="94" t="str">
        <f>INDEX([1]data!$B$1:$B$100,MATCH('04.02 - 10.02'!S382,[0]!exclusive01,))</f>
        <v>VU</v>
      </c>
      <c r="U382" s="94" t="s">
        <v>112</v>
      </c>
      <c r="V382" s="95">
        <v>37</v>
      </c>
      <c r="W382" s="108"/>
      <c r="X382" s="109" t="s">
        <v>45</v>
      </c>
      <c r="Y382" s="20">
        <f t="shared" si="15"/>
        <v>1</v>
      </c>
      <c r="AA382" s="98">
        <f t="shared" si="16"/>
        <v>0.35983999999999838</v>
      </c>
      <c r="AB382" s="98">
        <f t="shared" si="17"/>
        <v>2</v>
      </c>
    </row>
    <row r="383" spans="1:28" ht="22.35" customHeight="1" thickBot="1" x14ac:dyDescent="0.3">
      <c r="A383" s="80" t="s">
        <v>666</v>
      </c>
      <c r="B383" s="80" t="s">
        <v>671</v>
      </c>
      <c r="C383" s="81">
        <v>18</v>
      </c>
      <c r="D383" s="23" t="s">
        <v>672</v>
      </c>
      <c r="F383" s="82" t="s">
        <v>673</v>
      </c>
      <c r="G383" s="21">
        <v>2</v>
      </c>
      <c r="H383" s="191">
        <v>16.899999999999999</v>
      </c>
      <c r="I383" s="21">
        <v>16.54016</v>
      </c>
      <c r="J383" s="23" t="s">
        <v>663</v>
      </c>
      <c r="K383" s="86" t="s">
        <v>674</v>
      </c>
      <c r="L383" s="86">
        <v>4</v>
      </c>
      <c r="M383" s="86"/>
      <c r="N383" s="87">
        <v>0</v>
      </c>
      <c r="O383" s="223"/>
      <c r="P383" s="224">
        <v>1</v>
      </c>
      <c r="Q383" s="224">
        <v>1</v>
      </c>
      <c r="R383" s="225">
        <v>18.899999999999999</v>
      </c>
      <c r="S383" s="226" t="s">
        <v>675</v>
      </c>
      <c r="T383" s="94" t="str">
        <f>INDEX([1]data!$B$1:$B$100,MATCH('04.02 - 10.02'!S383,[0]!exclusive01,))</f>
        <v>VU</v>
      </c>
      <c r="U383" s="106" t="s">
        <v>112</v>
      </c>
      <c r="V383" s="107">
        <v>37</v>
      </c>
      <c r="W383" s="108"/>
      <c r="X383" s="109" t="s">
        <v>55</v>
      </c>
      <c r="Y383" s="20">
        <f t="shared" si="15"/>
        <v>1</v>
      </c>
      <c r="AA383" s="98">
        <f t="shared" si="16"/>
        <v>0.35983999999999838</v>
      </c>
      <c r="AB383" s="98">
        <f t="shared" si="17"/>
        <v>2</v>
      </c>
    </row>
    <row r="384" spans="1:28" ht="22.35" customHeight="1" thickBot="1" x14ac:dyDescent="0.3">
      <c r="A384" s="80" t="s">
        <v>666</v>
      </c>
      <c r="B384" s="80" t="s">
        <v>676</v>
      </c>
      <c r="C384" s="81">
        <v>10</v>
      </c>
      <c r="D384" s="23" t="s">
        <v>677</v>
      </c>
      <c r="E384" s="23" t="s">
        <v>678</v>
      </c>
      <c r="F384" s="82" t="s">
        <v>679</v>
      </c>
      <c r="G384" s="21">
        <v>3</v>
      </c>
      <c r="H384" s="191">
        <v>22.9</v>
      </c>
      <c r="I384" s="21">
        <v>21.7896</v>
      </c>
      <c r="J384" s="23" t="s">
        <v>663</v>
      </c>
      <c r="K384" s="86" t="s">
        <v>680</v>
      </c>
      <c r="L384" s="86">
        <v>4</v>
      </c>
      <c r="M384" s="86"/>
      <c r="N384" s="87">
        <v>0</v>
      </c>
      <c r="O384" s="223"/>
      <c r="P384" s="224">
        <v>1</v>
      </c>
      <c r="Q384" s="224">
        <v>1</v>
      </c>
      <c r="R384" s="225" t="s">
        <v>371</v>
      </c>
      <c r="S384" s="226" t="s">
        <v>681</v>
      </c>
      <c r="T384" s="94" t="str">
        <f>INDEX([1]data!$B$1:$B$100,MATCH('04.02 - 10.02'!S384,[0]!exclusive01,))</f>
        <v>VU</v>
      </c>
      <c r="U384" s="106" t="s">
        <v>112</v>
      </c>
      <c r="V384" s="107">
        <v>37</v>
      </c>
      <c r="W384" s="108"/>
      <c r="X384" s="109" t="s">
        <v>117</v>
      </c>
      <c r="Y384" s="20">
        <f t="shared" si="15"/>
        <v>1</v>
      </c>
      <c r="AA384" s="98">
        <f t="shared" si="16"/>
        <v>1.1103999999999985</v>
      </c>
      <c r="AB384" s="98" t="e">
        <f t="shared" si="17"/>
        <v>#VALUE!</v>
      </c>
    </row>
    <row r="385" spans="1:35" ht="22.35" customHeight="1" thickBot="1" x14ac:dyDescent="0.3">
      <c r="A385" s="209" t="s">
        <v>682</v>
      </c>
      <c r="B385" s="209" t="s">
        <v>683</v>
      </c>
      <c r="C385" s="193">
        <v>36</v>
      </c>
      <c r="D385" s="194" t="s">
        <v>684</v>
      </c>
      <c r="E385" s="194" t="s">
        <v>685</v>
      </c>
      <c r="F385" s="227" t="s">
        <v>580</v>
      </c>
      <c r="G385" s="196">
        <v>3</v>
      </c>
      <c r="H385" s="191">
        <v>10.5</v>
      </c>
      <c r="I385" s="196">
        <v>9.9702400000000004</v>
      </c>
      <c r="J385" s="194" t="s">
        <v>663</v>
      </c>
      <c r="K385" s="198" t="s">
        <v>686</v>
      </c>
      <c r="L385" s="198">
        <v>4</v>
      </c>
      <c r="M385" s="198"/>
      <c r="N385" s="228">
        <v>0</v>
      </c>
      <c r="O385" s="229"/>
      <c r="P385" s="230">
        <v>1</v>
      </c>
      <c r="Q385" s="230">
        <v>1</v>
      </c>
      <c r="R385" s="231" t="s">
        <v>687</v>
      </c>
      <c r="S385" s="232" t="s">
        <v>688</v>
      </c>
      <c r="T385" s="125" t="str">
        <f>INDEX([1]data!$B$1:$B$100,MATCH('04.02 - 10.02'!S385,[0]!exclusive01,))</f>
        <v>VU</v>
      </c>
      <c r="U385" s="125" t="s">
        <v>112</v>
      </c>
      <c r="V385" s="233">
        <v>37</v>
      </c>
      <c r="W385" s="108"/>
      <c r="X385" s="109" t="s">
        <v>119</v>
      </c>
      <c r="Y385" s="20">
        <f t="shared" si="15"/>
        <v>1</v>
      </c>
      <c r="AA385" s="98">
        <f t="shared" si="16"/>
        <v>0.52975999999999956</v>
      </c>
      <c r="AB385" s="98" t="e">
        <f t="shared" si="17"/>
        <v>#VALUE!</v>
      </c>
    </row>
    <row r="386" spans="1:35" ht="22.35" customHeight="1" thickBot="1" x14ac:dyDescent="0.3">
      <c r="A386" s="127"/>
      <c r="B386" s="127"/>
      <c r="C386" s="128"/>
      <c r="D386" s="129"/>
      <c r="E386" s="129"/>
      <c r="F386" s="130"/>
      <c r="G386" s="132"/>
      <c r="H386" s="99"/>
      <c r="I386" s="158"/>
      <c r="J386" s="129"/>
      <c r="K386" s="159"/>
      <c r="L386" s="133"/>
      <c r="M386" s="133"/>
      <c r="N386" s="134"/>
      <c r="O386" s="135"/>
      <c r="P386" s="136"/>
      <c r="Q386" s="137"/>
      <c r="R386" s="138"/>
      <c r="S386" s="144" t="s">
        <v>138</v>
      </c>
      <c r="T386" s="112" t="s">
        <v>296</v>
      </c>
      <c r="U386" s="106"/>
      <c r="V386" s="107">
        <v>38</v>
      </c>
      <c r="W386" s="96"/>
      <c r="X386" s="97"/>
      <c r="Y386" s="20">
        <f t="shared" si="15"/>
        <v>0</v>
      </c>
      <c r="AA386" s="98">
        <f t="shared" si="16"/>
        <v>0</v>
      </c>
      <c r="AB386" s="98">
        <f t="shared" si="17"/>
        <v>0</v>
      </c>
      <c r="AC386" s="110"/>
      <c r="AD386" s="77"/>
      <c r="AE386" s="77"/>
      <c r="AF386" s="75"/>
      <c r="AG386" s="75"/>
      <c r="AH386" s="75"/>
      <c r="AI386" s="75"/>
    </row>
    <row r="387" spans="1:35" ht="22.35" customHeight="1" thickBot="1" x14ac:dyDescent="0.3">
      <c r="A387" s="80"/>
      <c r="B387" s="80"/>
      <c r="F387" s="141"/>
      <c r="H387" s="99"/>
      <c r="I387" s="84"/>
      <c r="K387" s="86"/>
      <c r="L387" s="86"/>
      <c r="M387" s="86"/>
      <c r="O387" s="100"/>
      <c r="P387" s="143"/>
      <c r="Q387" s="102"/>
      <c r="R387" s="103"/>
      <c r="S387" s="144" t="s">
        <v>138</v>
      </c>
      <c r="T387" s="112" t="s">
        <v>296</v>
      </c>
      <c r="U387" s="106"/>
      <c r="V387" s="107">
        <v>38</v>
      </c>
      <c r="W387" s="108"/>
      <c r="X387" s="109"/>
      <c r="Y387" s="20">
        <f t="shared" si="15"/>
        <v>0</v>
      </c>
      <c r="AA387" s="98">
        <f t="shared" si="16"/>
        <v>0</v>
      </c>
      <c r="AB387" s="98">
        <f t="shared" si="17"/>
        <v>0</v>
      </c>
      <c r="AC387" s="110"/>
      <c r="AD387" s="77"/>
      <c r="AE387" s="77"/>
      <c r="AF387" s="75"/>
      <c r="AG387" s="75"/>
      <c r="AH387" s="75"/>
      <c r="AI387" s="75"/>
    </row>
    <row r="388" spans="1:35" ht="22.35" customHeight="1" thickBot="1" x14ac:dyDescent="0.3">
      <c r="A388" s="80"/>
      <c r="B388" s="80"/>
      <c r="F388" s="141"/>
      <c r="H388" s="99"/>
      <c r="I388" s="84"/>
      <c r="K388" s="86"/>
      <c r="L388" s="86"/>
      <c r="M388" s="86"/>
      <c r="O388" s="100"/>
      <c r="P388" s="143"/>
      <c r="Q388" s="90"/>
      <c r="R388" s="91"/>
      <c r="S388" s="144" t="s">
        <v>138</v>
      </c>
      <c r="T388" s="112" t="s">
        <v>296</v>
      </c>
      <c r="U388" s="106"/>
      <c r="V388" s="107">
        <v>38</v>
      </c>
      <c r="W388" s="108"/>
      <c r="X388" s="109"/>
      <c r="Y388" s="20">
        <f t="shared" si="15"/>
        <v>0</v>
      </c>
      <c r="AA388" s="98">
        <f t="shared" si="16"/>
        <v>0</v>
      </c>
      <c r="AB388" s="98">
        <f t="shared" si="17"/>
        <v>0</v>
      </c>
      <c r="AC388" s="110"/>
      <c r="AD388" s="77"/>
      <c r="AE388" s="77"/>
      <c r="AF388" s="75"/>
      <c r="AG388" s="75"/>
      <c r="AH388" s="75"/>
      <c r="AI388" s="75"/>
    </row>
    <row r="389" spans="1:35" ht="22.35" customHeight="1" thickBot="1" x14ac:dyDescent="0.3">
      <c r="A389" s="80"/>
      <c r="B389" s="80"/>
      <c r="F389" s="141"/>
      <c r="H389" s="99"/>
      <c r="I389" s="84"/>
      <c r="K389" s="86"/>
      <c r="L389" s="86"/>
      <c r="M389" s="86"/>
      <c r="O389" s="100"/>
      <c r="P389" s="143"/>
      <c r="Q389" s="90"/>
      <c r="R389" s="91"/>
      <c r="S389" s="144" t="s">
        <v>138</v>
      </c>
      <c r="T389" s="112" t="s">
        <v>296</v>
      </c>
      <c r="U389" s="106"/>
      <c r="V389" s="107">
        <v>38</v>
      </c>
      <c r="W389" s="108"/>
      <c r="X389" s="109"/>
      <c r="Y389" s="20">
        <f t="shared" si="15"/>
        <v>0</v>
      </c>
      <c r="AA389" s="98">
        <f t="shared" si="16"/>
        <v>0</v>
      </c>
      <c r="AB389" s="98">
        <f t="shared" si="17"/>
        <v>0</v>
      </c>
      <c r="AC389" s="110"/>
      <c r="AD389" s="77"/>
      <c r="AE389" s="77"/>
      <c r="AF389" s="75"/>
      <c r="AG389" s="75"/>
      <c r="AH389" s="75"/>
      <c r="AI389" s="75"/>
    </row>
    <row r="390" spans="1:35" ht="22.35" customHeight="1" thickBot="1" x14ac:dyDescent="0.3">
      <c r="A390" s="80"/>
      <c r="B390" s="80"/>
      <c r="F390" s="141"/>
      <c r="H390" s="99"/>
      <c r="I390" s="84"/>
      <c r="K390" s="86"/>
      <c r="L390" s="86"/>
      <c r="M390" s="86"/>
      <c r="O390" s="100"/>
      <c r="P390" s="143"/>
      <c r="Q390" s="90"/>
      <c r="R390" s="91"/>
      <c r="S390" s="144" t="s">
        <v>138</v>
      </c>
      <c r="T390" s="112" t="s">
        <v>296</v>
      </c>
      <c r="U390" s="106"/>
      <c r="V390" s="107">
        <v>38</v>
      </c>
      <c r="W390" s="108"/>
      <c r="X390" s="109"/>
      <c r="Y390" s="20">
        <f t="shared" si="15"/>
        <v>0</v>
      </c>
      <c r="AA390" s="98">
        <f t="shared" si="16"/>
        <v>0</v>
      </c>
      <c r="AB390" s="98">
        <f t="shared" si="17"/>
        <v>0</v>
      </c>
      <c r="AC390" s="110"/>
      <c r="AD390" s="77"/>
      <c r="AE390" s="77"/>
      <c r="AF390" s="75"/>
      <c r="AG390" s="75"/>
      <c r="AH390" s="75"/>
      <c r="AI390" s="75"/>
    </row>
    <row r="391" spans="1:35" ht="22.35" customHeight="1" thickBot="1" x14ac:dyDescent="0.3">
      <c r="A391" s="80"/>
      <c r="B391" s="80"/>
      <c r="F391" s="141"/>
      <c r="H391" s="99"/>
      <c r="I391" s="84"/>
      <c r="K391" s="86"/>
      <c r="L391" s="86"/>
      <c r="M391" s="86"/>
      <c r="O391" s="100"/>
      <c r="P391" s="143"/>
      <c r="Q391" s="90"/>
      <c r="R391" s="91"/>
      <c r="S391" s="144" t="s">
        <v>138</v>
      </c>
      <c r="T391" s="112" t="s">
        <v>296</v>
      </c>
      <c r="U391" s="106"/>
      <c r="V391" s="107">
        <v>38</v>
      </c>
      <c r="W391" s="108"/>
      <c r="X391" s="109"/>
      <c r="Y391" s="20">
        <f t="shared" ref="Y391:Y454" si="18">COUNTIF(K:K,K391)</f>
        <v>0</v>
      </c>
      <c r="AA391" s="98">
        <f t="shared" si="16"/>
        <v>0</v>
      </c>
      <c r="AB391" s="98">
        <f t="shared" si="17"/>
        <v>0</v>
      </c>
      <c r="AC391" s="110"/>
      <c r="AD391" s="77"/>
      <c r="AE391" s="77"/>
      <c r="AF391" s="75"/>
      <c r="AG391" s="75"/>
      <c r="AH391" s="75"/>
      <c r="AI391" s="75"/>
    </row>
    <row r="392" spans="1:35" ht="22.35" customHeight="1" thickBot="1" x14ac:dyDescent="0.3">
      <c r="A392" s="80"/>
      <c r="B392" s="80"/>
      <c r="F392" s="141"/>
      <c r="H392" s="99"/>
      <c r="I392" s="84"/>
      <c r="K392" s="86"/>
      <c r="L392" s="86"/>
      <c r="M392" s="86"/>
      <c r="O392" s="100"/>
      <c r="P392" s="143"/>
      <c r="Q392" s="90"/>
      <c r="R392" s="91"/>
      <c r="S392" s="144" t="s">
        <v>138</v>
      </c>
      <c r="T392" s="112" t="s">
        <v>296</v>
      </c>
      <c r="U392" s="106"/>
      <c r="V392" s="107">
        <v>38</v>
      </c>
      <c r="W392" s="108"/>
      <c r="X392" s="109"/>
      <c r="Y392" s="20">
        <f t="shared" si="18"/>
        <v>0</v>
      </c>
      <c r="AA392" s="98">
        <f t="shared" si="16"/>
        <v>0</v>
      </c>
      <c r="AB392" s="98">
        <f t="shared" si="17"/>
        <v>0</v>
      </c>
      <c r="AC392" s="110"/>
      <c r="AD392" s="77"/>
      <c r="AE392" s="77"/>
      <c r="AF392" s="75"/>
      <c r="AG392" s="75"/>
      <c r="AH392" s="75"/>
      <c r="AI392" s="75"/>
    </row>
    <row r="393" spans="1:35" ht="22.35" customHeight="1" thickBot="1" x14ac:dyDescent="0.3">
      <c r="A393" s="80"/>
      <c r="B393" s="80"/>
      <c r="F393" s="141"/>
      <c r="H393" s="99"/>
      <c r="I393" s="84"/>
      <c r="K393" s="86"/>
      <c r="L393" s="86"/>
      <c r="M393" s="86"/>
      <c r="O393" s="100"/>
      <c r="P393" s="143"/>
      <c r="Q393" s="90"/>
      <c r="R393" s="91"/>
      <c r="S393" s="144" t="s">
        <v>138</v>
      </c>
      <c r="T393" s="112" t="s">
        <v>296</v>
      </c>
      <c r="U393" s="106"/>
      <c r="V393" s="107">
        <v>38</v>
      </c>
      <c r="W393" s="108"/>
      <c r="X393" s="109"/>
      <c r="Y393" s="20">
        <f t="shared" si="18"/>
        <v>0</v>
      </c>
      <c r="AA393" s="98">
        <f t="shared" si="16"/>
        <v>0</v>
      </c>
      <c r="AB393" s="98">
        <f t="shared" si="17"/>
        <v>0</v>
      </c>
      <c r="AC393" s="110"/>
      <c r="AD393" s="77"/>
      <c r="AE393" s="77"/>
      <c r="AF393" s="75"/>
      <c r="AG393" s="75"/>
      <c r="AH393" s="75"/>
      <c r="AI393" s="75"/>
    </row>
    <row r="394" spans="1:35" ht="22.35" customHeight="1" thickBot="1" x14ac:dyDescent="0.3">
      <c r="A394" s="80"/>
      <c r="B394" s="80"/>
      <c r="F394" s="141"/>
      <c r="H394" s="99"/>
      <c r="I394" s="84"/>
      <c r="K394" s="86"/>
      <c r="L394" s="86"/>
      <c r="M394" s="86"/>
      <c r="O394" s="100"/>
      <c r="P394" s="143"/>
      <c r="Q394" s="90"/>
      <c r="R394" s="91"/>
      <c r="S394" s="144" t="s">
        <v>138</v>
      </c>
      <c r="T394" s="112" t="s">
        <v>296</v>
      </c>
      <c r="U394" s="106"/>
      <c r="V394" s="107">
        <v>38</v>
      </c>
      <c r="W394" s="108"/>
      <c r="X394" s="109"/>
      <c r="Y394" s="20">
        <f t="shared" si="18"/>
        <v>0</v>
      </c>
      <c r="AA394" s="98">
        <f t="shared" si="16"/>
        <v>0</v>
      </c>
      <c r="AB394" s="98">
        <f t="shared" si="17"/>
        <v>0</v>
      </c>
      <c r="AC394" s="110"/>
      <c r="AD394" s="77"/>
      <c r="AE394" s="77"/>
      <c r="AF394" s="75"/>
      <c r="AG394" s="75"/>
      <c r="AH394" s="75"/>
      <c r="AI394" s="75"/>
    </row>
    <row r="395" spans="1:35" ht="22.35" customHeight="1" thickBot="1" x14ac:dyDescent="0.3">
      <c r="A395" s="80"/>
      <c r="B395" s="80"/>
      <c r="F395" s="141"/>
      <c r="H395" s="99"/>
      <c r="I395" s="84"/>
      <c r="K395" s="86"/>
      <c r="L395" s="86"/>
      <c r="M395" s="86"/>
      <c r="O395" s="100"/>
      <c r="P395" s="143"/>
      <c r="Q395" s="90"/>
      <c r="R395" s="91"/>
      <c r="S395" s="144" t="s">
        <v>138</v>
      </c>
      <c r="T395" s="112" t="s">
        <v>296</v>
      </c>
      <c r="U395" s="106"/>
      <c r="V395" s="107">
        <v>38</v>
      </c>
      <c r="W395" s="108"/>
      <c r="X395" s="109"/>
      <c r="Y395" s="20">
        <f t="shared" si="18"/>
        <v>0</v>
      </c>
      <c r="AA395" s="98">
        <f t="shared" si="16"/>
        <v>0</v>
      </c>
      <c r="AB395" s="98">
        <f t="shared" si="17"/>
        <v>0</v>
      </c>
      <c r="AC395" s="110"/>
      <c r="AD395" s="77"/>
      <c r="AE395" s="77"/>
      <c r="AF395" s="75"/>
      <c r="AG395" s="75"/>
      <c r="AH395" s="75"/>
      <c r="AI395" s="75"/>
    </row>
    <row r="396" spans="1:35" ht="22.35" customHeight="1" thickBot="1" x14ac:dyDescent="0.3">
      <c r="A396" s="80"/>
      <c r="B396" s="80"/>
      <c r="F396" s="141"/>
      <c r="H396" s="99"/>
      <c r="I396" s="84"/>
      <c r="K396" s="86"/>
      <c r="L396" s="86"/>
      <c r="M396" s="86"/>
      <c r="O396" s="100"/>
      <c r="P396" s="143"/>
      <c r="Q396" s="90"/>
      <c r="R396" s="91"/>
      <c r="S396" s="144" t="s">
        <v>138</v>
      </c>
      <c r="T396" s="112" t="s">
        <v>296</v>
      </c>
      <c r="U396" s="106"/>
      <c r="V396" s="107">
        <v>38</v>
      </c>
      <c r="W396" s="108"/>
      <c r="X396" s="109"/>
      <c r="Y396" s="20">
        <f t="shared" si="18"/>
        <v>0</v>
      </c>
      <c r="AA396" s="98">
        <f t="shared" si="16"/>
        <v>0</v>
      </c>
      <c r="AB396" s="98">
        <f t="shared" si="17"/>
        <v>0</v>
      </c>
      <c r="AC396" s="110"/>
      <c r="AD396" s="77"/>
      <c r="AE396" s="77"/>
      <c r="AF396" s="75"/>
      <c r="AG396" s="75"/>
      <c r="AH396" s="75"/>
      <c r="AI396" s="75"/>
    </row>
    <row r="397" spans="1:35" ht="22.35" customHeight="1" thickBot="1" x14ac:dyDescent="0.3">
      <c r="A397" s="80"/>
      <c r="B397" s="80"/>
      <c r="F397" s="141"/>
      <c r="H397" s="99"/>
      <c r="I397" s="84"/>
      <c r="K397" s="86"/>
      <c r="L397" s="86"/>
      <c r="M397" s="86"/>
      <c r="O397" s="100"/>
      <c r="P397" s="143"/>
      <c r="Q397" s="90"/>
      <c r="R397" s="91"/>
      <c r="S397" s="144" t="s">
        <v>138</v>
      </c>
      <c r="T397" s="112" t="s">
        <v>296</v>
      </c>
      <c r="U397" s="106"/>
      <c r="V397" s="107">
        <v>38</v>
      </c>
      <c r="W397" s="108"/>
      <c r="X397" s="109"/>
      <c r="Y397" s="20">
        <f t="shared" si="18"/>
        <v>0</v>
      </c>
      <c r="AA397" s="98">
        <f t="shared" si="16"/>
        <v>0</v>
      </c>
      <c r="AB397" s="98">
        <f t="shared" si="17"/>
        <v>0</v>
      </c>
      <c r="AC397" s="110"/>
      <c r="AD397" s="77"/>
      <c r="AE397" s="77"/>
      <c r="AF397" s="75"/>
      <c r="AG397" s="75"/>
      <c r="AH397" s="75"/>
      <c r="AI397" s="75"/>
    </row>
    <row r="398" spans="1:35" ht="22.35" customHeight="1" thickBot="1" x14ac:dyDescent="0.3">
      <c r="A398" s="80"/>
      <c r="B398" s="80"/>
      <c r="F398" s="141"/>
      <c r="H398" s="99"/>
      <c r="I398" s="84"/>
      <c r="K398" s="86"/>
      <c r="L398" s="86"/>
      <c r="M398" s="86"/>
      <c r="O398" s="100"/>
      <c r="P398" s="143"/>
      <c r="Q398" s="90"/>
      <c r="R398" s="91"/>
      <c r="S398" s="144" t="s">
        <v>138</v>
      </c>
      <c r="T398" s="112" t="s">
        <v>296</v>
      </c>
      <c r="U398" s="106"/>
      <c r="V398" s="107">
        <v>38</v>
      </c>
      <c r="W398" s="108"/>
      <c r="X398" s="109"/>
      <c r="Y398" s="20">
        <f t="shared" si="18"/>
        <v>0</v>
      </c>
      <c r="AA398" s="98">
        <f t="shared" si="16"/>
        <v>0</v>
      </c>
      <c r="AB398" s="98">
        <f t="shared" si="17"/>
        <v>0</v>
      </c>
      <c r="AC398" s="110"/>
      <c r="AD398" s="77"/>
      <c r="AE398" s="77"/>
      <c r="AF398" s="75"/>
      <c r="AG398" s="75"/>
      <c r="AH398" s="75"/>
      <c r="AI398" s="75"/>
    </row>
    <row r="399" spans="1:35" ht="22.35" customHeight="1" thickBot="1" x14ac:dyDescent="0.3">
      <c r="A399" s="80"/>
      <c r="B399" s="80"/>
      <c r="F399" s="141"/>
      <c r="H399" s="99"/>
      <c r="I399" s="84"/>
      <c r="K399" s="86"/>
      <c r="L399" s="86"/>
      <c r="M399" s="86"/>
      <c r="O399" s="100"/>
      <c r="P399" s="143"/>
      <c r="Q399" s="90"/>
      <c r="R399" s="91"/>
      <c r="S399" s="144" t="s">
        <v>138</v>
      </c>
      <c r="T399" s="112" t="s">
        <v>296</v>
      </c>
      <c r="U399" s="106"/>
      <c r="V399" s="107">
        <v>38</v>
      </c>
      <c r="W399" s="160"/>
      <c r="X399" s="161"/>
      <c r="Y399" s="20">
        <f t="shared" si="18"/>
        <v>0</v>
      </c>
      <c r="AA399" s="98">
        <f t="shared" si="16"/>
        <v>0</v>
      </c>
      <c r="AB399" s="98">
        <f t="shared" si="17"/>
        <v>0</v>
      </c>
      <c r="AC399" s="110"/>
      <c r="AD399" s="77"/>
      <c r="AE399" s="77"/>
      <c r="AF399" s="75"/>
      <c r="AG399" s="75"/>
      <c r="AH399" s="75"/>
      <c r="AI399" s="75"/>
    </row>
    <row r="400" spans="1:35" ht="22.35" customHeight="1" thickBot="1" x14ac:dyDescent="0.3">
      <c r="A400" s="80"/>
      <c r="B400" s="80"/>
      <c r="F400" s="141"/>
      <c r="H400" s="99"/>
      <c r="I400" s="84"/>
      <c r="K400" s="86"/>
      <c r="L400" s="86"/>
      <c r="M400" s="86"/>
      <c r="O400" s="100"/>
      <c r="P400" s="143"/>
      <c r="Q400" s="90"/>
      <c r="R400" s="91"/>
      <c r="S400" s="144" t="s">
        <v>138</v>
      </c>
      <c r="T400" s="112" t="s">
        <v>296</v>
      </c>
      <c r="U400" s="106"/>
      <c r="V400" s="107">
        <v>38</v>
      </c>
      <c r="W400" s="160"/>
      <c r="X400" s="161"/>
      <c r="Y400" s="20">
        <f t="shared" si="18"/>
        <v>0</v>
      </c>
      <c r="AA400" s="98">
        <f t="shared" si="16"/>
        <v>0</v>
      </c>
      <c r="AB400" s="98">
        <f t="shared" si="17"/>
        <v>0</v>
      </c>
      <c r="AC400" s="110"/>
      <c r="AD400" s="77"/>
      <c r="AE400" s="77"/>
      <c r="AF400" s="75"/>
      <c r="AG400" s="75"/>
      <c r="AH400" s="75"/>
      <c r="AI400" s="75"/>
    </row>
    <row r="401" spans="1:35" ht="22.35" customHeight="1" thickBot="1" x14ac:dyDescent="0.3">
      <c r="A401" s="252"/>
      <c r="B401" s="252"/>
      <c r="C401" s="253"/>
      <c r="D401" s="254"/>
      <c r="E401" s="254"/>
      <c r="F401" s="195"/>
      <c r="G401" s="196"/>
      <c r="H401" s="255"/>
      <c r="I401" s="256"/>
      <c r="J401" s="257"/>
      <c r="K401" s="258"/>
      <c r="L401" s="258"/>
      <c r="M401" s="258"/>
      <c r="N401" s="228"/>
      <c r="O401" s="200"/>
      <c r="P401" s="202"/>
      <c r="Q401" s="259"/>
      <c r="R401" s="260"/>
      <c r="S401" s="155" t="s">
        <v>138</v>
      </c>
      <c r="T401" s="124" t="s">
        <v>296</v>
      </c>
      <c r="U401" s="125"/>
      <c r="V401" s="126">
        <v>38</v>
      </c>
      <c r="W401" s="160"/>
      <c r="X401" s="161"/>
      <c r="Y401" s="20">
        <f t="shared" si="18"/>
        <v>0</v>
      </c>
      <c r="AA401" s="98">
        <f t="shared" si="16"/>
        <v>0</v>
      </c>
      <c r="AB401" s="98">
        <f t="shared" si="17"/>
        <v>0</v>
      </c>
      <c r="AC401" s="110"/>
      <c r="AD401" s="77"/>
      <c r="AE401" s="77"/>
      <c r="AF401" s="75"/>
      <c r="AG401" s="75"/>
      <c r="AH401" s="75"/>
      <c r="AI401" s="75"/>
    </row>
    <row r="402" spans="1:35" ht="22.35" customHeight="1" thickBot="1" x14ac:dyDescent="0.3">
      <c r="A402" s="175"/>
      <c r="B402" s="175"/>
      <c r="C402" s="176"/>
      <c r="D402" s="177" t="s">
        <v>689</v>
      </c>
      <c r="E402" s="178"/>
      <c r="F402" s="179"/>
      <c r="G402" s="180"/>
      <c r="H402" s="181"/>
      <c r="I402" s="180"/>
      <c r="J402" s="178"/>
      <c r="K402" s="182"/>
      <c r="L402" s="182"/>
      <c r="M402" s="182"/>
      <c r="N402" s="183"/>
      <c r="O402" s="184"/>
      <c r="P402" s="184"/>
      <c r="Q402" s="184"/>
      <c r="R402" s="185"/>
      <c r="S402" s="186"/>
      <c r="T402" s="187" t="s">
        <v>296</v>
      </c>
      <c r="U402" s="188"/>
      <c r="V402" s="189"/>
      <c r="W402" s="188"/>
      <c r="X402" s="190"/>
      <c r="Y402" s="20">
        <f t="shared" si="18"/>
        <v>0</v>
      </c>
      <c r="AA402" s="98">
        <f t="shared" si="16"/>
        <v>0</v>
      </c>
      <c r="AB402" s="98">
        <f t="shared" si="17"/>
        <v>0</v>
      </c>
    </row>
    <row r="403" spans="1:35" ht="22.35" customHeight="1" thickBot="1" x14ac:dyDescent="0.3">
      <c r="A403" s="127" t="s">
        <v>103</v>
      </c>
      <c r="B403" s="127" t="s">
        <v>690</v>
      </c>
      <c r="C403" s="128">
        <v>16</v>
      </c>
      <c r="D403" s="129" t="s">
        <v>691</v>
      </c>
      <c r="E403" s="129" t="s">
        <v>692</v>
      </c>
      <c r="F403" s="130" t="s">
        <v>274</v>
      </c>
      <c r="G403" s="132">
        <v>2</v>
      </c>
      <c r="H403" s="277">
        <v>17.899999999999999</v>
      </c>
      <c r="I403" s="158">
        <v>16.690239999999999</v>
      </c>
      <c r="J403" s="129" t="s">
        <v>693</v>
      </c>
      <c r="K403" s="159" t="s">
        <v>694</v>
      </c>
      <c r="L403" s="133">
        <v>1</v>
      </c>
      <c r="M403" s="133"/>
      <c r="N403" s="134"/>
      <c r="O403" s="135"/>
      <c r="P403" s="136">
        <v>1</v>
      </c>
      <c r="Q403" s="137">
        <v>1</v>
      </c>
      <c r="R403" s="138" t="s">
        <v>340</v>
      </c>
      <c r="S403" s="144" t="s">
        <v>695</v>
      </c>
      <c r="T403" s="112" t="s">
        <v>296</v>
      </c>
      <c r="U403" s="106" t="s">
        <v>696</v>
      </c>
      <c r="V403" s="107">
        <v>39</v>
      </c>
      <c r="W403" s="96">
        <v>1</v>
      </c>
      <c r="X403" s="97" t="s">
        <v>45</v>
      </c>
      <c r="Y403" s="20">
        <f t="shared" si="18"/>
        <v>1</v>
      </c>
      <c r="AA403" s="98">
        <f t="shared" si="16"/>
        <v>1.2097599999999993</v>
      </c>
      <c r="AB403" s="98" t="e">
        <f t="shared" si="17"/>
        <v>#VALUE!</v>
      </c>
    </row>
    <row r="404" spans="1:35" ht="22.35" customHeight="1" thickBot="1" x14ac:dyDescent="0.3">
      <c r="A404" s="80" t="s">
        <v>607</v>
      </c>
      <c r="B404" s="80" t="s">
        <v>697</v>
      </c>
      <c r="C404" s="81">
        <v>12</v>
      </c>
      <c r="D404" s="23" t="s">
        <v>698</v>
      </c>
      <c r="E404" s="23" t="s">
        <v>699</v>
      </c>
      <c r="F404" s="141" t="s">
        <v>175</v>
      </c>
      <c r="G404" s="21">
        <v>1</v>
      </c>
      <c r="H404" s="191">
        <v>23.9</v>
      </c>
      <c r="I404" s="84">
        <v>22.29</v>
      </c>
      <c r="J404" s="23" t="s">
        <v>693</v>
      </c>
      <c r="K404" s="86" t="s">
        <v>700</v>
      </c>
      <c r="L404" s="86">
        <v>1</v>
      </c>
      <c r="M404" s="86"/>
      <c r="O404" s="100"/>
      <c r="P404" s="143">
        <v>1</v>
      </c>
      <c r="Q404" s="102">
        <v>1</v>
      </c>
      <c r="R404" s="103" t="s">
        <v>499</v>
      </c>
      <c r="S404" s="144" t="s">
        <v>695</v>
      </c>
      <c r="T404" s="112" t="s">
        <v>296</v>
      </c>
      <c r="U404" s="106" t="s">
        <v>696</v>
      </c>
      <c r="V404" s="107">
        <v>39</v>
      </c>
      <c r="W404" s="108"/>
      <c r="X404" s="109" t="s">
        <v>50</v>
      </c>
      <c r="Y404" s="20">
        <f t="shared" si="18"/>
        <v>1</v>
      </c>
      <c r="AA404" s="98">
        <f t="shared" si="16"/>
        <v>1.6099999999999994</v>
      </c>
      <c r="AB404" s="98" t="e">
        <f t="shared" si="17"/>
        <v>#VALUE!</v>
      </c>
    </row>
    <row r="405" spans="1:35" ht="22.35" customHeight="1" thickBot="1" x14ac:dyDescent="0.3">
      <c r="A405" s="80" t="s">
        <v>328</v>
      </c>
      <c r="B405" s="80" t="s">
        <v>701</v>
      </c>
      <c r="C405" s="81">
        <v>10</v>
      </c>
      <c r="D405" s="23" t="s">
        <v>702</v>
      </c>
      <c r="E405" s="23" t="s">
        <v>703</v>
      </c>
      <c r="F405" s="141" t="s">
        <v>40</v>
      </c>
      <c r="G405" s="21">
        <v>4</v>
      </c>
      <c r="H405" s="191">
        <v>12.5</v>
      </c>
      <c r="I405" s="84">
        <v>12.210240000000001</v>
      </c>
      <c r="J405" s="23" t="s">
        <v>704</v>
      </c>
      <c r="K405" s="86" t="s">
        <v>705</v>
      </c>
      <c r="L405" s="86">
        <v>1</v>
      </c>
      <c r="M405" s="86"/>
      <c r="O405" s="100"/>
      <c r="P405" s="143">
        <v>1</v>
      </c>
      <c r="Q405" s="102">
        <v>1</v>
      </c>
      <c r="R405" s="103">
        <v>13.5</v>
      </c>
      <c r="S405" s="144" t="s">
        <v>695</v>
      </c>
      <c r="T405" s="112" t="s">
        <v>296</v>
      </c>
      <c r="U405" s="106" t="s">
        <v>696</v>
      </c>
      <c r="V405" s="107">
        <v>39</v>
      </c>
      <c r="W405" s="108"/>
      <c r="X405" s="109" t="s">
        <v>55</v>
      </c>
      <c r="Y405" s="20">
        <f t="shared" si="18"/>
        <v>1</v>
      </c>
      <c r="AA405" s="98">
        <f t="shared" si="16"/>
        <v>0.28975999999999935</v>
      </c>
      <c r="AB405" s="98">
        <f t="shared" si="17"/>
        <v>1</v>
      </c>
    </row>
    <row r="406" spans="1:35" ht="22.35" customHeight="1" thickBot="1" x14ac:dyDescent="0.3">
      <c r="A406" s="80" t="s">
        <v>655</v>
      </c>
      <c r="B406" s="80" t="s">
        <v>706</v>
      </c>
      <c r="C406" s="81">
        <v>15</v>
      </c>
      <c r="D406" s="23" t="s">
        <v>707</v>
      </c>
      <c r="E406" s="23" t="s">
        <v>708</v>
      </c>
      <c r="F406" s="141" t="s">
        <v>709</v>
      </c>
      <c r="G406" s="21">
        <v>1</v>
      </c>
      <c r="H406" s="191">
        <v>37.9</v>
      </c>
      <c r="I406" s="84">
        <v>36.96</v>
      </c>
      <c r="J406" s="23" t="s">
        <v>710</v>
      </c>
      <c r="K406" s="86" t="s">
        <v>711</v>
      </c>
      <c r="L406" s="86">
        <v>1</v>
      </c>
      <c r="M406" s="86"/>
      <c r="O406" s="100"/>
      <c r="P406" s="143">
        <v>1</v>
      </c>
      <c r="Q406" s="102">
        <v>1</v>
      </c>
      <c r="R406" s="103" t="s">
        <v>712</v>
      </c>
      <c r="S406" s="144" t="s">
        <v>695</v>
      </c>
      <c r="T406" s="112" t="s">
        <v>296</v>
      </c>
      <c r="U406" s="106" t="s">
        <v>696</v>
      </c>
      <c r="V406" s="107">
        <v>39</v>
      </c>
      <c r="W406" s="108"/>
      <c r="X406" s="109" t="s">
        <v>59</v>
      </c>
      <c r="Y406" s="20">
        <f t="shared" si="18"/>
        <v>1</v>
      </c>
      <c r="AA406" s="98">
        <f t="shared" si="16"/>
        <v>0.93999999999999773</v>
      </c>
      <c r="AB406" s="98" t="e">
        <f t="shared" si="17"/>
        <v>#VALUE!</v>
      </c>
    </row>
    <row r="407" spans="1:35" ht="22.35" customHeight="1" thickBot="1" x14ac:dyDescent="0.3">
      <c r="A407" s="80" t="s">
        <v>255</v>
      </c>
      <c r="B407" s="80" t="s">
        <v>713</v>
      </c>
      <c r="C407" s="81">
        <v>15</v>
      </c>
      <c r="D407" s="23" t="s">
        <v>714</v>
      </c>
      <c r="E407" s="23" t="s">
        <v>715</v>
      </c>
      <c r="F407" s="141" t="s">
        <v>709</v>
      </c>
      <c r="G407" s="21">
        <v>1</v>
      </c>
      <c r="H407" s="191">
        <v>37.9</v>
      </c>
      <c r="I407" s="84">
        <v>36.96</v>
      </c>
      <c r="J407" s="23" t="s">
        <v>710</v>
      </c>
      <c r="K407" s="86" t="s">
        <v>716</v>
      </c>
      <c r="L407" s="86">
        <v>1</v>
      </c>
      <c r="M407" s="86"/>
      <c r="O407" s="100"/>
      <c r="P407" s="143">
        <v>1</v>
      </c>
      <c r="Q407" s="102">
        <v>1</v>
      </c>
      <c r="R407" s="103" t="s">
        <v>712</v>
      </c>
      <c r="S407" s="144" t="s">
        <v>695</v>
      </c>
      <c r="T407" s="112" t="s">
        <v>296</v>
      </c>
      <c r="U407" s="106" t="s">
        <v>717</v>
      </c>
      <c r="V407" s="107">
        <v>39</v>
      </c>
      <c r="W407" s="108"/>
      <c r="X407" s="109" t="s">
        <v>63</v>
      </c>
      <c r="Y407" s="20">
        <f t="shared" si="18"/>
        <v>1</v>
      </c>
      <c r="AA407" s="98">
        <f t="shared" si="16"/>
        <v>0.93999999999999773</v>
      </c>
      <c r="AB407" s="98" t="e">
        <f t="shared" si="17"/>
        <v>#VALUE!</v>
      </c>
    </row>
    <row r="408" spans="1:35" ht="22.35" customHeight="1" thickBot="1" x14ac:dyDescent="0.3">
      <c r="A408" s="80" t="s">
        <v>718</v>
      </c>
      <c r="B408" s="80" t="s">
        <v>719</v>
      </c>
      <c r="C408" s="81">
        <v>12</v>
      </c>
      <c r="D408" s="23" t="s">
        <v>720</v>
      </c>
      <c r="E408" s="23" t="s">
        <v>721</v>
      </c>
      <c r="F408" s="141" t="s">
        <v>722</v>
      </c>
      <c r="G408" s="21">
        <v>1</v>
      </c>
      <c r="H408" s="191">
        <v>105</v>
      </c>
      <c r="I408" s="84">
        <v>103.6</v>
      </c>
      <c r="J408" s="23" t="s">
        <v>723</v>
      </c>
      <c r="K408" s="86" t="s">
        <v>724</v>
      </c>
      <c r="L408" s="86">
        <v>1</v>
      </c>
      <c r="M408" s="86"/>
      <c r="O408" s="100"/>
      <c r="P408" s="143">
        <v>1</v>
      </c>
      <c r="Q408" s="102">
        <v>1</v>
      </c>
      <c r="R408" s="103" t="s">
        <v>725</v>
      </c>
      <c r="S408" s="144" t="s">
        <v>695</v>
      </c>
      <c r="T408" s="112" t="s">
        <v>296</v>
      </c>
      <c r="U408" s="106" t="s">
        <v>717</v>
      </c>
      <c r="V408" s="107">
        <v>39</v>
      </c>
      <c r="W408" s="108"/>
      <c r="X408" s="109" t="s">
        <v>66</v>
      </c>
      <c r="Y408" s="20">
        <f t="shared" si="18"/>
        <v>1</v>
      </c>
      <c r="AA408" s="98">
        <f t="shared" si="16"/>
        <v>1.4000000000000057</v>
      </c>
      <c r="AB408" s="98" t="e">
        <f t="shared" si="17"/>
        <v>#VALUE!</v>
      </c>
    </row>
    <row r="409" spans="1:35" ht="22.35" customHeight="1" thickBot="1" x14ac:dyDescent="0.3">
      <c r="A409" s="80" t="s">
        <v>103</v>
      </c>
      <c r="B409" s="80" t="s">
        <v>726</v>
      </c>
      <c r="C409" s="81">
        <v>30</v>
      </c>
      <c r="D409" s="23" t="s">
        <v>727</v>
      </c>
      <c r="E409" s="23" t="s">
        <v>728</v>
      </c>
      <c r="F409" s="141" t="s">
        <v>274</v>
      </c>
      <c r="G409" s="21" t="s">
        <v>89</v>
      </c>
      <c r="H409" s="191">
        <v>9.5</v>
      </c>
      <c r="I409" s="84">
        <v>9.3004800000000003</v>
      </c>
      <c r="J409" s="23" t="s">
        <v>729</v>
      </c>
      <c r="K409" s="86" t="s">
        <v>730</v>
      </c>
      <c r="L409" s="86">
        <v>1</v>
      </c>
      <c r="M409" s="86"/>
      <c r="O409" s="100"/>
      <c r="P409" s="143">
        <v>1</v>
      </c>
      <c r="Q409" s="102">
        <v>1</v>
      </c>
      <c r="R409" s="103" t="s">
        <v>641</v>
      </c>
      <c r="S409" s="144" t="s">
        <v>695</v>
      </c>
      <c r="T409" s="112" t="s">
        <v>296</v>
      </c>
      <c r="U409" s="106" t="s">
        <v>717</v>
      </c>
      <c r="V409" s="107">
        <v>39</v>
      </c>
      <c r="W409" s="108"/>
      <c r="X409" s="109" t="s">
        <v>179</v>
      </c>
      <c r="Y409" s="20">
        <f t="shared" si="18"/>
        <v>1</v>
      </c>
      <c r="AA409" s="98">
        <f t="shared" si="16"/>
        <v>0.1995199999999997</v>
      </c>
      <c r="AB409" s="98" t="e">
        <f t="shared" si="17"/>
        <v>#VALUE!</v>
      </c>
    </row>
    <row r="410" spans="1:35" ht="22.35" customHeight="1" thickBot="1" x14ac:dyDescent="0.3">
      <c r="A410" s="80" t="s">
        <v>731</v>
      </c>
      <c r="B410" s="80" t="s">
        <v>732</v>
      </c>
      <c r="C410" s="81">
        <v>6</v>
      </c>
      <c r="D410" s="23" t="s">
        <v>733</v>
      </c>
      <c r="E410" s="23" t="s">
        <v>734</v>
      </c>
      <c r="F410" s="141" t="s">
        <v>735</v>
      </c>
      <c r="G410" s="21">
        <v>2</v>
      </c>
      <c r="H410" s="277">
        <v>42.9</v>
      </c>
      <c r="I410" s="84">
        <v>40.32</v>
      </c>
      <c r="J410" s="23" t="s">
        <v>736</v>
      </c>
      <c r="K410" s="86" t="s">
        <v>737</v>
      </c>
      <c r="L410" s="86">
        <v>1</v>
      </c>
      <c r="M410" s="86"/>
      <c r="O410" s="100"/>
      <c r="P410" s="143">
        <v>1</v>
      </c>
      <c r="Q410" s="102">
        <v>1</v>
      </c>
      <c r="R410" s="103" t="s">
        <v>738</v>
      </c>
      <c r="S410" s="144" t="s">
        <v>695</v>
      </c>
      <c r="T410" s="112" t="s">
        <v>296</v>
      </c>
      <c r="U410" s="106" t="s">
        <v>717</v>
      </c>
      <c r="V410" s="107">
        <v>39</v>
      </c>
      <c r="W410" s="108">
        <v>1</v>
      </c>
      <c r="X410" s="109" t="s">
        <v>70</v>
      </c>
      <c r="Y410" s="20">
        <f t="shared" si="18"/>
        <v>1</v>
      </c>
      <c r="AA410" s="98">
        <f t="shared" si="16"/>
        <v>2.5799999999999983</v>
      </c>
      <c r="AB410" s="98" t="e">
        <f t="shared" si="17"/>
        <v>#VALUE!</v>
      </c>
    </row>
    <row r="411" spans="1:35" ht="22.35" customHeight="1" thickBot="1" x14ac:dyDescent="0.3">
      <c r="A411" s="80" t="s">
        <v>103</v>
      </c>
      <c r="B411" s="80" t="s">
        <v>739</v>
      </c>
      <c r="C411" s="81">
        <v>32</v>
      </c>
      <c r="D411" s="23" t="s">
        <v>740</v>
      </c>
      <c r="E411" s="23" t="s">
        <v>741</v>
      </c>
      <c r="F411" s="141" t="s">
        <v>742</v>
      </c>
      <c r="G411" s="21" t="s">
        <v>89</v>
      </c>
      <c r="H411" s="191">
        <v>5.9</v>
      </c>
      <c r="I411" s="84">
        <v>5.6</v>
      </c>
      <c r="J411" s="23" t="s">
        <v>743</v>
      </c>
      <c r="K411" s="86" t="s">
        <v>744</v>
      </c>
      <c r="L411" s="86">
        <v>1</v>
      </c>
      <c r="M411" s="86"/>
      <c r="O411" s="100"/>
      <c r="P411" s="143">
        <v>1</v>
      </c>
      <c r="Q411" s="102">
        <v>1</v>
      </c>
      <c r="R411" s="103" t="s">
        <v>745</v>
      </c>
      <c r="S411" s="144" t="s">
        <v>695</v>
      </c>
      <c r="T411" s="112" t="s">
        <v>296</v>
      </c>
      <c r="U411" s="106" t="s">
        <v>728</v>
      </c>
      <c r="V411" s="107">
        <v>39</v>
      </c>
      <c r="W411" s="108"/>
      <c r="X411" s="109" t="s">
        <v>199</v>
      </c>
      <c r="Y411" s="20">
        <f t="shared" si="18"/>
        <v>1</v>
      </c>
      <c r="AA411" s="98">
        <f t="shared" si="16"/>
        <v>0.30000000000000071</v>
      </c>
      <c r="AB411" s="98" t="e">
        <f t="shared" si="17"/>
        <v>#VALUE!</v>
      </c>
    </row>
    <row r="412" spans="1:35" ht="22.35" customHeight="1" thickBot="1" x14ac:dyDescent="0.3">
      <c r="A412" s="80" t="s">
        <v>381</v>
      </c>
      <c r="B412" s="80" t="s">
        <v>746</v>
      </c>
      <c r="C412" s="81">
        <v>6</v>
      </c>
      <c r="D412" s="23" t="s">
        <v>747</v>
      </c>
      <c r="E412" s="23" t="s">
        <v>748</v>
      </c>
      <c r="F412" s="141" t="s">
        <v>709</v>
      </c>
      <c r="G412" s="21">
        <v>2</v>
      </c>
      <c r="H412" s="191">
        <v>77.900000000000006</v>
      </c>
      <c r="I412" s="84">
        <v>74.240319999999997</v>
      </c>
      <c r="J412" s="23" t="s">
        <v>749</v>
      </c>
      <c r="K412" s="86" t="s">
        <v>750</v>
      </c>
      <c r="L412" s="86">
        <v>2</v>
      </c>
      <c r="M412" s="86"/>
      <c r="O412" s="100"/>
      <c r="P412" s="143">
        <v>1</v>
      </c>
      <c r="Q412" s="102">
        <v>1</v>
      </c>
      <c r="R412" s="103" t="s">
        <v>395</v>
      </c>
      <c r="S412" s="144" t="s">
        <v>695</v>
      </c>
      <c r="T412" s="112" t="s">
        <v>296</v>
      </c>
      <c r="U412" s="106" t="s">
        <v>728</v>
      </c>
      <c r="V412" s="107">
        <v>39</v>
      </c>
      <c r="W412" s="108"/>
      <c r="X412" s="109" t="s">
        <v>117</v>
      </c>
      <c r="Y412" s="20">
        <f t="shared" si="18"/>
        <v>1</v>
      </c>
      <c r="AA412" s="98">
        <f t="shared" si="16"/>
        <v>3.6596800000000087</v>
      </c>
      <c r="AB412" s="98" t="e">
        <f t="shared" si="17"/>
        <v>#VALUE!</v>
      </c>
    </row>
    <row r="413" spans="1:35" ht="22.35" customHeight="1" thickBot="1" x14ac:dyDescent="0.3">
      <c r="A413" s="192" t="s">
        <v>255</v>
      </c>
      <c r="B413" s="192" t="s">
        <v>751</v>
      </c>
      <c r="C413" s="193">
        <v>8</v>
      </c>
      <c r="D413" s="194" t="s">
        <v>752</v>
      </c>
      <c r="E413" s="194" t="s">
        <v>753</v>
      </c>
      <c r="F413" s="195" t="s">
        <v>754</v>
      </c>
      <c r="G413" s="196" t="s">
        <v>89</v>
      </c>
      <c r="H413" s="191">
        <v>21.9</v>
      </c>
      <c r="I413" s="197">
        <v>21.84</v>
      </c>
      <c r="J413" s="194" t="s">
        <v>755</v>
      </c>
      <c r="K413" s="198" t="s">
        <v>756</v>
      </c>
      <c r="L413" s="198">
        <v>1</v>
      </c>
      <c r="M413" s="198"/>
      <c r="N413" s="228"/>
      <c r="O413" s="200"/>
      <c r="P413" s="201">
        <v>1</v>
      </c>
      <c r="Q413" s="202">
        <v>1</v>
      </c>
      <c r="R413" s="315">
        <v>24.9</v>
      </c>
      <c r="S413" s="144" t="s">
        <v>695</v>
      </c>
      <c r="T413" s="112" t="s">
        <v>296</v>
      </c>
      <c r="U413" s="106" t="s">
        <v>728</v>
      </c>
      <c r="V413" s="107">
        <v>39</v>
      </c>
      <c r="W413" s="108"/>
      <c r="X413" s="109" t="s">
        <v>209</v>
      </c>
      <c r="Y413" s="20">
        <f t="shared" si="18"/>
        <v>1</v>
      </c>
      <c r="AA413" s="98">
        <f t="shared" si="16"/>
        <v>5.9999999999998721E-2</v>
      </c>
      <c r="AB413" s="98">
        <f t="shared" si="17"/>
        <v>3</v>
      </c>
    </row>
    <row r="414" spans="1:35" ht="22.35" customHeight="1" thickBot="1" x14ac:dyDescent="0.3">
      <c r="A414" s="209"/>
      <c r="B414" s="209"/>
      <c r="C414" s="193"/>
      <c r="D414" s="194"/>
      <c r="E414" s="194"/>
      <c r="F414" s="227"/>
      <c r="G414" s="196"/>
      <c r="H414" s="246"/>
      <c r="I414" s="196"/>
      <c r="J414" s="194"/>
      <c r="K414" s="198"/>
      <c r="L414" s="198">
        <v>4</v>
      </c>
      <c r="M414" s="198"/>
      <c r="N414" s="228">
        <v>0</v>
      </c>
      <c r="O414" s="316"/>
      <c r="P414" s="317"/>
      <c r="Q414" s="317"/>
      <c r="R414" s="318"/>
      <c r="S414" s="220" t="s">
        <v>757</v>
      </c>
      <c r="T414" s="221" t="str">
        <f>INDEX([1]data!$B$1:$B$100,MATCH('04.02 - 10.02'!S414,[0]!exclusive01,))</f>
        <v>VU</v>
      </c>
      <c r="U414" s="221"/>
      <c r="V414" s="222">
        <v>39</v>
      </c>
      <c r="W414" s="108"/>
      <c r="X414" s="109" t="s">
        <v>119</v>
      </c>
      <c r="Y414" s="20">
        <f t="shared" si="18"/>
        <v>0</v>
      </c>
      <c r="AA414" s="98">
        <f t="shared" si="16"/>
        <v>0</v>
      </c>
      <c r="AB414" s="98">
        <f t="shared" si="17"/>
        <v>0</v>
      </c>
    </row>
    <row r="415" spans="1:35" ht="22.35" customHeight="1" thickBot="1" x14ac:dyDescent="0.3">
      <c r="A415" s="80"/>
      <c r="B415" s="80">
        <v>8585002443304</v>
      </c>
      <c r="C415" s="81">
        <v>12</v>
      </c>
      <c r="D415" s="23" t="s">
        <v>758</v>
      </c>
      <c r="E415" s="23" t="s">
        <v>759</v>
      </c>
      <c r="F415" s="82" t="s">
        <v>760</v>
      </c>
      <c r="G415" s="21" t="s">
        <v>89</v>
      </c>
      <c r="H415" s="191">
        <v>29.9</v>
      </c>
      <c r="I415" s="21">
        <v>28.57</v>
      </c>
      <c r="J415" s="23" t="s">
        <v>421</v>
      </c>
      <c r="K415" s="86">
        <v>4053805</v>
      </c>
      <c r="L415" s="86">
        <v>4</v>
      </c>
      <c r="M415" s="86"/>
      <c r="N415" s="87">
        <v>0</v>
      </c>
      <c r="O415" s="223">
        <v>985</v>
      </c>
      <c r="P415" s="224">
        <v>1</v>
      </c>
      <c r="Q415" s="224">
        <v>1</v>
      </c>
      <c r="R415" s="225">
        <v>31.9</v>
      </c>
      <c r="S415" s="208" t="s">
        <v>761</v>
      </c>
      <c r="T415" s="94" t="str">
        <f>INDEX([1]data!$B$1:$B$100,MATCH('04.02 - 10.02'!S415,[0]!exclusive01,))</f>
        <v>DUCANH</v>
      </c>
      <c r="U415" s="94"/>
      <c r="V415" s="95">
        <v>40</v>
      </c>
      <c r="W415" s="108"/>
      <c r="X415" s="109" t="s">
        <v>45</v>
      </c>
      <c r="Y415" s="20">
        <f t="shared" si="18"/>
        <v>1</v>
      </c>
      <c r="AA415" s="98">
        <f t="shared" si="16"/>
        <v>1.3299999999999983</v>
      </c>
      <c r="AB415" s="98">
        <f t="shared" si="17"/>
        <v>2</v>
      </c>
    </row>
    <row r="416" spans="1:35" ht="22.35" customHeight="1" thickBot="1" x14ac:dyDescent="0.3">
      <c r="A416" s="80" t="s">
        <v>328</v>
      </c>
      <c r="B416" s="80" t="s">
        <v>762</v>
      </c>
      <c r="C416" s="81">
        <v>6</v>
      </c>
      <c r="D416" s="23" t="s">
        <v>763</v>
      </c>
      <c r="E416" s="23" t="s">
        <v>764</v>
      </c>
      <c r="F416" s="82" t="s">
        <v>765</v>
      </c>
      <c r="G416" s="21" t="s">
        <v>538</v>
      </c>
      <c r="H416" s="191">
        <v>47.9</v>
      </c>
      <c r="I416" s="21">
        <v>40.880000000000003</v>
      </c>
      <c r="J416" s="23" t="s">
        <v>766</v>
      </c>
      <c r="K416" s="86" t="s">
        <v>767</v>
      </c>
      <c r="L416" s="86">
        <v>4</v>
      </c>
      <c r="M416" s="86"/>
      <c r="N416" s="87">
        <v>1</v>
      </c>
      <c r="O416" s="223"/>
      <c r="P416" s="224">
        <v>1</v>
      </c>
      <c r="Q416" s="224">
        <v>1</v>
      </c>
      <c r="R416" s="225">
        <v>50.9</v>
      </c>
      <c r="S416" s="226" t="s">
        <v>768</v>
      </c>
      <c r="T416" s="94" t="str">
        <f>INDEX([1]data!$B$1:$B$100,MATCH('04.02 - 10.02'!S416,[0]!exclusive01,))</f>
        <v>VU</v>
      </c>
      <c r="U416" s="106"/>
      <c r="V416" s="107">
        <v>40</v>
      </c>
      <c r="W416" s="108"/>
      <c r="X416" s="109" t="s">
        <v>55</v>
      </c>
      <c r="Y416" s="20">
        <f t="shared" si="18"/>
        <v>1</v>
      </c>
      <c r="AA416" s="98">
        <f t="shared" si="16"/>
        <v>7.019999999999996</v>
      </c>
      <c r="AB416" s="98">
        <f t="shared" si="17"/>
        <v>3</v>
      </c>
    </row>
    <row r="417" spans="1:28" ht="22.35" customHeight="1" thickBot="1" x14ac:dyDescent="0.3">
      <c r="A417" s="80" t="s">
        <v>769</v>
      </c>
      <c r="B417" s="80" t="s">
        <v>770</v>
      </c>
      <c r="C417" s="81">
        <v>25</v>
      </c>
      <c r="D417" s="23" t="s">
        <v>771</v>
      </c>
      <c r="E417" s="23" t="s">
        <v>772</v>
      </c>
      <c r="G417" s="21" t="s">
        <v>538</v>
      </c>
      <c r="H417" s="277">
        <v>4.9000000000000004</v>
      </c>
      <c r="I417" s="21">
        <v>4.76</v>
      </c>
      <c r="J417" s="23" t="s">
        <v>773</v>
      </c>
      <c r="K417" s="86" t="s">
        <v>774</v>
      </c>
      <c r="L417" s="86">
        <v>4</v>
      </c>
      <c r="M417" s="86"/>
      <c r="N417" s="87">
        <v>1</v>
      </c>
      <c r="O417" s="223"/>
      <c r="P417" s="224">
        <v>1</v>
      </c>
      <c r="Q417" s="224">
        <v>1</v>
      </c>
      <c r="R417" s="225" t="s">
        <v>745</v>
      </c>
      <c r="S417" s="226" t="s">
        <v>775</v>
      </c>
      <c r="T417" s="94" t="str">
        <f>INDEX([1]data!$B$1:$B$100,MATCH('04.02 - 10.02'!S417,[0]!exclusive01,))</f>
        <v>VU</v>
      </c>
      <c r="U417" s="106"/>
      <c r="V417" s="107">
        <v>40</v>
      </c>
      <c r="W417" s="108">
        <v>1</v>
      </c>
      <c r="X417" s="109" t="s">
        <v>117</v>
      </c>
      <c r="Y417" s="20">
        <f t="shared" si="18"/>
        <v>1</v>
      </c>
      <c r="AA417" s="98">
        <f t="shared" si="16"/>
        <v>0.14000000000000057</v>
      </c>
      <c r="AB417" s="98" t="e">
        <f t="shared" si="17"/>
        <v>#VALUE!</v>
      </c>
    </row>
    <row r="418" spans="1:28" ht="22.35" customHeight="1" thickBot="1" x14ac:dyDescent="0.3">
      <c r="A418" s="209" t="s">
        <v>255</v>
      </c>
      <c r="B418" s="209" t="s">
        <v>776</v>
      </c>
      <c r="C418" s="193">
        <v>25</v>
      </c>
      <c r="D418" s="194" t="s">
        <v>752</v>
      </c>
      <c r="E418" s="194" t="s">
        <v>777</v>
      </c>
      <c r="F418" s="227"/>
      <c r="G418" s="196" t="s">
        <v>89</v>
      </c>
      <c r="H418" s="191">
        <v>8.9</v>
      </c>
      <c r="I418" s="196">
        <v>7.9598399999999998</v>
      </c>
      <c r="J418" s="194" t="s">
        <v>755</v>
      </c>
      <c r="K418" s="198" t="s">
        <v>778</v>
      </c>
      <c r="L418" s="198">
        <v>4</v>
      </c>
      <c r="M418" s="198"/>
      <c r="N418" s="228">
        <v>1</v>
      </c>
      <c r="O418" s="229"/>
      <c r="P418" s="230">
        <v>1</v>
      </c>
      <c r="Q418" s="230">
        <v>1</v>
      </c>
      <c r="R418" s="231" t="s">
        <v>779</v>
      </c>
      <c r="S418" s="232" t="s">
        <v>780</v>
      </c>
      <c r="T418" s="125" t="str">
        <f>INDEX([1]data!$B$1:$B$100,MATCH('04.02 - 10.02'!S418,[0]!exclusive01,))</f>
        <v>VU</v>
      </c>
      <c r="U418" s="125"/>
      <c r="V418" s="233">
        <v>40</v>
      </c>
      <c r="W418" s="108"/>
      <c r="X418" s="109" t="s">
        <v>119</v>
      </c>
      <c r="Y418" s="20">
        <f t="shared" si="18"/>
        <v>1</v>
      </c>
      <c r="AA418" s="98">
        <f t="shared" si="16"/>
        <v>0.94016000000000055</v>
      </c>
      <c r="AB418" s="98" t="e">
        <f t="shared" si="17"/>
        <v>#VALUE!</v>
      </c>
    </row>
    <row r="419" spans="1:28" ht="22.35" customHeight="1" thickBot="1" x14ac:dyDescent="0.3">
      <c r="A419" s="80" t="s">
        <v>103</v>
      </c>
      <c r="B419" s="80" t="s">
        <v>781</v>
      </c>
      <c r="C419" s="81">
        <v>8</v>
      </c>
      <c r="D419" s="23" t="s">
        <v>782</v>
      </c>
      <c r="E419" s="23" t="s">
        <v>783</v>
      </c>
      <c r="F419" s="141" t="s">
        <v>274</v>
      </c>
      <c r="G419" s="21">
        <v>1</v>
      </c>
      <c r="H419" s="191">
        <v>37.9</v>
      </c>
      <c r="I419" s="84">
        <v>36.85</v>
      </c>
      <c r="J419" s="23" t="s">
        <v>784</v>
      </c>
      <c r="K419" s="86" t="s">
        <v>785</v>
      </c>
      <c r="L419" s="86">
        <v>1</v>
      </c>
      <c r="M419" s="86"/>
      <c r="O419" s="88"/>
      <c r="P419" s="136">
        <v>1</v>
      </c>
      <c r="Q419" s="90">
        <v>1</v>
      </c>
      <c r="R419" s="91" t="s">
        <v>489</v>
      </c>
      <c r="S419" s="139" t="s">
        <v>695</v>
      </c>
      <c r="T419" s="140" t="s">
        <v>296</v>
      </c>
      <c r="U419" s="94" t="s">
        <v>786</v>
      </c>
      <c r="V419" s="95">
        <v>41</v>
      </c>
      <c r="W419" s="108"/>
      <c r="X419" s="109" t="s">
        <v>45</v>
      </c>
      <c r="Y419" s="20">
        <f t="shared" si="18"/>
        <v>1</v>
      </c>
      <c r="AA419" s="98">
        <f t="shared" si="16"/>
        <v>1.0499999999999972</v>
      </c>
      <c r="AB419" s="98" t="e">
        <f t="shared" si="17"/>
        <v>#VALUE!</v>
      </c>
    </row>
    <row r="420" spans="1:28" ht="22.35" customHeight="1" thickBot="1" x14ac:dyDescent="0.3">
      <c r="A420" s="80" t="s">
        <v>103</v>
      </c>
      <c r="B420" s="80" t="s">
        <v>787</v>
      </c>
      <c r="C420" s="81">
        <v>8</v>
      </c>
      <c r="D420" s="23" t="s">
        <v>788</v>
      </c>
      <c r="E420" s="23" t="s">
        <v>789</v>
      </c>
      <c r="F420" s="141" t="s">
        <v>274</v>
      </c>
      <c r="G420" s="21">
        <v>1</v>
      </c>
      <c r="H420" s="191">
        <v>27.9</v>
      </c>
      <c r="I420" s="84">
        <v>26.77</v>
      </c>
      <c r="J420" s="23" t="s">
        <v>784</v>
      </c>
      <c r="K420" s="86" t="s">
        <v>790</v>
      </c>
      <c r="L420" s="86">
        <v>1</v>
      </c>
      <c r="M420" s="86"/>
      <c r="O420" s="100"/>
      <c r="P420" s="143">
        <v>1</v>
      </c>
      <c r="Q420" s="102">
        <v>1</v>
      </c>
      <c r="R420" s="103" t="s">
        <v>791</v>
      </c>
      <c r="S420" s="144" t="s">
        <v>695</v>
      </c>
      <c r="T420" s="112" t="s">
        <v>296</v>
      </c>
      <c r="U420" s="106" t="s">
        <v>786</v>
      </c>
      <c r="V420" s="107">
        <v>41</v>
      </c>
      <c r="W420" s="108"/>
      <c r="X420" s="109" t="s">
        <v>50</v>
      </c>
      <c r="Y420" s="20">
        <f t="shared" si="18"/>
        <v>1</v>
      </c>
      <c r="AA420" s="98">
        <f t="shared" si="16"/>
        <v>1.129999999999999</v>
      </c>
      <c r="AB420" s="98" t="e">
        <f t="shared" si="17"/>
        <v>#VALUE!</v>
      </c>
    </row>
    <row r="421" spans="1:28" ht="22.35" customHeight="1" thickBot="1" x14ac:dyDescent="0.3">
      <c r="A421" s="80" t="s">
        <v>103</v>
      </c>
      <c r="B421" s="80" t="s">
        <v>792</v>
      </c>
      <c r="C421" s="81">
        <v>12</v>
      </c>
      <c r="D421" s="23" t="s">
        <v>793</v>
      </c>
      <c r="E421" s="23" t="s">
        <v>794</v>
      </c>
      <c r="F421" s="141" t="s">
        <v>185</v>
      </c>
      <c r="G421" s="21">
        <v>3</v>
      </c>
      <c r="H421" s="191">
        <v>33.9</v>
      </c>
      <c r="I421" s="84">
        <v>32.979520000000001</v>
      </c>
      <c r="J421" s="23" t="s">
        <v>795</v>
      </c>
      <c r="K421" s="86" t="s">
        <v>796</v>
      </c>
      <c r="L421" s="86">
        <v>1</v>
      </c>
      <c r="M421" s="86"/>
      <c r="O421" s="100"/>
      <c r="P421" s="143">
        <v>1</v>
      </c>
      <c r="Q421" s="102">
        <v>1</v>
      </c>
      <c r="R421" s="103" t="s">
        <v>797</v>
      </c>
      <c r="S421" s="144" t="s">
        <v>695</v>
      </c>
      <c r="T421" s="112" t="s">
        <v>296</v>
      </c>
      <c r="U421" s="106" t="s">
        <v>798</v>
      </c>
      <c r="V421" s="107">
        <v>41</v>
      </c>
      <c r="W421" s="108"/>
      <c r="X421" s="109" t="s">
        <v>55</v>
      </c>
      <c r="Y421" s="20">
        <f t="shared" si="18"/>
        <v>1</v>
      </c>
      <c r="AA421" s="98">
        <f t="shared" si="16"/>
        <v>0.92047999999999774</v>
      </c>
      <c r="AB421" s="98" t="e">
        <f t="shared" si="17"/>
        <v>#VALUE!</v>
      </c>
    </row>
    <row r="422" spans="1:28" ht="22.35" customHeight="1" thickBot="1" x14ac:dyDescent="0.3">
      <c r="A422" s="80" t="s">
        <v>103</v>
      </c>
      <c r="B422" s="80" t="s">
        <v>799</v>
      </c>
      <c r="C422" s="81">
        <v>8</v>
      </c>
      <c r="D422" s="23" t="s">
        <v>800</v>
      </c>
      <c r="E422" s="23" t="s">
        <v>801</v>
      </c>
      <c r="F422" s="141" t="s">
        <v>175</v>
      </c>
      <c r="G422" s="21">
        <v>3</v>
      </c>
      <c r="H422" s="191">
        <v>23.9</v>
      </c>
      <c r="I422" s="84">
        <v>23.860479999999999</v>
      </c>
      <c r="J422" s="23" t="s">
        <v>802</v>
      </c>
      <c r="K422" s="86" t="s">
        <v>803</v>
      </c>
      <c r="L422" s="86">
        <v>1</v>
      </c>
      <c r="M422" s="86"/>
      <c r="O422" s="100"/>
      <c r="P422" s="143">
        <v>1</v>
      </c>
      <c r="Q422" s="102">
        <v>1</v>
      </c>
      <c r="R422" s="103" t="s">
        <v>499</v>
      </c>
      <c r="S422" s="144" t="s">
        <v>695</v>
      </c>
      <c r="T422" s="112" t="s">
        <v>296</v>
      </c>
      <c r="U422" s="106" t="s">
        <v>798</v>
      </c>
      <c r="V422" s="107">
        <v>41</v>
      </c>
      <c r="W422" s="108"/>
      <c r="X422" s="109" t="s">
        <v>59</v>
      </c>
      <c r="Y422" s="20">
        <f t="shared" si="18"/>
        <v>1</v>
      </c>
      <c r="AA422" s="98">
        <f t="shared" si="16"/>
        <v>3.9519999999999555E-2</v>
      </c>
      <c r="AB422" s="98" t="e">
        <f t="shared" si="17"/>
        <v>#VALUE!</v>
      </c>
    </row>
    <row r="423" spans="1:28" ht="22.35" customHeight="1" thickBot="1" x14ac:dyDescent="0.3">
      <c r="A423" s="80" t="s">
        <v>607</v>
      </c>
      <c r="B423" s="80" t="s">
        <v>804</v>
      </c>
      <c r="C423" s="81">
        <v>50</v>
      </c>
      <c r="D423" s="23" t="s">
        <v>805</v>
      </c>
      <c r="E423" s="23" t="s">
        <v>806</v>
      </c>
      <c r="F423" s="141" t="s">
        <v>53</v>
      </c>
      <c r="G423" s="21">
        <v>1</v>
      </c>
      <c r="H423" s="191">
        <v>4.5</v>
      </c>
      <c r="I423" s="84">
        <v>4.4800000000000004</v>
      </c>
      <c r="J423" s="23" t="s">
        <v>807</v>
      </c>
      <c r="K423" s="86" t="s">
        <v>808</v>
      </c>
      <c r="L423" s="86">
        <v>1</v>
      </c>
      <c r="M423" s="86"/>
      <c r="O423" s="100"/>
      <c r="P423" s="143">
        <v>1</v>
      </c>
      <c r="Q423" s="102">
        <v>1</v>
      </c>
      <c r="R423" s="103" t="s">
        <v>809</v>
      </c>
      <c r="S423" s="144" t="s">
        <v>695</v>
      </c>
      <c r="T423" s="112" t="s">
        <v>296</v>
      </c>
      <c r="U423" s="106" t="s">
        <v>798</v>
      </c>
      <c r="V423" s="107">
        <v>41</v>
      </c>
      <c r="W423" s="108"/>
      <c r="X423" s="109" t="s">
        <v>63</v>
      </c>
      <c r="Y423" s="20">
        <f t="shared" si="18"/>
        <v>1</v>
      </c>
      <c r="AA423" s="98">
        <f t="shared" si="16"/>
        <v>1.9999999999999574E-2</v>
      </c>
      <c r="AB423" s="98" t="e">
        <f t="shared" si="17"/>
        <v>#VALUE!</v>
      </c>
    </row>
    <row r="424" spans="1:28" ht="22.35" customHeight="1" thickBot="1" x14ac:dyDescent="0.3">
      <c r="A424" s="80" t="s">
        <v>103</v>
      </c>
      <c r="B424" s="80" t="s">
        <v>810</v>
      </c>
      <c r="C424" s="81">
        <v>24</v>
      </c>
      <c r="D424" s="23" t="s">
        <v>811</v>
      </c>
      <c r="E424" s="23" t="s">
        <v>812</v>
      </c>
      <c r="F424" s="141" t="s">
        <v>274</v>
      </c>
      <c r="G424" s="21">
        <v>1</v>
      </c>
      <c r="H424" s="191">
        <v>12.9</v>
      </c>
      <c r="I424" s="84">
        <v>12.66048</v>
      </c>
      <c r="J424" s="23" t="s">
        <v>813</v>
      </c>
      <c r="K424" s="86" t="s">
        <v>814</v>
      </c>
      <c r="L424" s="86">
        <v>1</v>
      </c>
      <c r="M424" s="86"/>
      <c r="O424" s="100"/>
      <c r="P424" s="143">
        <v>1</v>
      </c>
      <c r="Q424" s="102">
        <v>1</v>
      </c>
      <c r="R424" s="103" t="s">
        <v>583</v>
      </c>
      <c r="S424" s="144" t="s">
        <v>695</v>
      </c>
      <c r="T424" s="112" t="s">
        <v>296</v>
      </c>
      <c r="U424" s="106" t="s">
        <v>798</v>
      </c>
      <c r="V424" s="107">
        <v>41</v>
      </c>
      <c r="W424" s="108"/>
      <c r="X424" s="109" t="s">
        <v>66</v>
      </c>
      <c r="Y424" s="20">
        <f t="shared" si="18"/>
        <v>1</v>
      </c>
      <c r="AA424" s="98">
        <f t="shared" ref="AA424:AA487" si="19">H424-I424</f>
        <v>0.23952000000000062</v>
      </c>
      <c r="AB424" s="98" t="e">
        <f t="shared" ref="AB424:AB487" si="20">R424-H424</f>
        <v>#VALUE!</v>
      </c>
    </row>
    <row r="425" spans="1:28" ht="22.35" customHeight="1" thickBot="1" x14ac:dyDescent="0.3">
      <c r="A425" s="80" t="s">
        <v>815</v>
      </c>
      <c r="B425" s="80" t="s">
        <v>816</v>
      </c>
      <c r="C425" s="81">
        <v>50</v>
      </c>
      <c r="D425" s="23" t="s">
        <v>811</v>
      </c>
      <c r="E425" s="23" t="s">
        <v>817</v>
      </c>
      <c r="F425" s="141" t="s">
        <v>599</v>
      </c>
      <c r="G425" s="21">
        <v>1</v>
      </c>
      <c r="H425" s="191">
        <v>7.9</v>
      </c>
      <c r="I425" s="84">
        <v>7.84</v>
      </c>
      <c r="J425" s="23" t="s">
        <v>813</v>
      </c>
      <c r="K425" s="86" t="s">
        <v>818</v>
      </c>
      <c r="L425" s="86">
        <v>1</v>
      </c>
      <c r="M425" s="86"/>
      <c r="O425" s="100"/>
      <c r="P425" s="143">
        <v>1</v>
      </c>
      <c r="Q425" s="102">
        <v>1</v>
      </c>
      <c r="R425" s="103" t="s">
        <v>779</v>
      </c>
      <c r="S425" s="144" t="s">
        <v>695</v>
      </c>
      <c r="T425" s="112" t="s">
        <v>296</v>
      </c>
      <c r="U425" s="106" t="s">
        <v>819</v>
      </c>
      <c r="V425" s="107">
        <v>41</v>
      </c>
      <c r="W425" s="108"/>
      <c r="X425" s="109" t="s">
        <v>179</v>
      </c>
      <c r="Y425" s="20">
        <f t="shared" si="18"/>
        <v>1</v>
      </c>
      <c r="AA425" s="98">
        <f t="shared" si="19"/>
        <v>6.0000000000000497E-2</v>
      </c>
      <c r="AB425" s="98" t="e">
        <f t="shared" si="20"/>
        <v>#VALUE!</v>
      </c>
    </row>
    <row r="426" spans="1:28" ht="22.35" customHeight="1" thickBot="1" x14ac:dyDescent="0.3">
      <c r="A426" s="209" t="s">
        <v>103</v>
      </c>
      <c r="B426" s="209" t="s">
        <v>820</v>
      </c>
      <c r="C426" s="210">
        <v>25</v>
      </c>
      <c r="D426" s="211" t="s">
        <v>821</v>
      </c>
      <c r="E426" s="211" t="s">
        <v>822</v>
      </c>
      <c r="F426" s="236" t="s">
        <v>823</v>
      </c>
      <c r="G426" s="213">
        <v>1</v>
      </c>
      <c r="H426" s="191">
        <v>13.9</v>
      </c>
      <c r="I426" s="238">
        <v>13.44</v>
      </c>
      <c r="J426" s="211" t="s">
        <v>824</v>
      </c>
      <c r="K426" s="215" t="s">
        <v>825</v>
      </c>
      <c r="L426" s="215">
        <v>1</v>
      </c>
      <c r="M426" s="215"/>
      <c r="N426" s="216"/>
      <c r="O426" s="239"/>
      <c r="P426" s="240">
        <v>1</v>
      </c>
      <c r="Q426" s="154">
        <v>1</v>
      </c>
      <c r="R426" s="241" t="s">
        <v>826</v>
      </c>
      <c r="S426" s="242" t="s">
        <v>695</v>
      </c>
      <c r="T426" s="243" t="s">
        <v>296</v>
      </c>
      <c r="U426" s="244" t="s">
        <v>819</v>
      </c>
      <c r="V426" s="233">
        <v>41</v>
      </c>
      <c r="W426" s="108"/>
      <c r="X426" s="109" t="s">
        <v>70</v>
      </c>
      <c r="Y426" s="20">
        <f t="shared" si="18"/>
        <v>1</v>
      </c>
      <c r="AA426" s="98">
        <f t="shared" si="19"/>
        <v>0.46000000000000085</v>
      </c>
      <c r="AB426" s="98" t="e">
        <f t="shared" si="20"/>
        <v>#VALUE!</v>
      </c>
    </row>
    <row r="427" spans="1:28" ht="22.35" customHeight="1" thickBot="1" x14ac:dyDescent="0.3">
      <c r="A427" s="285" t="s">
        <v>607</v>
      </c>
      <c r="B427" s="285" t="s">
        <v>827</v>
      </c>
      <c r="C427" s="286">
        <v>12</v>
      </c>
      <c r="D427" s="287" t="s">
        <v>828</v>
      </c>
      <c r="E427" s="287" t="s">
        <v>829</v>
      </c>
      <c r="F427" s="288" t="s">
        <v>40</v>
      </c>
      <c r="G427" s="289">
        <v>1</v>
      </c>
      <c r="H427" s="191">
        <v>11.9</v>
      </c>
      <c r="I427" s="289">
        <v>11.67</v>
      </c>
      <c r="J427" s="287" t="s">
        <v>830</v>
      </c>
      <c r="K427" s="291" t="s">
        <v>831</v>
      </c>
      <c r="L427" s="291">
        <v>4</v>
      </c>
      <c r="M427" s="291"/>
      <c r="N427" s="292">
        <v>1</v>
      </c>
      <c r="O427" s="293"/>
      <c r="P427" s="294">
        <v>1</v>
      </c>
      <c r="Q427" s="294"/>
      <c r="R427" s="295" t="s">
        <v>832</v>
      </c>
      <c r="S427" s="296" t="s">
        <v>833</v>
      </c>
      <c r="T427" s="94" t="str">
        <f>INDEX([1]data!$B$1:$B$100,MATCH('04.02 - 10.02'!S427,[0]!exclusive01,))</f>
        <v>VU</v>
      </c>
      <c r="U427" s="297"/>
      <c r="V427" s="298">
        <v>41</v>
      </c>
      <c r="W427" s="108"/>
      <c r="X427" s="109" t="s">
        <v>117</v>
      </c>
      <c r="Y427" s="20">
        <f t="shared" si="18"/>
        <v>1</v>
      </c>
      <c r="AA427" s="98">
        <f t="shared" si="19"/>
        <v>0.23000000000000043</v>
      </c>
      <c r="AB427" s="98" t="e">
        <f t="shared" si="20"/>
        <v>#VALUE!</v>
      </c>
    </row>
    <row r="428" spans="1:28" ht="22.35" customHeight="1" thickBot="1" x14ac:dyDescent="0.3">
      <c r="A428" s="209"/>
      <c r="B428" s="209"/>
      <c r="C428" s="210"/>
      <c r="D428" s="319" t="s">
        <v>834</v>
      </c>
      <c r="E428" s="211"/>
      <c r="F428" s="212"/>
      <c r="G428" s="213"/>
      <c r="H428" s="237"/>
      <c r="I428" s="213"/>
      <c r="J428" s="211"/>
      <c r="K428" s="215"/>
      <c r="L428" s="215">
        <v>4</v>
      </c>
      <c r="M428" s="215"/>
      <c r="N428" s="216"/>
      <c r="O428" s="247"/>
      <c r="P428" s="248"/>
      <c r="Q428" s="248"/>
      <c r="R428" s="249"/>
      <c r="S428" s="250" t="s">
        <v>835</v>
      </c>
      <c r="T428" s="125" t="str">
        <f>INDEX([1]data!$B$1:$B$100,MATCH('04.02 - 10.02'!S428,[0]!exclusive01,))</f>
        <v>VU</v>
      </c>
      <c r="U428" s="244"/>
      <c r="V428" s="245">
        <v>41</v>
      </c>
      <c r="W428" s="108"/>
      <c r="X428" s="109" t="s">
        <v>119</v>
      </c>
      <c r="Y428" s="20">
        <f t="shared" si="18"/>
        <v>0</v>
      </c>
      <c r="AA428" s="98">
        <f t="shared" si="19"/>
        <v>0</v>
      </c>
      <c r="AB428" s="98">
        <f t="shared" si="20"/>
        <v>0</v>
      </c>
    </row>
    <row r="429" spans="1:28" ht="22.35" customHeight="1" thickBot="1" x14ac:dyDescent="0.3">
      <c r="A429" s="80" t="s">
        <v>103</v>
      </c>
      <c r="B429" s="80" t="s">
        <v>836</v>
      </c>
      <c r="C429" s="81">
        <v>25</v>
      </c>
      <c r="D429" s="23" t="s">
        <v>837</v>
      </c>
      <c r="E429" s="23" t="s">
        <v>838</v>
      </c>
      <c r="G429" s="21" t="s">
        <v>538</v>
      </c>
      <c r="H429" s="320">
        <v>7.5</v>
      </c>
      <c r="I429" s="21">
        <v>6.6203200000000004</v>
      </c>
      <c r="J429" s="23" t="s">
        <v>562</v>
      </c>
      <c r="K429" s="86" t="s">
        <v>839</v>
      </c>
      <c r="L429" s="86">
        <v>4</v>
      </c>
      <c r="M429" s="86"/>
      <c r="N429" s="87">
        <v>1</v>
      </c>
      <c r="O429" s="235"/>
      <c r="P429" s="206">
        <v>1</v>
      </c>
      <c r="Q429" s="206">
        <v>1</v>
      </c>
      <c r="R429" s="207" t="s">
        <v>840</v>
      </c>
      <c r="S429" s="226" t="s">
        <v>841</v>
      </c>
      <c r="T429" s="94" t="str">
        <f>INDEX([1]data!$B$1:$B$100,MATCH('04.02 - 10.02'!S429,[0]!exclusive01,))</f>
        <v>VU</v>
      </c>
      <c r="U429" s="106"/>
      <c r="V429" s="107">
        <v>42</v>
      </c>
      <c r="W429" s="108">
        <v>1</v>
      </c>
      <c r="X429" s="109" t="s">
        <v>45</v>
      </c>
      <c r="Y429" s="20">
        <f t="shared" si="18"/>
        <v>1</v>
      </c>
      <c r="AA429" s="98">
        <f t="shared" si="19"/>
        <v>0.87967999999999957</v>
      </c>
      <c r="AB429" s="98" t="e">
        <f t="shared" si="20"/>
        <v>#VALUE!</v>
      </c>
    </row>
    <row r="430" spans="1:28" ht="22.35" customHeight="1" thickBot="1" x14ac:dyDescent="0.3">
      <c r="A430" s="80" t="s">
        <v>103</v>
      </c>
      <c r="B430" s="80" t="s">
        <v>842</v>
      </c>
      <c r="C430" s="81">
        <v>36</v>
      </c>
      <c r="D430" s="23" t="s">
        <v>843</v>
      </c>
      <c r="E430" s="23" t="s">
        <v>844</v>
      </c>
      <c r="F430" s="82" t="s">
        <v>845</v>
      </c>
      <c r="G430" s="21">
        <v>2</v>
      </c>
      <c r="H430" s="191">
        <v>12.5</v>
      </c>
      <c r="I430" s="21">
        <v>12.32</v>
      </c>
      <c r="J430" s="23" t="s">
        <v>846</v>
      </c>
      <c r="K430" s="86" t="s">
        <v>847</v>
      </c>
      <c r="L430" s="86">
        <v>4</v>
      </c>
      <c r="M430" s="86"/>
      <c r="N430" s="87">
        <v>0</v>
      </c>
      <c r="O430" s="223"/>
      <c r="P430" s="224">
        <v>1</v>
      </c>
      <c r="Q430" s="224">
        <v>1</v>
      </c>
      <c r="R430" s="225" t="s">
        <v>590</v>
      </c>
      <c r="S430" s="226" t="s">
        <v>848</v>
      </c>
      <c r="T430" s="94" t="str">
        <f>INDEX([1]data!$B$1:$B$100,MATCH('04.02 - 10.02'!S430,[0]!exclusive01,))</f>
        <v>VU</v>
      </c>
      <c r="U430" s="106"/>
      <c r="V430" s="107">
        <v>42</v>
      </c>
      <c r="W430" s="108"/>
      <c r="X430" s="109" t="s">
        <v>55</v>
      </c>
      <c r="Y430" s="20">
        <f t="shared" si="18"/>
        <v>1</v>
      </c>
      <c r="AA430" s="98">
        <f t="shared" si="19"/>
        <v>0.17999999999999972</v>
      </c>
      <c r="AB430" s="98" t="e">
        <f t="shared" si="20"/>
        <v>#VALUE!</v>
      </c>
    </row>
    <row r="431" spans="1:28" ht="22.35" customHeight="1" thickBot="1" x14ac:dyDescent="0.3">
      <c r="A431" s="80" t="s">
        <v>103</v>
      </c>
      <c r="B431" s="80" t="s">
        <v>849</v>
      </c>
      <c r="C431" s="81">
        <v>48</v>
      </c>
      <c r="D431" s="23" t="s">
        <v>843</v>
      </c>
      <c r="E431" s="23" t="s">
        <v>850</v>
      </c>
      <c r="F431" s="82" t="s">
        <v>517</v>
      </c>
      <c r="G431" s="21" t="s">
        <v>538</v>
      </c>
      <c r="H431" s="191">
        <v>36.9</v>
      </c>
      <c r="I431" s="21">
        <v>36.064</v>
      </c>
      <c r="J431" s="23" t="s">
        <v>846</v>
      </c>
      <c r="K431" s="86" t="s">
        <v>851</v>
      </c>
      <c r="L431" s="86">
        <v>4</v>
      </c>
      <c r="M431" s="86"/>
      <c r="N431" s="87">
        <v>0</v>
      </c>
      <c r="O431" s="223"/>
      <c r="P431" s="224">
        <v>1</v>
      </c>
      <c r="Q431" s="224">
        <v>1</v>
      </c>
      <c r="R431" s="225" t="s">
        <v>712</v>
      </c>
      <c r="S431" s="226" t="s">
        <v>852</v>
      </c>
      <c r="T431" s="94" t="str">
        <f>INDEX([1]data!$B$1:$B$100,MATCH('04.02 - 10.02'!S431,[0]!exclusive01,))</f>
        <v>VU</v>
      </c>
      <c r="U431" s="106"/>
      <c r="V431" s="107">
        <v>42</v>
      </c>
      <c r="W431" s="108"/>
      <c r="X431" s="109" t="s">
        <v>117</v>
      </c>
      <c r="Y431" s="20">
        <f t="shared" si="18"/>
        <v>1</v>
      </c>
      <c r="AA431" s="98">
        <f t="shared" si="19"/>
        <v>0.83599999999999852</v>
      </c>
      <c r="AB431" s="98" t="e">
        <f t="shared" si="20"/>
        <v>#VALUE!</v>
      </c>
    </row>
    <row r="432" spans="1:28" ht="22.35" customHeight="1" thickBot="1" x14ac:dyDescent="0.3">
      <c r="A432" s="209" t="s">
        <v>255</v>
      </c>
      <c r="B432" s="209" t="s">
        <v>853</v>
      </c>
      <c r="C432" s="193">
        <v>4</v>
      </c>
      <c r="D432" s="194" t="s">
        <v>854</v>
      </c>
      <c r="E432" s="194" t="s">
        <v>855</v>
      </c>
      <c r="F432" s="227" t="s">
        <v>274</v>
      </c>
      <c r="G432" s="196">
        <v>2</v>
      </c>
      <c r="H432" s="191">
        <v>41.9</v>
      </c>
      <c r="I432" s="196">
        <v>39.230240000000002</v>
      </c>
      <c r="J432" s="194" t="s">
        <v>856</v>
      </c>
      <c r="K432" s="198" t="s">
        <v>857</v>
      </c>
      <c r="L432" s="198">
        <v>4</v>
      </c>
      <c r="M432" s="198"/>
      <c r="N432" s="228">
        <v>1</v>
      </c>
      <c r="O432" s="229"/>
      <c r="P432" s="230">
        <v>1</v>
      </c>
      <c r="Q432" s="230">
        <v>1</v>
      </c>
      <c r="R432" s="231" t="s">
        <v>738</v>
      </c>
      <c r="S432" s="232" t="s">
        <v>858</v>
      </c>
      <c r="T432" s="125" t="str">
        <f>INDEX([1]data!$B$1:$B$100,MATCH('04.02 - 10.02'!S432,[0]!exclusive01,))</f>
        <v>VU</v>
      </c>
      <c r="U432" s="125"/>
      <c r="V432" s="233">
        <v>42</v>
      </c>
      <c r="W432" s="108"/>
      <c r="X432" s="109" t="s">
        <v>119</v>
      </c>
      <c r="Y432" s="20">
        <f t="shared" si="18"/>
        <v>1</v>
      </c>
      <c r="AA432" s="98">
        <f t="shared" si="19"/>
        <v>2.6697599999999966</v>
      </c>
      <c r="AB432" s="98" t="e">
        <f t="shared" si="20"/>
        <v>#VALUE!</v>
      </c>
    </row>
    <row r="433" spans="1:35" ht="22.35" customHeight="1" thickBot="1" x14ac:dyDescent="0.3">
      <c r="A433" s="127"/>
      <c r="B433" s="127"/>
      <c r="C433" s="128"/>
      <c r="D433" s="129"/>
      <c r="E433" s="129"/>
      <c r="F433" s="130"/>
      <c r="G433" s="132"/>
      <c r="H433" s="99"/>
      <c r="I433" s="158"/>
      <c r="J433" s="129"/>
      <c r="K433" s="159"/>
      <c r="L433" s="133"/>
      <c r="M433" s="133"/>
      <c r="N433" s="134"/>
      <c r="O433" s="135"/>
      <c r="P433" s="136"/>
      <c r="Q433" s="137"/>
      <c r="R433" s="138"/>
      <c r="S433" s="144" t="s">
        <v>138</v>
      </c>
      <c r="T433" s="112" t="s">
        <v>296</v>
      </c>
      <c r="U433" s="106"/>
      <c r="V433" s="107">
        <v>43</v>
      </c>
      <c r="W433" s="96"/>
      <c r="X433" s="97"/>
      <c r="Y433" s="20">
        <f t="shared" si="18"/>
        <v>0</v>
      </c>
      <c r="AA433" s="98">
        <f t="shared" si="19"/>
        <v>0</v>
      </c>
      <c r="AB433" s="98">
        <f t="shared" si="20"/>
        <v>0</v>
      </c>
      <c r="AC433" s="110"/>
      <c r="AD433" s="77"/>
      <c r="AE433" s="77"/>
      <c r="AF433" s="75"/>
      <c r="AG433" s="75"/>
      <c r="AH433" s="75"/>
      <c r="AI433" s="75"/>
    </row>
    <row r="434" spans="1:35" ht="22.35" customHeight="1" thickBot="1" x14ac:dyDescent="0.3">
      <c r="A434" s="80"/>
      <c r="B434" s="80"/>
      <c r="F434" s="141"/>
      <c r="H434" s="99"/>
      <c r="I434" s="84"/>
      <c r="K434" s="86"/>
      <c r="L434" s="86"/>
      <c r="M434" s="86"/>
      <c r="O434" s="100"/>
      <c r="P434" s="143"/>
      <c r="Q434" s="102"/>
      <c r="R434" s="103"/>
      <c r="S434" s="144" t="s">
        <v>138</v>
      </c>
      <c r="T434" s="112" t="s">
        <v>296</v>
      </c>
      <c r="U434" s="106"/>
      <c r="V434" s="107">
        <v>43</v>
      </c>
      <c r="W434" s="108"/>
      <c r="X434" s="109"/>
      <c r="Y434" s="20">
        <f t="shared" si="18"/>
        <v>0</v>
      </c>
      <c r="AA434" s="98">
        <f t="shared" si="19"/>
        <v>0</v>
      </c>
      <c r="AB434" s="98">
        <f t="shared" si="20"/>
        <v>0</v>
      </c>
      <c r="AC434" s="110"/>
      <c r="AD434" s="77"/>
      <c r="AE434" s="77"/>
      <c r="AF434" s="75"/>
      <c r="AG434" s="75"/>
      <c r="AH434" s="75"/>
      <c r="AI434" s="75"/>
    </row>
    <row r="435" spans="1:35" ht="22.35" customHeight="1" thickBot="1" x14ac:dyDescent="0.3">
      <c r="A435" s="80"/>
      <c r="B435" s="80"/>
      <c r="F435" s="141"/>
      <c r="H435" s="99"/>
      <c r="I435" s="84"/>
      <c r="K435" s="86"/>
      <c r="L435" s="86"/>
      <c r="M435" s="86"/>
      <c r="O435" s="100"/>
      <c r="P435" s="143"/>
      <c r="Q435" s="90"/>
      <c r="R435" s="91"/>
      <c r="S435" s="144" t="s">
        <v>138</v>
      </c>
      <c r="T435" s="112" t="s">
        <v>296</v>
      </c>
      <c r="U435" s="106"/>
      <c r="V435" s="107">
        <v>43</v>
      </c>
      <c r="W435" s="108"/>
      <c r="X435" s="109"/>
      <c r="Y435" s="20">
        <f t="shared" si="18"/>
        <v>0</v>
      </c>
      <c r="AA435" s="98">
        <f t="shared" si="19"/>
        <v>0</v>
      </c>
      <c r="AB435" s="98">
        <f t="shared" si="20"/>
        <v>0</v>
      </c>
      <c r="AC435" s="110"/>
      <c r="AD435" s="77"/>
      <c r="AE435" s="77"/>
      <c r="AF435" s="75"/>
      <c r="AG435" s="75"/>
      <c r="AH435" s="75"/>
      <c r="AI435" s="75"/>
    </row>
    <row r="436" spans="1:35" ht="22.35" customHeight="1" thickBot="1" x14ac:dyDescent="0.3">
      <c r="A436" s="80"/>
      <c r="B436" s="80"/>
      <c r="F436" s="141"/>
      <c r="H436" s="99"/>
      <c r="I436" s="84"/>
      <c r="K436" s="86"/>
      <c r="L436" s="86"/>
      <c r="M436" s="86"/>
      <c r="O436" s="100"/>
      <c r="P436" s="143"/>
      <c r="Q436" s="90"/>
      <c r="R436" s="91"/>
      <c r="S436" s="144" t="s">
        <v>138</v>
      </c>
      <c r="T436" s="112" t="s">
        <v>296</v>
      </c>
      <c r="U436" s="106"/>
      <c r="V436" s="107">
        <v>43</v>
      </c>
      <c r="W436" s="108"/>
      <c r="X436" s="109"/>
      <c r="Y436" s="20">
        <f t="shared" si="18"/>
        <v>0</v>
      </c>
      <c r="AA436" s="98">
        <f t="shared" si="19"/>
        <v>0</v>
      </c>
      <c r="AB436" s="98">
        <f t="shared" si="20"/>
        <v>0</v>
      </c>
      <c r="AC436" s="110"/>
      <c r="AD436" s="77"/>
      <c r="AE436" s="77"/>
      <c r="AF436" s="75"/>
      <c r="AG436" s="75"/>
      <c r="AH436" s="75"/>
      <c r="AI436" s="75"/>
    </row>
    <row r="437" spans="1:35" ht="22.35" customHeight="1" thickBot="1" x14ac:dyDescent="0.3">
      <c r="A437" s="80"/>
      <c r="B437" s="80"/>
      <c r="F437" s="141"/>
      <c r="H437" s="99"/>
      <c r="I437" s="84"/>
      <c r="K437" s="86"/>
      <c r="L437" s="86"/>
      <c r="M437" s="86"/>
      <c r="O437" s="100"/>
      <c r="P437" s="143"/>
      <c r="Q437" s="90"/>
      <c r="R437" s="91"/>
      <c r="S437" s="144" t="s">
        <v>138</v>
      </c>
      <c r="T437" s="112" t="s">
        <v>296</v>
      </c>
      <c r="U437" s="106"/>
      <c r="V437" s="107">
        <v>43</v>
      </c>
      <c r="W437" s="108"/>
      <c r="X437" s="109"/>
      <c r="Y437" s="20">
        <f t="shared" si="18"/>
        <v>0</v>
      </c>
      <c r="AA437" s="98">
        <f t="shared" si="19"/>
        <v>0</v>
      </c>
      <c r="AB437" s="98">
        <f t="shared" si="20"/>
        <v>0</v>
      </c>
      <c r="AC437" s="110"/>
      <c r="AD437" s="77"/>
      <c r="AE437" s="77"/>
      <c r="AF437" s="75"/>
      <c r="AG437" s="75"/>
      <c r="AH437" s="75"/>
      <c r="AI437" s="75"/>
    </row>
    <row r="438" spans="1:35" ht="22.35" customHeight="1" thickBot="1" x14ac:dyDescent="0.3">
      <c r="A438" s="80"/>
      <c r="B438" s="80"/>
      <c r="F438" s="141"/>
      <c r="H438" s="99"/>
      <c r="I438" s="84"/>
      <c r="K438" s="86"/>
      <c r="L438" s="86"/>
      <c r="M438" s="86"/>
      <c r="O438" s="100"/>
      <c r="P438" s="143"/>
      <c r="Q438" s="90"/>
      <c r="R438" s="91"/>
      <c r="S438" s="144" t="s">
        <v>138</v>
      </c>
      <c r="T438" s="112" t="s">
        <v>296</v>
      </c>
      <c r="U438" s="106"/>
      <c r="V438" s="107">
        <v>43</v>
      </c>
      <c r="W438" s="108"/>
      <c r="X438" s="109"/>
      <c r="Y438" s="20">
        <f t="shared" si="18"/>
        <v>0</v>
      </c>
      <c r="AA438" s="98">
        <f t="shared" si="19"/>
        <v>0</v>
      </c>
      <c r="AB438" s="98">
        <f t="shared" si="20"/>
        <v>0</v>
      </c>
      <c r="AC438" s="110"/>
      <c r="AD438" s="77"/>
      <c r="AE438" s="77"/>
      <c r="AF438" s="75"/>
      <c r="AG438" s="75"/>
      <c r="AH438" s="75"/>
      <c r="AI438" s="75"/>
    </row>
    <row r="439" spans="1:35" ht="22.35" customHeight="1" thickBot="1" x14ac:dyDescent="0.3">
      <c r="A439" s="80"/>
      <c r="B439" s="80"/>
      <c r="F439" s="141"/>
      <c r="H439" s="99"/>
      <c r="I439" s="84"/>
      <c r="K439" s="86"/>
      <c r="L439" s="86"/>
      <c r="M439" s="86"/>
      <c r="O439" s="100"/>
      <c r="P439" s="143"/>
      <c r="Q439" s="90"/>
      <c r="R439" s="91"/>
      <c r="S439" s="144" t="s">
        <v>138</v>
      </c>
      <c r="T439" s="112" t="s">
        <v>296</v>
      </c>
      <c r="U439" s="106"/>
      <c r="V439" s="107">
        <v>43</v>
      </c>
      <c r="W439" s="108"/>
      <c r="X439" s="109"/>
      <c r="Y439" s="20">
        <f t="shared" si="18"/>
        <v>0</v>
      </c>
      <c r="AA439" s="98">
        <f t="shared" si="19"/>
        <v>0</v>
      </c>
      <c r="AB439" s="98">
        <f t="shared" si="20"/>
        <v>0</v>
      </c>
      <c r="AC439" s="110"/>
      <c r="AD439" s="77"/>
      <c r="AE439" s="77"/>
      <c r="AF439" s="75"/>
      <c r="AG439" s="75"/>
      <c r="AH439" s="75"/>
      <c r="AI439" s="75"/>
    </row>
    <row r="440" spans="1:35" ht="22.35" customHeight="1" thickBot="1" x14ac:dyDescent="0.3">
      <c r="A440" s="80"/>
      <c r="B440" s="80"/>
      <c r="F440" s="141"/>
      <c r="H440" s="99"/>
      <c r="I440" s="84"/>
      <c r="K440" s="86"/>
      <c r="L440" s="86"/>
      <c r="M440" s="86"/>
      <c r="O440" s="100"/>
      <c r="P440" s="143"/>
      <c r="Q440" s="90"/>
      <c r="R440" s="91"/>
      <c r="S440" s="144" t="s">
        <v>138</v>
      </c>
      <c r="T440" s="112" t="s">
        <v>296</v>
      </c>
      <c r="U440" s="106"/>
      <c r="V440" s="107">
        <v>43</v>
      </c>
      <c r="W440" s="108"/>
      <c r="X440" s="109"/>
      <c r="Y440" s="20">
        <f t="shared" si="18"/>
        <v>0</v>
      </c>
      <c r="AA440" s="98">
        <f t="shared" si="19"/>
        <v>0</v>
      </c>
      <c r="AB440" s="98">
        <f t="shared" si="20"/>
        <v>0</v>
      </c>
      <c r="AC440" s="110"/>
      <c r="AD440" s="77"/>
      <c r="AE440" s="77"/>
      <c r="AF440" s="75"/>
      <c r="AG440" s="75"/>
      <c r="AH440" s="75"/>
      <c r="AI440" s="75"/>
    </row>
    <row r="441" spans="1:35" ht="22.35" customHeight="1" thickBot="1" x14ac:dyDescent="0.3">
      <c r="A441" s="80"/>
      <c r="B441" s="80"/>
      <c r="F441" s="141"/>
      <c r="H441" s="99"/>
      <c r="I441" s="84"/>
      <c r="K441" s="86"/>
      <c r="L441" s="86"/>
      <c r="M441" s="86"/>
      <c r="O441" s="100"/>
      <c r="P441" s="143"/>
      <c r="Q441" s="90"/>
      <c r="R441" s="91"/>
      <c r="S441" s="144" t="s">
        <v>138</v>
      </c>
      <c r="T441" s="112" t="s">
        <v>296</v>
      </c>
      <c r="U441" s="106"/>
      <c r="V441" s="107">
        <v>43</v>
      </c>
      <c r="W441" s="108"/>
      <c r="X441" s="109"/>
      <c r="Y441" s="20">
        <f t="shared" si="18"/>
        <v>0</v>
      </c>
      <c r="AA441" s="98">
        <f t="shared" si="19"/>
        <v>0</v>
      </c>
      <c r="AB441" s="98">
        <f t="shared" si="20"/>
        <v>0</v>
      </c>
      <c r="AC441" s="110"/>
      <c r="AD441" s="77"/>
      <c r="AE441" s="77"/>
      <c r="AF441" s="75"/>
      <c r="AG441" s="75"/>
      <c r="AH441" s="75"/>
      <c r="AI441" s="75"/>
    </row>
    <row r="442" spans="1:35" ht="22.35" customHeight="1" thickBot="1" x14ac:dyDescent="0.3">
      <c r="A442" s="80"/>
      <c r="B442" s="80"/>
      <c r="F442" s="141"/>
      <c r="H442" s="99"/>
      <c r="I442" s="84"/>
      <c r="K442" s="86"/>
      <c r="L442" s="86"/>
      <c r="M442" s="86"/>
      <c r="O442" s="100"/>
      <c r="P442" s="143"/>
      <c r="Q442" s="90"/>
      <c r="R442" s="91"/>
      <c r="S442" s="144" t="s">
        <v>138</v>
      </c>
      <c r="T442" s="112" t="s">
        <v>296</v>
      </c>
      <c r="U442" s="106"/>
      <c r="V442" s="107">
        <v>43</v>
      </c>
      <c r="W442" s="108"/>
      <c r="X442" s="109"/>
      <c r="Y442" s="20">
        <f t="shared" si="18"/>
        <v>0</v>
      </c>
      <c r="AA442" s="98">
        <f t="shared" si="19"/>
        <v>0</v>
      </c>
      <c r="AB442" s="98">
        <f t="shared" si="20"/>
        <v>0</v>
      </c>
      <c r="AC442" s="110"/>
      <c r="AD442" s="77"/>
      <c r="AE442" s="77"/>
      <c r="AF442" s="75"/>
      <c r="AG442" s="75"/>
      <c r="AH442" s="75"/>
      <c r="AI442" s="75"/>
    </row>
    <row r="443" spans="1:35" ht="22.35" customHeight="1" thickBot="1" x14ac:dyDescent="0.3">
      <c r="A443" s="80"/>
      <c r="B443" s="80"/>
      <c r="F443" s="141"/>
      <c r="H443" s="99"/>
      <c r="I443" s="84"/>
      <c r="K443" s="86"/>
      <c r="L443" s="86"/>
      <c r="M443" s="86"/>
      <c r="O443" s="100"/>
      <c r="P443" s="143"/>
      <c r="Q443" s="90"/>
      <c r="R443" s="91"/>
      <c r="S443" s="144" t="s">
        <v>138</v>
      </c>
      <c r="T443" s="112" t="s">
        <v>296</v>
      </c>
      <c r="U443" s="106"/>
      <c r="V443" s="107">
        <v>43</v>
      </c>
      <c r="W443" s="108"/>
      <c r="X443" s="109"/>
      <c r="Y443" s="20">
        <f t="shared" si="18"/>
        <v>0</v>
      </c>
      <c r="AA443" s="98">
        <f t="shared" si="19"/>
        <v>0</v>
      </c>
      <c r="AB443" s="98">
        <f t="shared" si="20"/>
        <v>0</v>
      </c>
      <c r="AC443" s="110"/>
      <c r="AD443" s="77"/>
      <c r="AE443" s="77"/>
      <c r="AF443" s="75"/>
      <c r="AG443" s="75"/>
      <c r="AH443" s="75"/>
      <c r="AI443" s="75"/>
    </row>
    <row r="444" spans="1:35" ht="22.35" customHeight="1" thickBot="1" x14ac:dyDescent="0.3">
      <c r="A444" s="80"/>
      <c r="B444" s="80"/>
      <c r="F444" s="141"/>
      <c r="H444" s="99"/>
      <c r="I444" s="84"/>
      <c r="K444" s="86"/>
      <c r="L444" s="86"/>
      <c r="M444" s="86"/>
      <c r="O444" s="100"/>
      <c r="P444" s="143"/>
      <c r="Q444" s="90"/>
      <c r="R444" s="91"/>
      <c r="S444" s="144" t="s">
        <v>138</v>
      </c>
      <c r="T444" s="112" t="s">
        <v>296</v>
      </c>
      <c r="U444" s="106"/>
      <c r="V444" s="107">
        <v>43</v>
      </c>
      <c r="W444" s="108"/>
      <c r="X444" s="109"/>
      <c r="Y444" s="20">
        <f t="shared" si="18"/>
        <v>0</v>
      </c>
      <c r="AA444" s="98">
        <f t="shared" si="19"/>
        <v>0</v>
      </c>
      <c r="AB444" s="98">
        <f t="shared" si="20"/>
        <v>0</v>
      </c>
      <c r="AC444" s="110"/>
      <c r="AD444" s="77"/>
      <c r="AE444" s="77"/>
      <c r="AF444" s="75"/>
      <c r="AG444" s="75"/>
      <c r="AH444" s="75"/>
      <c r="AI444" s="75"/>
    </row>
    <row r="445" spans="1:35" ht="22.35" customHeight="1" thickBot="1" x14ac:dyDescent="0.3">
      <c r="A445" s="80"/>
      <c r="B445" s="80"/>
      <c r="F445" s="141"/>
      <c r="H445" s="99"/>
      <c r="I445" s="84"/>
      <c r="K445" s="86"/>
      <c r="L445" s="86"/>
      <c r="M445" s="86"/>
      <c r="O445" s="100"/>
      <c r="P445" s="143"/>
      <c r="Q445" s="90"/>
      <c r="R445" s="91"/>
      <c r="S445" s="144" t="s">
        <v>138</v>
      </c>
      <c r="T445" s="112" t="s">
        <v>296</v>
      </c>
      <c r="U445" s="106"/>
      <c r="V445" s="107">
        <v>43</v>
      </c>
      <c r="W445" s="108"/>
      <c r="X445" s="109"/>
      <c r="Y445" s="20">
        <f t="shared" si="18"/>
        <v>0</v>
      </c>
      <c r="AA445" s="98">
        <f t="shared" si="19"/>
        <v>0</v>
      </c>
      <c r="AB445" s="98">
        <f t="shared" si="20"/>
        <v>0</v>
      </c>
      <c r="AC445" s="110"/>
      <c r="AD445" s="77"/>
      <c r="AE445" s="77"/>
      <c r="AF445" s="75"/>
      <c r="AG445" s="75"/>
      <c r="AH445" s="75"/>
      <c r="AI445" s="75"/>
    </row>
    <row r="446" spans="1:35" ht="22.35" customHeight="1" thickBot="1" x14ac:dyDescent="0.3">
      <c r="A446" s="80"/>
      <c r="B446" s="80"/>
      <c r="F446" s="141"/>
      <c r="H446" s="99"/>
      <c r="I446" s="84"/>
      <c r="K446" s="86"/>
      <c r="L446" s="86"/>
      <c r="M446" s="86"/>
      <c r="O446" s="100"/>
      <c r="P446" s="143"/>
      <c r="Q446" s="90"/>
      <c r="R446" s="91"/>
      <c r="S446" s="144" t="s">
        <v>138</v>
      </c>
      <c r="T446" s="112" t="s">
        <v>296</v>
      </c>
      <c r="U446" s="106"/>
      <c r="V446" s="107">
        <v>43</v>
      </c>
      <c r="W446" s="160"/>
      <c r="X446" s="161"/>
      <c r="Y446" s="20">
        <f t="shared" si="18"/>
        <v>0</v>
      </c>
      <c r="AA446" s="98">
        <f t="shared" si="19"/>
        <v>0</v>
      </c>
      <c r="AB446" s="98">
        <f t="shared" si="20"/>
        <v>0</v>
      </c>
      <c r="AC446" s="110"/>
      <c r="AD446" s="77"/>
      <c r="AE446" s="77"/>
      <c r="AF446" s="75"/>
      <c r="AG446" s="75"/>
      <c r="AH446" s="75"/>
      <c r="AI446" s="75"/>
    </row>
    <row r="447" spans="1:35" ht="22.35" customHeight="1" thickBot="1" x14ac:dyDescent="0.3">
      <c r="A447" s="80"/>
      <c r="B447" s="80"/>
      <c r="F447" s="141"/>
      <c r="H447" s="99"/>
      <c r="I447" s="84"/>
      <c r="K447" s="86"/>
      <c r="L447" s="86"/>
      <c r="M447" s="86"/>
      <c r="O447" s="100"/>
      <c r="P447" s="143"/>
      <c r="Q447" s="90"/>
      <c r="R447" s="91"/>
      <c r="S447" s="144" t="s">
        <v>138</v>
      </c>
      <c r="T447" s="112" t="s">
        <v>296</v>
      </c>
      <c r="U447" s="106"/>
      <c r="V447" s="107">
        <v>43</v>
      </c>
      <c r="W447" s="160"/>
      <c r="X447" s="161"/>
      <c r="Y447" s="20">
        <f t="shared" si="18"/>
        <v>0</v>
      </c>
      <c r="AA447" s="98">
        <f t="shared" si="19"/>
        <v>0</v>
      </c>
      <c r="AB447" s="98">
        <f t="shared" si="20"/>
        <v>0</v>
      </c>
      <c r="AC447" s="110"/>
      <c r="AD447" s="77"/>
      <c r="AE447" s="77"/>
      <c r="AF447" s="75"/>
      <c r="AG447" s="75"/>
      <c r="AH447" s="75"/>
      <c r="AI447" s="75"/>
    </row>
    <row r="448" spans="1:35" ht="22.35" customHeight="1" thickBot="1" x14ac:dyDescent="0.3">
      <c r="A448" s="252"/>
      <c r="B448" s="252"/>
      <c r="C448" s="253"/>
      <c r="D448" s="254"/>
      <c r="E448" s="254"/>
      <c r="F448" s="195"/>
      <c r="G448" s="196"/>
      <c r="H448" s="255"/>
      <c r="I448" s="256"/>
      <c r="J448" s="257"/>
      <c r="K448" s="258"/>
      <c r="L448" s="258"/>
      <c r="M448" s="258"/>
      <c r="N448" s="228"/>
      <c r="O448" s="200"/>
      <c r="P448" s="202"/>
      <c r="Q448" s="259"/>
      <c r="R448" s="260"/>
      <c r="S448" s="155" t="s">
        <v>138</v>
      </c>
      <c r="T448" s="124" t="s">
        <v>296</v>
      </c>
      <c r="U448" s="125"/>
      <c r="V448" s="126">
        <v>43</v>
      </c>
      <c r="W448" s="261"/>
      <c r="X448" s="262"/>
      <c r="Y448" s="20">
        <f t="shared" si="18"/>
        <v>0</v>
      </c>
      <c r="AA448" s="98">
        <f t="shared" si="19"/>
        <v>0</v>
      </c>
      <c r="AB448" s="98">
        <f t="shared" si="20"/>
        <v>0</v>
      </c>
      <c r="AC448" s="110"/>
      <c r="AD448" s="77"/>
      <c r="AE448" s="77"/>
      <c r="AF448" s="75"/>
      <c r="AG448" s="75"/>
      <c r="AH448" s="75"/>
      <c r="AI448" s="75"/>
    </row>
    <row r="449" spans="1:35" ht="22.35" customHeight="1" thickBot="1" x14ac:dyDescent="0.3">
      <c r="A449" s="175"/>
      <c r="B449" s="175"/>
      <c r="C449" s="176"/>
      <c r="D449" s="177" t="s">
        <v>859</v>
      </c>
      <c r="E449" s="178"/>
      <c r="F449" s="179"/>
      <c r="G449" s="180"/>
      <c r="H449" s="181"/>
      <c r="I449" s="180"/>
      <c r="J449" s="178"/>
      <c r="K449" s="182"/>
      <c r="L449" s="182"/>
      <c r="M449" s="182"/>
      <c r="N449" s="183"/>
      <c r="O449" s="184"/>
      <c r="P449" s="184"/>
      <c r="Q449" s="184"/>
      <c r="R449" s="185"/>
      <c r="S449" s="186"/>
      <c r="T449" s="187" t="s">
        <v>290</v>
      </c>
      <c r="U449" s="188"/>
      <c r="V449" s="189"/>
      <c r="W449" s="188"/>
      <c r="X449" s="190"/>
      <c r="Y449" s="20">
        <f t="shared" si="18"/>
        <v>0</v>
      </c>
      <c r="AA449" s="98">
        <f t="shared" si="19"/>
        <v>0</v>
      </c>
      <c r="AB449" s="98">
        <f t="shared" si="20"/>
        <v>0</v>
      </c>
    </row>
    <row r="450" spans="1:35" ht="22.35" customHeight="1" thickBot="1" x14ac:dyDescent="0.3">
      <c r="A450" s="127"/>
      <c r="B450" s="127"/>
      <c r="C450" s="128"/>
      <c r="D450" s="129"/>
      <c r="E450" s="129"/>
      <c r="F450" s="130"/>
      <c r="G450" s="132"/>
      <c r="H450" s="191"/>
      <c r="I450" s="158"/>
      <c r="J450" s="129"/>
      <c r="K450" s="159"/>
      <c r="L450" s="133"/>
      <c r="M450" s="133"/>
      <c r="N450" s="134"/>
      <c r="O450" s="135"/>
      <c r="P450" s="136"/>
      <c r="Q450" s="137"/>
      <c r="R450" s="138"/>
      <c r="S450" s="144" t="s">
        <v>860</v>
      </c>
      <c r="T450" s="112" t="s">
        <v>290</v>
      </c>
      <c r="U450" s="106" t="s">
        <v>861</v>
      </c>
      <c r="V450" s="107">
        <v>44</v>
      </c>
      <c r="W450" s="96"/>
      <c r="X450" s="97"/>
      <c r="Y450" s="20">
        <f t="shared" si="18"/>
        <v>0</v>
      </c>
      <c r="AA450" s="98">
        <f t="shared" si="19"/>
        <v>0</v>
      </c>
      <c r="AB450" s="98">
        <f t="shared" si="20"/>
        <v>0</v>
      </c>
    </row>
    <row r="451" spans="1:35" ht="22.35" customHeight="1" thickBot="1" x14ac:dyDescent="0.3">
      <c r="A451" s="80"/>
      <c r="B451" s="80"/>
      <c r="F451" s="141"/>
      <c r="H451" s="191"/>
      <c r="I451" s="84"/>
      <c r="K451" s="86"/>
      <c r="L451" s="86"/>
      <c r="M451" s="86"/>
      <c r="O451" s="100"/>
      <c r="P451" s="143"/>
      <c r="Q451" s="102"/>
      <c r="R451" s="103"/>
      <c r="S451" s="144" t="s">
        <v>860</v>
      </c>
      <c r="T451" s="112" t="s">
        <v>290</v>
      </c>
      <c r="U451" s="106" t="s">
        <v>861</v>
      </c>
      <c r="V451" s="107">
        <v>44</v>
      </c>
      <c r="W451" s="108"/>
      <c r="X451" s="109"/>
      <c r="Y451" s="20">
        <f t="shared" si="18"/>
        <v>0</v>
      </c>
      <c r="AA451" s="98">
        <f t="shared" si="19"/>
        <v>0</v>
      </c>
      <c r="AB451" s="98">
        <f t="shared" si="20"/>
        <v>0</v>
      </c>
    </row>
    <row r="452" spans="1:35" ht="22.35" customHeight="1" thickBot="1" x14ac:dyDescent="0.3">
      <c r="A452" s="80"/>
      <c r="B452" s="80"/>
      <c r="F452" s="141"/>
      <c r="H452" s="191"/>
      <c r="I452" s="84"/>
      <c r="K452" s="86"/>
      <c r="L452" s="86"/>
      <c r="M452" s="86"/>
      <c r="O452" s="100"/>
      <c r="P452" s="143"/>
      <c r="Q452" s="102"/>
      <c r="R452" s="103"/>
      <c r="S452" s="144" t="s">
        <v>860</v>
      </c>
      <c r="T452" s="112" t="s">
        <v>290</v>
      </c>
      <c r="U452" s="106" t="s">
        <v>861</v>
      </c>
      <c r="V452" s="107">
        <v>44</v>
      </c>
      <c r="W452" s="108"/>
      <c r="X452" s="109"/>
      <c r="Y452" s="20">
        <f t="shared" si="18"/>
        <v>0</v>
      </c>
      <c r="AA452" s="98">
        <f t="shared" si="19"/>
        <v>0</v>
      </c>
      <c r="AB452" s="98">
        <f t="shared" si="20"/>
        <v>0</v>
      </c>
    </row>
    <row r="453" spans="1:35" ht="22.35" customHeight="1" thickBot="1" x14ac:dyDescent="0.3">
      <c r="A453" s="80"/>
      <c r="B453" s="80"/>
      <c r="D453" s="23" t="s">
        <v>862</v>
      </c>
      <c r="F453" s="141"/>
      <c r="H453" s="191"/>
      <c r="I453" s="84"/>
      <c r="K453" s="86"/>
      <c r="L453" s="86"/>
      <c r="M453" s="86"/>
      <c r="O453" s="100"/>
      <c r="P453" s="143"/>
      <c r="Q453" s="102"/>
      <c r="R453" s="103"/>
      <c r="S453" s="144" t="s">
        <v>860</v>
      </c>
      <c r="T453" s="112" t="s">
        <v>290</v>
      </c>
      <c r="U453" s="106" t="s">
        <v>863</v>
      </c>
      <c r="V453" s="107">
        <v>44</v>
      </c>
      <c r="W453" s="108"/>
      <c r="X453" s="109"/>
      <c r="Y453" s="20">
        <f t="shared" si="18"/>
        <v>0</v>
      </c>
      <c r="AA453" s="98">
        <f t="shared" si="19"/>
        <v>0</v>
      </c>
      <c r="AB453" s="98">
        <f t="shared" si="20"/>
        <v>0</v>
      </c>
    </row>
    <row r="454" spans="1:35" ht="22.35" customHeight="1" thickBot="1" x14ac:dyDescent="0.3">
      <c r="A454" s="80"/>
      <c r="B454" s="80"/>
      <c r="F454" s="141"/>
      <c r="H454" s="191"/>
      <c r="I454" s="84"/>
      <c r="K454" s="86"/>
      <c r="L454" s="86"/>
      <c r="M454" s="86"/>
      <c r="O454" s="100"/>
      <c r="P454" s="143"/>
      <c r="Q454" s="102"/>
      <c r="R454" s="103"/>
      <c r="S454" s="144" t="s">
        <v>860</v>
      </c>
      <c r="T454" s="112" t="s">
        <v>290</v>
      </c>
      <c r="U454" s="106" t="s">
        <v>863</v>
      </c>
      <c r="V454" s="107">
        <v>44</v>
      </c>
      <c r="W454" s="108"/>
      <c r="X454" s="109"/>
      <c r="Y454" s="20">
        <f t="shared" si="18"/>
        <v>0</v>
      </c>
      <c r="AA454" s="98">
        <f t="shared" si="19"/>
        <v>0</v>
      </c>
      <c r="AB454" s="98">
        <f t="shared" si="20"/>
        <v>0</v>
      </c>
    </row>
    <row r="455" spans="1:35" ht="22.35" customHeight="1" thickBot="1" x14ac:dyDescent="0.3">
      <c r="A455" s="80"/>
      <c r="B455" s="80"/>
      <c r="F455" s="141"/>
      <c r="H455" s="191"/>
      <c r="I455" s="84"/>
      <c r="K455" s="86"/>
      <c r="L455" s="86"/>
      <c r="M455" s="86"/>
      <c r="O455" s="100"/>
      <c r="P455" s="143"/>
      <c r="Q455" s="102"/>
      <c r="R455" s="103"/>
      <c r="S455" s="144" t="s">
        <v>860</v>
      </c>
      <c r="T455" s="112" t="s">
        <v>290</v>
      </c>
      <c r="U455" s="106" t="s">
        <v>863</v>
      </c>
      <c r="V455" s="107">
        <v>44</v>
      </c>
      <c r="W455" s="108"/>
      <c r="X455" s="109"/>
      <c r="Y455" s="20">
        <f t="shared" ref="Y455:Y518" si="21">COUNTIF(K:K,K455)</f>
        <v>0</v>
      </c>
      <c r="AA455" s="98">
        <f t="shared" si="19"/>
        <v>0</v>
      </c>
      <c r="AB455" s="98">
        <f t="shared" si="20"/>
        <v>0</v>
      </c>
    </row>
    <row r="456" spans="1:35" ht="22.35" customHeight="1" thickBot="1" x14ac:dyDescent="0.3">
      <c r="A456" s="80"/>
      <c r="B456" s="80"/>
      <c r="F456" s="141"/>
      <c r="H456" s="191"/>
      <c r="I456" s="84"/>
      <c r="K456" s="86"/>
      <c r="L456" s="86"/>
      <c r="M456" s="86"/>
      <c r="O456" s="100"/>
      <c r="P456" s="143"/>
      <c r="Q456" s="102"/>
      <c r="R456" s="103"/>
      <c r="S456" s="144" t="s">
        <v>860</v>
      </c>
      <c r="T456" s="112" t="s">
        <v>864</v>
      </c>
      <c r="U456" s="106" t="s">
        <v>865</v>
      </c>
      <c r="V456" s="107">
        <v>44</v>
      </c>
      <c r="W456" s="108"/>
      <c r="X456" s="109"/>
      <c r="Y456" s="20">
        <f t="shared" si="21"/>
        <v>0</v>
      </c>
      <c r="AA456" s="98">
        <f t="shared" si="19"/>
        <v>0</v>
      </c>
      <c r="AB456" s="98">
        <f t="shared" si="20"/>
        <v>0</v>
      </c>
    </row>
    <row r="457" spans="1:35" ht="22.35" customHeight="1" thickBot="1" x14ac:dyDescent="0.3">
      <c r="A457" s="80"/>
      <c r="B457" s="80"/>
      <c r="F457" s="141"/>
      <c r="H457" s="191"/>
      <c r="I457" s="84"/>
      <c r="K457" s="86"/>
      <c r="L457" s="86"/>
      <c r="M457" s="86"/>
      <c r="O457" s="100"/>
      <c r="P457" s="143"/>
      <c r="Q457" s="102"/>
      <c r="R457" s="103"/>
      <c r="S457" s="144" t="s">
        <v>860</v>
      </c>
      <c r="T457" s="112" t="s">
        <v>864</v>
      </c>
      <c r="U457" s="106" t="s">
        <v>865</v>
      </c>
      <c r="V457" s="107">
        <v>44</v>
      </c>
      <c r="W457" s="108"/>
      <c r="X457" s="109"/>
      <c r="Y457" s="20">
        <f t="shared" si="21"/>
        <v>0</v>
      </c>
      <c r="AA457" s="98">
        <f t="shared" si="19"/>
        <v>0</v>
      </c>
      <c r="AB457" s="98">
        <f t="shared" si="20"/>
        <v>0</v>
      </c>
    </row>
    <row r="458" spans="1:35" ht="22.35" customHeight="1" thickBot="1" x14ac:dyDescent="0.3">
      <c r="A458" s="80"/>
      <c r="B458" s="80"/>
      <c r="F458" s="141"/>
      <c r="H458" s="191"/>
      <c r="I458" s="84"/>
      <c r="K458" s="86"/>
      <c r="L458" s="86"/>
      <c r="M458" s="86"/>
      <c r="O458" s="100"/>
      <c r="P458" s="143"/>
      <c r="Q458" s="102"/>
      <c r="R458" s="103"/>
      <c r="S458" s="144" t="s">
        <v>860</v>
      </c>
      <c r="T458" s="112" t="s">
        <v>864</v>
      </c>
      <c r="U458" s="106" t="s">
        <v>798</v>
      </c>
      <c r="V458" s="107">
        <v>44</v>
      </c>
      <c r="W458" s="108"/>
      <c r="X458" s="109"/>
      <c r="Y458" s="20">
        <f t="shared" si="21"/>
        <v>0</v>
      </c>
      <c r="AA458" s="98">
        <f t="shared" si="19"/>
        <v>0</v>
      </c>
      <c r="AB458" s="98">
        <f t="shared" si="20"/>
        <v>0</v>
      </c>
    </row>
    <row r="459" spans="1:35" ht="22.35" customHeight="1" thickBot="1" x14ac:dyDescent="0.3">
      <c r="A459" s="80"/>
      <c r="B459" s="80"/>
      <c r="F459" s="141"/>
      <c r="H459" s="191"/>
      <c r="I459" s="84"/>
      <c r="K459" s="86"/>
      <c r="L459" s="86"/>
      <c r="M459" s="86"/>
      <c r="O459" s="100"/>
      <c r="P459" s="143"/>
      <c r="Q459" s="102"/>
      <c r="R459" s="103"/>
      <c r="S459" s="144" t="s">
        <v>860</v>
      </c>
      <c r="T459" s="112" t="s">
        <v>864</v>
      </c>
      <c r="U459" s="106" t="s">
        <v>798</v>
      </c>
      <c r="V459" s="107">
        <v>44</v>
      </c>
      <c r="W459" s="108"/>
      <c r="X459" s="109"/>
      <c r="Y459" s="20">
        <f t="shared" si="21"/>
        <v>0</v>
      </c>
      <c r="AA459" s="98">
        <f t="shared" si="19"/>
        <v>0</v>
      </c>
      <c r="AB459" s="98">
        <f t="shared" si="20"/>
        <v>0</v>
      </c>
    </row>
    <row r="460" spans="1:35" ht="22.35" customHeight="1" thickBot="1" x14ac:dyDescent="0.3">
      <c r="A460" s="80"/>
      <c r="B460" s="80"/>
      <c r="F460" s="141"/>
      <c r="H460" s="191"/>
      <c r="I460" s="84"/>
      <c r="K460" s="86"/>
      <c r="L460" s="86"/>
      <c r="M460" s="86"/>
      <c r="O460" s="100"/>
      <c r="P460" s="143"/>
      <c r="Q460" s="102"/>
      <c r="R460" s="103"/>
      <c r="S460" s="144" t="s">
        <v>860</v>
      </c>
      <c r="T460" s="112" t="s">
        <v>864</v>
      </c>
      <c r="U460" s="106" t="s">
        <v>798</v>
      </c>
      <c r="V460" s="107">
        <v>44</v>
      </c>
      <c r="W460" s="108"/>
      <c r="X460" s="109"/>
      <c r="Y460" s="20">
        <f t="shared" si="21"/>
        <v>0</v>
      </c>
      <c r="AA460" s="98">
        <f t="shared" si="19"/>
        <v>0</v>
      </c>
      <c r="AB460" s="98">
        <f t="shared" si="20"/>
        <v>0</v>
      </c>
    </row>
    <row r="461" spans="1:35" ht="22.35" customHeight="1" thickBot="1" x14ac:dyDescent="0.3">
      <c r="A461" s="209"/>
      <c r="B461" s="209"/>
      <c r="C461" s="210"/>
      <c r="D461" s="211"/>
      <c r="E461" s="211"/>
      <c r="F461" s="236"/>
      <c r="G461" s="213"/>
      <c r="H461" s="191"/>
      <c r="I461" s="238"/>
      <c r="J461" s="211"/>
      <c r="K461" s="215"/>
      <c r="L461" s="215"/>
      <c r="M461" s="215"/>
      <c r="N461" s="216"/>
      <c r="O461" s="239"/>
      <c r="P461" s="240"/>
      <c r="Q461" s="154"/>
      <c r="R461" s="241"/>
      <c r="S461" s="242" t="s">
        <v>860</v>
      </c>
      <c r="T461" s="243" t="s">
        <v>864</v>
      </c>
      <c r="U461" s="244" t="s">
        <v>819</v>
      </c>
      <c r="V461" s="233">
        <v>44</v>
      </c>
      <c r="W461" s="108"/>
      <c r="X461" s="109"/>
      <c r="Y461" s="20">
        <f t="shared" si="21"/>
        <v>0</v>
      </c>
      <c r="AA461" s="98">
        <f t="shared" si="19"/>
        <v>0</v>
      </c>
      <c r="AB461" s="98">
        <f t="shared" si="20"/>
        <v>0</v>
      </c>
    </row>
    <row r="462" spans="1:35" ht="22.35" customHeight="1" thickBot="1" x14ac:dyDescent="0.3">
      <c r="A462" s="209"/>
      <c r="B462" s="209"/>
      <c r="C462" s="193"/>
      <c r="D462" s="194"/>
      <c r="E462" s="194"/>
      <c r="F462" s="227"/>
      <c r="G462" s="196"/>
      <c r="H462" s="191"/>
      <c r="I462" s="196"/>
      <c r="J462" s="194"/>
      <c r="K462" s="198"/>
      <c r="L462" s="198">
        <v>4</v>
      </c>
      <c r="M462" s="198"/>
      <c r="N462" s="228">
        <v>1</v>
      </c>
      <c r="O462" s="229"/>
      <c r="P462" s="230"/>
      <c r="Q462" s="230"/>
      <c r="R462" s="231"/>
      <c r="S462" s="250" t="s">
        <v>866</v>
      </c>
      <c r="T462" s="125" t="str">
        <f>INDEX([1]data!$B$1:$B$100,MATCH('04.02 - 10.02'!S462,[0]!exclusive01,))</f>
        <v>KHANH</v>
      </c>
      <c r="U462" s="244"/>
      <c r="V462" s="245">
        <v>44</v>
      </c>
      <c r="W462" s="108"/>
      <c r="X462" s="109" t="s">
        <v>45</v>
      </c>
      <c r="Y462" s="20">
        <f t="shared" si="21"/>
        <v>0</v>
      </c>
      <c r="AA462" s="98">
        <f t="shared" si="19"/>
        <v>0</v>
      </c>
      <c r="AB462" s="98">
        <f t="shared" si="20"/>
        <v>0</v>
      </c>
    </row>
    <row r="463" spans="1:35" ht="22.35" customHeight="1" thickBot="1" x14ac:dyDescent="0.3">
      <c r="A463" s="127"/>
      <c r="B463" s="127"/>
      <c r="C463" s="128"/>
      <c r="D463" s="129"/>
      <c r="E463" s="129"/>
      <c r="F463" s="130"/>
      <c r="G463" s="132"/>
      <c r="H463" s="99"/>
      <c r="I463" s="158"/>
      <c r="J463" s="129"/>
      <c r="K463" s="159"/>
      <c r="L463" s="133"/>
      <c r="M463" s="133"/>
      <c r="N463" s="134"/>
      <c r="O463" s="135"/>
      <c r="P463" s="136"/>
      <c r="Q463" s="137"/>
      <c r="R463" s="138"/>
      <c r="S463" s="144" t="s">
        <v>138</v>
      </c>
      <c r="T463" s="112" t="s">
        <v>290</v>
      </c>
      <c r="U463" s="106"/>
      <c r="V463" s="107">
        <v>45</v>
      </c>
      <c r="W463" s="96"/>
      <c r="X463" s="97"/>
      <c r="Y463" s="20">
        <f t="shared" si="21"/>
        <v>0</v>
      </c>
      <c r="AA463" s="98">
        <f t="shared" si="19"/>
        <v>0</v>
      </c>
      <c r="AB463" s="98">
        <f t="shared" si="20"/>
        <v>0</v>
      </c>
      <c r="AC463" s="110"/>
      <c r="AD463" s="77"/>
      <c r="AE463" s="77"/>
      <c r="AF463" s="75"/>
      <c r="AG463" s="75"/>
      <c r="AH463" s="75"/>
      <c r="AI463" s="75"/>
    </row>
    <row r="464" spans="1:35" ht="22.35" customHeight="1" thickBot="1" x14ac:dyDescent="0.3">
      <c r="A464" s="80"/>
      <c r="B464" s="80"/>
      <c r="F464" s="141"/>
      <c r="H464" s="99"/>
      <c r="I464" s="84"/>
      <c r="K464" s="86"/>
      <c r="L464" s="86"/>
      <c r="M464" s="86"/>
      <c r="O464" s="100"/>
      <c r="P464" s="143"/>
      <c r="Q464" s="102"/>
      <c r="R464" s="103"/>
      <c r="S464" s="144" t="s">
        <v>138</v>
      </c>
      <c r="T464" s="112" t="s">
        <v>290</v>
      </c>
      <c r="U464" s="106"/>
      <c r="V464" s="107">
        <v>45</v>
      </c>
      <c r="W464" s="108"/>
      <c r="X464" s="109"/>
      <c r="Y464" s="20">
        <f t="shared" si="21"/>
        <v>0</v>
      </c>
      <c r="AA464" s="98">
        <f t="shared" si="19"/>
        <v>0</v>
      </c>
      <c r="AB464" s="98">
        <f t="shared" si="20"/>
        <v>0</v>
      </c>
      <c r="AC464" s="110"/>
      <c r="AD464" s="77"/>
      <c r="AE464" s="77"/>
      <c r="AF464" s="75"/>
      <c r="AG464" s="75"/>
      <c r="AH464" s="75"/>
      <c r="AI464" s="75"/>
    </row>
    <row r="465" spans="1:35" ht="22.35" customHeight="1" thickBot="1" x14ac:dyDescent="0.3">
      <c r="A465" s="80"/>
      <c r="B465" s="80"/>
      <c r="F465" s="141"/>
      <c r="H465" s="99"/>
      <c r="I465" s="84"/>
      <c r="K465" s="86"/>
      <c r="L465" s="86"/>
      <c r="M465" s="86"/>
      <c r="O465" s="100"/>
      <c r="P465" s="143"/>
      <c r="Q465" s="90"/>
      <c r="R465" s="91"/>
      <c r="S465" s="144" t="s">
        <v>138</v>
      </c>
      <c r="T465" s="112" t="s">
        <v>290</v>
      </c>
      <c r="U465" s="106"/>
      <c r="V465" s="107">
        <v>45</v>
      </c>
      <c r="W465" s="108"/>
      <c r="X465" s="109"/>
      <c r="Y465" s="20">
        <f t="shared" si="21"/>
        <v>0</v>
      </c>
      <c r="AA465" s="98">
        <f t="shared" si="19"/>
        <v>0</v>
      </c>
      <c r="AB465" s="98">
        <f t="shared" si="20"/>
        <v>0</v>
      </c>
      <c r="AC465" s="110"/>
      <c r="AD465" s="77"/>
      <c r="AE465" s="77"/>
      <c r="AF465" s="75"/>
      <c r="AG465" s="75"/>
      <c r="AH465" s="75"/>
      <c r="AI465" s="75"/>
    </row>
    <row r="466" spans="1:35" ht="22.35" customHeight="1" thickBot="1" x14ac:dyDescent="0.3">
      <c r="A466" s="80"/>
      <c r="B466" s="80"/>
      <c r="F466" s="141"/>
      <c r="H466" s="99"/>
      <c r="I466" s="84"/>
      <c r="K466" s="86"/>
      <c r="L466" s="86"/>
      <c r="M466" s="86"/>
      <c r="O466" s="100"/>
      <c r="P466" s="143"/>
      <c r="Q466" s="90"/>
      <c r="R466" s="91"/>
      <c r="S466" s="144" t="s">
        <v>138</v>
      </c>
      <c r="T466" s="112" t="s">
        <v>290</v>
      </c>
      <c r="U466" s="106"/>
      <c r="V466" s="107">
        <v>45</v>
      </c>
      <c r="W466" s="108"/>
      <c r="X466" s="109"/>
      <c r="Y466" s="20">
        <f t="shared" si="21"/>
        <v>0</v>
      </c>
      <c r="AA466" s="98">
        <f t="shared" si="19"/>
        <v>0</v>
      </c>
      <c r="AB466" s="98">
        <f t="shared" si="20"/>
        <v>0</v>
      </c>
      <c r="AC466" s="110"/>
      <c r="AD466" s="77"/>
      <c r="AE466" s="77"/>
      <c r="AF466" s="75"/>
      <c r="AG466" s="75"/>
      <c r="AH466" s="75"/>
      <c r="AI466" s="75"/>
    </row>
    <row r="467" spans="1:35" ht="22.35" customHeight="1" thickBot="1" x14ac:dyDescent="0.3">
      <c r="A467" s="80"/>
      <c r="B467" s="80"/>
      <c r="F467" s="141"/>
      <c r="H467" s="99"/>
      <c r="I467" s="84"/>
      <c r="K467" s="86"/>
      <c r="L467" s="86"/>
      <c r="M467" s="86"/>
      <c r="O467" s="100"/>
      <c r="P467" s="143"/>
      <c r="Q467" s="90"/>
      <c r="R467" s="91"/>
      <c r="S467" s="144" t="s">
        <v>138</v>
      </c>
      <c r="T467" s="112" t="s">
        <v>290</v>
      </c>
      <c r="U467" s="106"/>
      <c r="V467" s="107">
        <v>45</v>
      </c>
      <c r="W467" s="108"/>
      <c r="X467" s="109"/>
      <c r="Y467" s="20">
        <f t="shared" si="21"/>
        <v>0</v>
      </c>
      <c r="AA467" s="98">
        <f t="shared" si="19"/>
        <v>0</v>
      </c>
      <c r="AB467" s="98">
        <f t="shared" si="20"/>
        <v>0</v>
      </c>
      <c r="AC467" s="110"/>
      <c r="AD467" s="77"/>
      <c r="AE467" s="77"/>
      <c r="AF467" s="75"/>
      <c r="AG467" s="75"/>
      <c r="AH467" s="75"/>
      <c r="AI467" s="75"/>
    </row>
    <row r="468" spans="1:35" ht="22.35" customHeight="1" thickBot="1" x14ac:dyDescent="0.3">
      <c r="A468" s="80"/>
      <c r="B468" s="80"/>
      <c r="F468" s="141"/>
      <c r="H468" s="99"/>
      <c r="I468" s="84"/>
      <c r="K468" s="86"/>
      <c r="L468" s="86"/>
      <c r="M468" s="86"/>
      <c r="O468" s="100"/>
      <c r="P468" s="143"/>
      <c r="Q468" s="90"/>
      <c r="R468" s="91"/>
      <c r="S468" s="144" t="s">
        <v>138</v>
      </c>
      <c r="T468" s="112" t="s">
        <v>290</v>
      </c>
      <c r="U468" s="106"/>
      <c r="V468" s="107">
        <v>45</v>
      </c>
      <c r="W468" s="108"/>
      <c r="X468" s="109"/>
      <c r="Y468" s="20">
        <f t="shared" si="21"/>
        <v>0</v>
      </c>
      <c r="AA468" s="98">
        <f t="shared" si="19"/>
        <v>0</v>
      </c>
      <c r="AB468" s="98">
        <f t="shared" si="20"/>
        <v>0</v>
      </c>
      <c r="AC468" s="110"/>
      <c r="AD468" s="77"/>
      <c r="AE468" s="77"/>
      <c r="AF468" s="75"/>
      <c r="AG468" s="75"/>
      <c r="AH468" s="75"/>
      <c r="AI468" s="75"/>
    </row>
    <row r="469" spans="1:35" ht="22.35" customHeight="1" thickBot="1" x14ac:dyDescent="0.3">
      <c r="A469" s="80"/>
      <c r="B469" s="80"/>
      <c r="F469" s="141"/>
      <c r="H469" s="99"/>
      <c r="I469" s="84"/>
      <c r="K469" s="86"/>
      <c r="L469" s="86"/>
      <c r="M469" s="86"/>
      <c r="O469" s="100"/>
      <c r="P469" s="143"/>
      <c r="Q469" s="90"/>
      <c r="R469" s="91"/>
      <c r="S469" s="144" t="s">
        <v>138</v>
      </c>
      <c r="T469" s="112" t="s">
        <v>290</v>
      </c>
      <c r="U469" s="106"/>
      <c r="V469" s="107">
        <v>45</v>
      </c>
      <c r="W469" s="108"/>
      <c r="X469" s="109"/>
      <c r="Y469" s="20">
        <f t="shared" si="21"/>
        <v>0</v>
      </c>
      <c r="AA469" s="98">
        <f t="shared" si="19"/>
        <v>0</v>
      </c>
      <c r="AB469" s="98">
        <f t="shared" si="20"/>
        <v>0</v>
      </c>
      <c r="AC469" s="110"/>
      <c r="AD469" s="77"/>
      <c r="AE469" s="77"/>
      <c r="AF469" s="75"/>
      <c r="AG469" s="75"/>
      <c r="AH469" s="75"/>
      <c r="AI469" s="75"/>
    </row>
    <row r="470" spans="1:35" ht="22.35" customHeight="1" thickBot="1" x14ac:dyDescent="0.3">
      <c r="A470" s="80"/>
      <c r="B470" s="80"/>
      <c r="F470" s="141"/>
      <c r="H470" s="99"/>
      <c r="I470" s="84"/>
      <c r="K470" s="86"/>
      <c r="L470" s="86"/>
      <c r="M470" s="86"/>
      <c r="O470" s="100"/>
      <c r="P470" s="143"/>
      <c r="Q470" s="90"/>
      <c r="R470" s="91"/>
      <c r="S470" s="144" t="s">
        <v>138</v>
      </c>
      <c r="T470" s="112" t="s">
        <v>290</v>
      </c>
      <c r="U470" s="106"/>
      <c r="V470" s="107">
        <v>45</v>
      </c>
      <c r="W470" s="108"/>
      <c r="X470" s="109"/>
      <c r="Y470" s="20">
        <f t="shared" si="21"/>
        <v>0</v>
      </c>
      <c r="AA470" s="98">
        <f t="shared" si="19"/>
        <v>0</v>
      </c>
      <c r="AB470" s="98">
        <f t="shared" si="20"/>
        <v>0</v>
      </c>
      <c r="AC470" s="110"/>
      <c r="AD470" s="77"/>
      <c r="AE470" s="77"/>
      <c r="AF470" s="75"/>
      <c r="AG470" s="75"/>
      <c r="AH470" s="75"/>
      <c r="AI470" s="75"/>
    </row>
    <row r="471" spans="1:35" ht="22.35" customHeight="1" thickBot="1" x14ac:dyDescent="0.3">
      <c r="A471" s="80"/>
      <c r="B471" s="80"/>
      <c r="F471" s="141"/>
      <c r="H471" s="99"/>
      <c r="I471" s="84"/>
      <c r="K471" s="86"/>
      <c r="L471" s="86"/>
      <c r="M471" s="86"/>
      <c r="O471" s="100"/>
      <c r="P471" s="143"/>
      <c r="Q471" s="90"/>
      <c r="R471" s="91"/>
      <c r="S471" s="144" t="s">
        <v>138</v>
      </c>
      <c r="T471" s="112" t="s">
        <v>290</v>
      </c>
      <c r="U471" s="106"/>
      <c r="V471" s="107">
        <v>45</v>
      </c>
      <c r="W471" s="108"/>
      <c r="X471" s="109"/>
      <c r="Y471" s="20">
        <f t="shared" si="21"/>
        <v>0</v>
      </c>
      <c r="AA471" s="98">
        <f t="shared" si="19"/>
        <v>0</v>
      </c>
      <c r="AB471" s="98">
        <f t="shared" si="20"/>
        <v>0</v>
      </c>
      <c r="AC471" s="110"/>
      <c r="AD471" s="77"/>
      <c r="AE471" s="77"/>
      <c r="AF471" s="75"/>
      <c r="AG471" s="75"/>
      <c r="AH471" s="75"/>
      <c r="AI471" s="75"/>
    </row>
    <row r="472" spans="1:35" ht="22.35" customHeight="1" thickBot="1" x14ac:dyDescent="0.3">
      <c r="A472" s="80"/>
      <c r="B472" s="80"/>
      <c r="F472" s="141"/>
      <c r="H472" s="99"/>
      <c r="I472" s="84"/>
      <c r="K472" s="86"/>
      <c r="L472" s="86"/>
      <c r="M472" s="86"/>
      <c r="O472" s="100"/>
      <c r="P472" s="143"/>
      <c r="Q472" s="90"/>
      <c r="R472" s="91"/>
      <c r="S472" s="144" t="s">
        <v>138</v>
      </c>
      <c r="T472" s="112" t="s">
        <v>290</v>
      </c>
      <c r="U472" s="106"/>
      <c r="V472" s="107">
        <v>45</v>
      </c>
      <c r="W472" s="108"/>
      <c r="X472" s="109"/>
      <c r="Y472" s="20">
        <f t="shared" si="21"/>
        <v>0</v>
      </c>
      <c r="AA472" s="98">
        <f t="shared" si="19"/>
        <v>0</v>
      </c>
      <c r="AB472" s="98">
        <f t="shared" si="20"/>
        <v>0</v>
      </c>
      <c r="AC472" s="110"/>
      <c r="AD472" s="77"/>
      <c r="AE472" s="77"/>
      <c r="AF472" s="75"/>
      <c r="AG472" s="75"/>
      <c r="AH472" s="75"/>
      <c r="AI472" s="75"/>
    </row>
    <row r="473" spans="1:35" ht="22.35" customHeight="1" thickBot="1" x14ac:dyDescent="0.3">
      <c r="A473" s="80"/>
      <c r="B473" s="80"/>
      <c r="F473" s="141"/>
      <c r="H473" s="99"/>
      <c r="I473" s="84"/>
      <c r="K473" s="86"/>
      <c r="L473" s="86"/>
      <c r="M473" s="86"/>
      <c r="O473" s="100"/>
      <c r="P473" s="143"/>
      <c r="Q473" s="90"/>
      <c r="R473" s="91"/>
      <c r="S473" s="144" t="s">
        <v>138</v>
      </c>
      <c r="T473" s="112" t="s">
        <v>290</v>
      </c>
      <c r="U473" s="106"/>
      <c r="V473" s="107">
        <v>45</v>
      </c>
      <c r="W473" s="108"/>
      <c r="X473" s="109"/>
      <c r="Y473" s="20">
        <f t="shared" si="21"/>
        <v>0</v>
      </c>
      <c r="AA473" s="98">
        <f t="shared" si="19"/>
        <v>0</v>
      </c>
      <c r="AB473" s="98">
        <f t="shared" si="20"/>
        <v>0</v>
      </c>
      <c r="AC473" s="110"/>
      <c r="AD473" s="77"/>
      <c r="AE473" s="77"/>
      <c r="AF473" s="75"/>
      <c r="AG473" s="75"/>
      <c r="AH473" s="75"/>
      <c r="AI473" s="75"/>
    </row>
    <row r="474" spans="1:35" ht="22.35" customHeight="1" thickBot="1" x14ac:dyDescent="0.3">
      <c r="A474" s="80"/>
      <c r="B474" s="80"/>
      <c r="F474" s="141"/>
      <c r="H474" s="99"/>
      <c r="I474" s="84"/>
      <c r="K474" s="86"/>
      <c r="L474" s="86"/>
      <c r="M474" s="86"/>
      <c r="O474" s="100"/>
      <c r="P474" s="143"/>
      <c r="Q474" s="90"/>
      <c r="R474" s="91"/>
      <c r="S474" s="144" t="s">
        <v>138</v>
      </c>
      <c r="T474" s="112" t="s">
        <v>290</v>
      </c>
      <c r="U474" s="106"/>
      <c r="V474" s="107">
        <v>45</v>
      </c>
      <c r="W474" s="108"/>
      <c r="X474" s="109"/>
      <c r="Y474" s="20">
        <f t="shared" si="21"/>
        <v>0</v>
      </c>
      <c r="AA474" s="98">
        <f t="shared" si="19"/>
        <v>0</v>
      </c>
      <c r="AB474" s="98">
        <f t="shared" si="20"/>
        <v>0</v>
      </c>
      <c r="AC474" s="110"/>
      <c r="AD474" s="77"/>
      <c r="AE474" s="77"/>
      <c r="AF474" s="75"/>
      <c r="AG474" s="75"/>
      <c r="AH474" s="75"/>
      <c r="AI474" s="75"/>
    </row>
    <row r="475" spans="1:35" ht="22.35" customHeight="1" thickBot="1" x14ac:dyDescent="0.3">
      <c r="A475" s="80"/>
      <c r="B475" s="80"/>
      <c r="F475" s="141"/>
      <c r="H475" s="99"/>
      <c r="I475" s="84"/>
      <c r="K475" s="86"/>
      <c r="L475" s="86"/>
      <c r="M475" s="86"/>
      <c r="O475" s="100"/>
      <c r="P475" s="143"/>
      <c r="Q475" s="90"/>
      <c r="R475" s="91"/>
      <c r="S475" s="144" t="s">
        <v>138</v>
      </c>
      <c r="T475" s="112" t="s">
        <v>290</v>
      </c>
      <c r="U475" s="106"/>
      <c r="V475" s="107">
        <v>45</v>
      </c>
      <c r="W475" s="108"/>
      <c r="X475" s="109"/>
      <c r="Y475" s="20">
        <f t="shared" si="21"/>
        <v>0</v>
      </c>
      <c r="AA475" s="98">
        <f t="shared" si="19"/>
        <v>0</v>
      </c>
      <c r="AB475" s="98">
        <f t="shared" si="20"/>
        <v>0</v>
      </c>
      <c r="AC475" s="110"/>
      <c r="AD475" s="77"/>
      <c r="AE475" s="77"/>
      <c r="AF475" s="75"/>
      <c r="AG475" s="75"/>
      <c r="AH475" s="75"/>
      <c r="AI475" s="75"/>
    </row>
    <row r="476" spans="1:35" ht="22.35" customHeight="1" thickBot="1" x14ac:dyDescent="0.3">
      <c r="A476" s="80"/>
      <c r="B476" s="80"/>
      <c r="F476" s="141"/>
      <c r="H476" s="99"/>
      <c r="I476" s="84"/>
      <c r="K476" s="86"/>
      <c r="L476" s="86"/>
      <c r="M476" s="86"/>
      <c r="O476" s="100"/>
      <c r="P476" s="143"/>
      <c r="Q476" s="90"/>
      <c r="R476" s="91"/>
      <c r="S476" s="144" t="s">
        <v>138</v>
      </c>
      <c r="T476" s="112" t="s">
        <v>290</v>
      </c>
      <c r="U476" s="106"/>
      <c r="V476" s="107">
        <v>45</v>
      </c>
      <c r="W476" s="160"/>
      <c r="X476" s="161"/>
      <c r="Y476" s="20">
        <f t="shared" si="21"/>
        <v>0</v>
      </c>
      <c r="AA476" s="98">
        <f t="shared" si="19"/>
        <v>0</v>
      </c>
      <c r="AB476" s="98">
        <f t="shared" si="20"/>
        <v>0</v>
      </c>
      <c r="AC476" s="110"/>
      <c r="AD476" s="77"/>
      <c r="AE476" s="77"/>
      <c r="AF476" s="75"/>
      <c r="AG476" s="75"/>
      <c r="AH476" s="75"/>
      <c r="AI476" s="75"/>
    </row>
    <row r="477" spans="1:35" ht="22.35" customHeight="1" thickBot="1" x14ac:dyDescent="0.3">
      <c r="A477" s="80"/>
      <c r="B477" s="80"/>
      <c r="F477" s="141"/>
      <c r="H477" s="99"/>
      <c r="I477" s="84"/>
      <c r="K477" s="86"/>
      <c r="L477" s="86"/>
      <c r="M477" s="86"/>
      <c r="O477" s="100"/>
      <c r="P477" s="143"/>
      <c r="Q477" s="90"/>
      <c r="R477" s="91"/>
      <c r="S477" s="144" t="s">
        <v>138</v>
      </c>
      <c r="T477" s="112" t="s">
        <v>290</v>
      </c>
      <c r="U477" s="106"/>
      <c r="V477" s="107">
        <v>45</v>
      </c>
      <c r="W477" s="160"/>
      <c r="X477" s="161"/>
      <c r="Y477" s="20">
        <f t="shared" si="21"/>
        <v>0</v>
      </c>
      <c r="AA477" s="98">
        <f t="shared" si="19"/>
        <v>0</v>
      </c>
      <c r="AB477" s="98">
        <f t="shared" si="20"/>
        <v>0</v>
      </c>
      <c r="AC477" s="110"/>
      <c r="AD477" s="77"/>
      <c r="AE477" s="77"/>
      <c r="AF477" s="75"/>
      <c r="AG477" s="75"/>
      <c r="AH477" s="75"/>
      <c r="AI477" s="75"/>
    </row>
    <row r="478" spans="1:35" ht="22.35" customHeight="1" thickBot="1" x14ac:dyDescent="0.3">
      <c r="A478" s="252"/>
      <c r="B478" s="252"/>
      <c r="C478" s="253"/>
      <c r="D478" s="254"/>
      <c r="E478" s="254"/>
      <c r="F478" s="195"/>
      <c r="G478" s="196"/>
      <c r="H478" s="255"/>
      <c r="I478" s="256"/>
      <c r="J478" s="257"/>
      <c r="K478" s="258"/>
      <c r="L478" s="258"/>
      <c r="M478" s="258"/>
      <c r="N478" s="228"/>
      <c r="O478" s="200"/>
      <c r="P478" s="202"/>
      <c r="Q478" s="259"/>
      <c r="R478" s="260"/>
      <c r="S478" s="155" t="s">
        <v>138</v>
      </c>
      <c r="T478" s="124" t="s">
        <v>290</v>
      </c>
      <c r="U478" s="125"/>
      <c r="V478" s="126">
        <v>45</v>
      </c>
      <c r="W478" s="160"/>
      <c r="X478" s="161"/>
      <c r="Y478" s="20">
        <f t="shared" si="21"/>
        <v>0</v>
      </c>
      <c r="AA478" s="98">
        <f t="shared" si="19"/>
        <v>0</v>
      </c>
      <c r="AB478" s="98">
        <f t="shared" si="20"/>
        <v>0</v>
      </c>
      <c r="AC478" s="110"/>
      <c r="AD478" s="77"/>
      <c r="AE478" s="77"/>
      <c r="AF478" s="75"/>
      <c r="AG478" s="75"/>
      <c r="AH478" s="75"/>
      <c r="AI478" s="75"/>
    </row>
    <row r="479" spans="1:35" ht="22.35" customHeight="1" thickBot="1" x14ac:dyDescent="0.3">
      <c r="A479" s="127"/>
      <c r="B479" s="127"/>
      <c r="C479" s="128"/>
      <c r="D479" s="129"/>
      <c r="E479" s="129"/>
      <c r="F479" s="130"/>
      <c r="G479" s="132"/>
      <c r="H479" s="191"/>
      <c r="I479" s="158"/>
      <c r="J479" s="129"/>
      <c r="K479" s="159"/>
      <c r="L479" s="133"/>
      <c r="M479" s="133"/>
      <c r="N479" s="134"/>
      <c r="O479" s="135"/>
      <c r="P479" s="136"/>
      <c r="Q479" s="137"/>
      <c r="R479" s="138"/>
      <c r="S479" s="144" t="s">
        <v>860</v>
      </c>
      <c r="T479" s="112" t="s">
        <v>867</v>
      </c>
      <c r="U479" s="106" t="s">
        <v>819</v>
      </c>
      <c r="V479" s="107">
        <v>46</v>
      </c>
      <c r="W479" s="160"/>
      <c r="X479" s="161"/>
      <c r="Y479" s="20">
        <f t="shared" si="21"/>
        <v>0</v>
      </c>
      <c r="AA479" s="98">
        <f t="shared" si="19"/>
        <v>0</v>
      </c>
      <c r="AB479" s="98">
        <f t="shared" si="20"/>
        <v>0</v>
      </c>
    </row>
    <row r="480" spans="1:35" ht="22.35" customHeight="1" thickBot="1" x14ac:dyDescent="0.3">
      <c r="A480" s="80"/>
      <c r="B480" s="80"/>
      <c r="F480" s="141"/>
      <c r="H480" s="191"/>
      <c r="I480" s="84"/>
      <c r="K480" s="86"/>
      <c r="L480" s="86"/>
      <c r="M480" s="86"/>
      <c r="O480" s="100"/>
      <c r="P480" s="143"/>
      <c r="Q480" s="102"/>
      <c r="R480" s="103"/>
      <c r="S480" s="144" t="s">
        <v>860</v>
      </c>
      <c r="T480" s="112" t="s">
        <v>867</v>
      </c>
      <c r="U480" s="106" t="s">
        <v>819</v>
      </c>
      <c r="V480" s="107">
        <v>46</v>
      </c>
      <c r="W480" s="160"/>
      <c r="X480" s="161"/>
      <c r="Y480" s="20">
        <f t="shared" si="21"/>
        <v>0</v>
      </c>
      <c r="AA480" s="98">
        <f t="shared" si="19"/>
        <v>0</v>
      </c>
      <c r="AB480" s="98">
        <f t="shared" si="20"/>
        <v>0</v>
      </c>
    </row>
    <row r="481" spans="1:28" ht="22.35" customHeight="1" thickBot="1" x14ac:dyDescent="0.3">
      <c r="A481" s="80"/>
      <c r="B481" s="80"/>
      <c r="F481" s="141"/>
      <c r="H481" s="191"/>
      <c r="I481" s="84"/>
      <c r="K481" s="86"/>
      <c r="L481" s="86"/>
      <c r="M481" s="86"/>
      <c r="O481" s="100"/>
      <c r="P481" s="143"/>
      <c r="Q481" s="102"/>
      <c r="R481" s="103"/>
      <c r="S481" s="144" t="s">
        <v>860</v>
      </c>
      <c r="T481" s="112" t="s">
        <v>867</v>
      </c>
      <c r="U481" s="106" t="s">
        <v>819</v>
      </c>
      <c r="V481" s="107">
        <v>46</v>
      </c>
      <c r="W481" s="160"/>
      <c r="X481" s="161"/>
      <c r="Y481" s="20">
        <f t="shared" si="21"/>
        <v>0</v>
      </c>
      <c r="AA481" s="98">
        <f>H481-I481</f>
        <v>0</v>
      </c>
      <c r="AB481" s="98">
        <f>R481-H481</f>
        <v>0</v>
      </c>
    </row>
    <row r="482" spans="1:28" ht="22.35" customHeight="1" thickBot="1" x14ac:dyDescent="0.3">
      <c r="A482" s="80"/>
      <c r="B482" s="80"/>
      <c r="F482" s="141"/>
      <c r="H482" s="191"/>
      <c r="I482" s="84"/>
      <c r="K482" s="86"/>
      <c r="L482" s="86"/>
      <c r="M482" s="86"/>
      <c r="O482" s="100"/>
      <c r="P482" s="143"/>
      <c r="Q482" s="102"/>
      <c r="R482" s="103"/>
      <c r="S482" s="144" t="s">
        <v>860</v>
      </c>
      <c r="T482" s="112" t="s">
        <v>867</v>
      </c>
      <c r="U482" s="106" t="s">
        <v>647</v>
      </c>
      <c r="V482" s="107">
        <v>46</v>
      </c>
      <c r="W482" s="108"/>
      <c r="X482" s="109"/>
      <c r="Y482" s="20">
        <f t="shared" si="21"/>
        <v>0</v>
      </c>
      <c r="AA482" s="98">
        <f t="shared" si="19"/>
        <v>0</v>
      </c>
      <c r="AB482" s="98">
        <f t="shared" si="20"/>
        <v>0</v>
      </c>
    </row>
    <row r="483" spans="1:28" ht="22.35" customHeight="1" thickBot="1" x14ac:dyDescent="0.3">
      <c r="A483" s="80"/>
      <c r="B483" s="80"/>
      <c r="F483" s="141"/>
      <c r="H483" s="191"/>
      <c r="I483" s="84"/>
      <c r="K483" s="86"/>
      <c r="L483" s="86"/>
      <c r="M483" s="86"/>
      <c r="O483" s="100"/>
      <c r="P483" s="143"/>
      <c r="Q483" s="102"/>
      <c r="R483" s="103"/>
      <c r="S483" s="144" t="s">
        <v>860</v>
      </c>
      <c r="T483" s="112" t="s">
        <v>867</v>
      </c>
      <c r="U483" s="106" t="s">
        <v>647</v>
      </c>
      <c r="V483" s="107">
        <v>46</v>
      </c>
      <c r="W483" s="108"/>
      <c r="X483" s="109"/>
      <c r="Y483" s="20">
        <f t="shared" si="21"/>
        <v>0</v>
      </c>
      <c r="AA483" s="98">
        <f t="shared" si="19"/>
        <v>0</v>
      </c>
      <c r="AB483" s="98">
        <f t="shared" si="20"/>
        <v>0</v>
      </c>
    </row>
    <row r="484" spans="1:28" ht="22.35" customHeight="1" thickBot="1" x14ac:dyDescent="0.3">
      <c r="A484" s="80"/>
      <c r="B484" s="80"/>
      <c r="F484" s="141"/>
      <c r="H484" s="191"/>
      <c r="I484" s="84"/>
      <c r="K484" s="86"/>
      <c r="L484" s="86"/>
      <c r="M484" s="86"/>
      <c r="O484" s="100"/>
      <c r="P484" s="143"/>
      <c r="Q484" s="102"/>
      <c r="R484" s="103"/>
      <c r="S484" s="144" t="s">
        <v>860</v>
      </c>
      <c r="T484" s="112" t="s">
        <v>867</v>
      </c>
      <c r="U484" s="106" t="s">
        <v>647</v>
      </c>
      <c r="V484" s="107">
        <v>46</v>
      </c>
      <c r="W484" s="108"/>
      <c r="X484" s="109"/>
      <c r="Y484" s="20">
        <f t="shared" si="21"/>
        <v>0</v>
      </c>
      <c r="AA484" s="98">
        <f t="shared" si="19"/>
        <v>0</v>
      </c>
      <c r="AB484" s="98">
        <f t="shared" si="20"/>
        <v>0</v>
      </c>
    </row>
    <row r="485" spans="1:28" ht="22.35" customHeight="1" thickBot="1" x14ac:dyDescent="0.3">
      <c r="A485" s="80"/>
      <c r="B485" s="80"/>
      <c r="F485" s="141"/>
      <c r="H485" s="191"/>
      <c r="I485" s="84"/>
      <c r="K485" s="86"/>
      <c r="L485" s="86"/>
      <c r="M485" s="86"/>
      <c r="O485" s="100"/>
      <c r="P485" s="143"/>
      <c r="Q485" s="102"/>
      <c r="R485" s="103"/>
      <c r="S485" s="144" t="s">
        <v>860</v>
      </c>
      <c r="T485" s="112" t="s">
        <v>867</v>
      </c>
      <c r="U485" s="106" t="s">
        <v>647</v>
      </c>
      <c r="V485" s="107">
        <v>46</v>
      </c>
      <c r="W485" s="108"/>
      <c r="X485" s="109"/>
      <c r="Y485" s="20">
        <f t="shared" si="21"/>
        <v>0</v>
      </c>
      <c r="AA485" s="98">
        <f t="shared" si="19"/>
        <v>0</v>
      </c>
      <c r="AB485" s="98">
        <f t="shared" si="20"/>
        <v>0</v>
      </c>
    </row>
    <row r="486" spans="1:28" ht="22.35" customHeight="1" thickBot="1" x14ac:dyDescent="0.3">
      <c r="A486" s="80"/>
      <c r="B486" s="80"/>
      <c r="F486" s="141"/>
      <c r="H486" s="191"/>
      <c r="I486" s="84"/>
      <c r="K486" s="86"/>
      <c r="L486" s="86"/>
      <c r="M486" s="86"/>
      <c r="O486" s="100"/>
      <c r="P486" s="143"/>
      <c r="Q486" s="102"/>
      <c r="R486" s="103"/>
      <c r="S486" s="144" t="s">
        <v>860</v>
      </c>
      <c r="T486" s="112" t="s">
        <v>867</v>
      </c>
      <c r="U486" s="106" t="s">
        <v>293</v>
      </c>
      <c r="V486" s="107">
        <v>46</v>
      </c>
      <c r="W486" s="108"/>
      <c r="X486" s="109"/>
      <c r="Y486" s="20">
        <f t="shared" si="21"/>
        <v>0</v>
      </c>
      <c r="AA486" s="98">
        <f t="shared" si="19"/>
        <v>0</v>
      </c>
      <c r="AB486" s="98">
        <f t="shared" si="20"/>
        <v>0</v>
      </c>
    </row>
    <row r="487" spans="1:28" ht="22.35" customHeight="1" thickBot="1" x14ac:dyDescent="0.3">
      <c r="A487" s="80"/>
      <c r="B487" s="80"/>
      <c r="F487" s="141"/>
      <c r="H487" s="191"/>
      <c r="I487" s="84"/>
      <c r="K487" s="86"/>
      <c r="L487" s="86"/>
      <c r="M487" s="86"/>
      <c r="O487" s="100"/>
      <c r="P487" s="143"/>
      <c r="Q487" s="102"/>
      <c r="R487" s="103"/>
      <c r="S487" s="144" t="s">
        <v>860</v>
      </c>
      <c r="T487" s="112" t="s">
        <v>867</v>
      </c>
      <c r="U487" s="106" t="s">
        <v>293</v>
      </c>
      <c r="V487" s="107">
        <v>46</v>
      </c>
      <c r="W487" s="108"/>
      <c r="X487" s="109"/>
      <c r="Y487" s="20">
        <f t="shared" si="21"/>
        <v>0</v>
      </c>
      <c r="AA487" s="98">
        <f>H487-I487</f>
        <v>0</v>
      </c>
      <c r="AB487" s="98">
        <f>R487-H487</f>
        <v>0</v>
      </c>
    </row>
    <row r="488" spans="1:28" ht="22.35" customHeight="1" thickBot="1" x14ac:dyDescent="0.3">
      <c r="A488" s="80"/>
      <c r="B488" s="80"/>
      <c r="F488" s="141"/>
      <c r="H488" s="191"/>
      <c r="I488" s="84"/>
      <c r="K488" s="86"/>
      <c r="L488" s="86"/>
      <c r="M488" s="86"/>
      <c r="O488" s="100"/>
      <c r="P488" s="143"/>
      <c r="Q488" s="102"/>
      <c r="R488" s="103"/>
      <c r="S488" s="144" t="s">
        <v>860</v>
      </c>
      <c r="T488" s="112" t="s">
        <v>867</v>
      </c>
      <c r="U488" s="106" t="s">
        <v>293</v>
      </c>
      <c r="V488" s="107">
        <v>46</v>
      </c>
      <c r="W488" s="108"/>
      <c r="X488" s="109"/>
      <c r="Y488" s="20">
        <f t="shared" si="21"/>
        <v>0</v>
      </c>
      <c r="AA488" s="98">
        <f>H488-I488</f>
        <v>0</v>
      </c>
      <c r="AB488" s="98">
        <f>R488-H488</f>
        <v>0</v>
      </c>
    </row>
    <row r="489" spans="1:28" ht="22.35" customHeight="1" thickBot="1" x14ac:dyDescent="0.3">
      <c r="A489" s="80"/>
      <c r="B489" s="80"/>
      <c r="F489" s="141"/>
      <c r="H489" s="191"/>
      <c r="I489" s="84"/>
      <c r="K489" s="86"/>
      <c r="L489" s="86"/>
      <c r="M489" s="86"/>
      <c r="O489" s="100"/>
      <c r="P489" s="143"/>
      <c r="Q489" s="102"/>
      <c r="R489" s="103"/>
      <c r="S489" s="144" t="s">
        <v>860</v>
      </c>
      <c r="T489" s="112" t="s">
        <v>867</v>
      </c>
      <c r="U489" s="106" t="s">
        <v>293</v>
      </c>
      <c r="V489" s="107">
        <v>46</v>
      </c>
      <c r="W489" s="108"/>
      <c r="X489" s="109"/>
      <c r="Y489" s="20">
        <f t="shared" si="21"/>
        <v>0</v>
      </c>
      <c r="AA489" s="98">
        <f>H489-I489</f>
        <v>0</v>
      </c>
      <c r="AB489" s="98">
        <f>R489-H489</f>
        <v>0</v>
      </c>
    </row>
    <row r="490" spans="1:28" ht="22.35" customHeight="1" thickBot="1" x14ac:dyDescent="0.3">
      <c r="A490" s="80"/>
      <c r="B490" s="80"/>
      <c r="F490" s="141"/>
      <c r="H490" s="191"/>
      <c r="I490" s="84"/>
      <c r="K490" s="86"/>
      <c r="L490" s="86"/>
      <c r="M490" s="86"/>
      <c r="O490" s="100"/>
      <c r="P490" s="143"/>
      <c r="Q490" s="102"/>
      <c r="R490" s="103"/>
      <c r="S490" s="144" t="s">
        <v>860</v>
      </c>
      <c r="T490" s="112" t="s">
        <v>867</v>
      </c>
      <c r="U490" s="106" t="s">
        <v>293</v>
      </c>
      <c r="V490" s="107">
        <v>46</v>
      </c>
      <c r="W490" s="108"/>
      <c r="X490" s="109"/>
      <c r="Y490" s="20">
        <f t="shared" si="21"/>
        <v>0</v>
      </c>
      <c r="AA490" s="98">
        <f t="shared" ref="AA490:AA557" si="22">H490-I490</f>
        <v>0</v>
      </c>
      <c r="AB490" s="98">
        <f t="shared" ref="AB490:AB557" si="23">R490-H490</f>
        <v>0</v>
      </c>
    </row>
    <row r="491" spans="1:28" ht="22.35" customHeight="1" thickBot="1" x14ac:dyDescent="0.3">
      <c r="A491" s="80"/>
      <c r="B491" s="80"/>
      <c r="F491" s="141"/>
      <c r="H491" s="191"/>
      <c r="I491" s="84"/>
      <c r="K491" s="86"/>
      <c r="L491" s="86"/>
      <c r="M491" s="86"/>
      <c r="O491" s="100"/>
      <c r="P491" s="143"/>
      <c r="Q491" s="102"/>
      <c r="R491" s="103"/>
      <c r="S491" s="144" t="s">
        <v>860</v>
      </c>
      <c r="T491" s="112" t="s">
        <v>867</v>
      </c>
      <c r="U491" s="106" t="s">
        <v>293</v>
      </c>
      <c r="V491" s="107">
        <v>46</v>
      </c>
      <c r="W491" s="108"/>
      <c r="X491" s="109"/>
      <c r="Y491" s="20">
        <f t="shared" si="21"/>
        <v>0</v>
      </c>
      <c r="AA491" s="98">
        <f t="shared" si="22"/>
        <v>0</v>
      </c>
      <c r="AB491" s="98">
        <f t="shared" si="23"/>
        <v>0</v>
      </c>
    </row>
    <row r="492" spans="1:28" ht="22.35" customHeight="1" thickBot="1" x14ac:dyDescent="0.3">
      <c r="A492" s="80"/>
      <c r="B492" s="80"/>
      <c r="F492" s="141"/>
      <c r="H492" s="191"/>
      <c r="I492" s="84"/>
      <c r="K492" s="86"/>
      <c r="L492" s="86"/>
      <c r="M492" s="86"/>
      <c r="O492" s="100"/>
      <c r="P492" s="143"/>
      <c r="Q492" s="102"/>
      <c r="R492" s="103"/>
      <c r="S492" s="144" t="s">
        <v>860</v>
      </c>
      <c r="T492" s="112" t="s">
        <v>867</v>
      </c>
      <c r="U492" s="106" t="s">
        <v>293</v>
      </c>
      <c r="V492" s="107">
        <v>46</v>
      </c>
      <c r="W492" s="108"/>
      <c r="X492" s="109"/>
      <c r="Y492" s="20">
        <f t="shared" si="21"/>
        <v>0</v>
      </c>
      <c r="AA492" s="98">
        <f t="shared" si="22"/>
        <v>0</v>
      </c>
      <c r="AB492" s="98">
        <f t="shared" si="23"/>
        <v>0</v>
      </c>
    </row>
    <row r="493" spans="1:28" ht="22.35" customHeight="1" thickBot="1" x14ac:dyDescent="0.3">
      <c r="A493" s="80"/>
      <c r="B493" s="80"/>
      <c r="F493" s="141"/>
      <c r="H493" s="191"/>
      <c r="I493" s="84"/>
      <c r="K493" s="86"/>
      <c r="L493" s="86"/>
      <c r="M493" s="86"/>
      <c r="O493" s="100"/>
      <c r="P493" s="143"/>
      <c r="Q493" s="102"/>
      <c r="R493" s="103"/>
      <c r="S493" s="144" t="s">
        <v>860</v>
      </c>
      <c r="T493" s="112" t="s">
        <v>867</v>
      </c>
      <c r="U493" s="106" t="s">
        <v>293</v>
      </c>
      <c r="V493" s="107">
        <v>46</v>
      </c>
      <c r="W493" s="108"/>
      <c r="X493" s="109"/>
      <c r="Y493" s="20">
        <f t="shared" si="21"/>
        <v>0</v>
      </c>
      <c r="AA493" s="98">
        <f t="shared" si="22"/>
        <v>0</v>
      </c>
      <c r="AB493" s="98">
        <f t="shared" si="23"/>
        <v>0</v>
      </c>
    </row>
    <row r="494" spans="1:28" ht="22.35" customHeight="1" thickBot="1" x14ac:dyDescent="0.3">
      <c r="A494" s="209"/>
      <c r="B494" s="209"/>
      <c r="C494" s="210"/>
      <c r="D494" s="211"/>
      <c r="E494" s="211"/>
      <c r="F494" s="236"/>
      <c r="G494" s="213"/>
      <c r="H494" s="191"/>
      <c r="I494" s="238"/>
      <c r="J494" s="211"/>
      <c r="K494" s="215"/>
      <c r="L494" s="215"/>
      <c r="M494" s="215"/>
      <c r="N494" s="216"/>
      <c r="O494" s="239"/>
      <c r="P494" s="240"/>
      <c r="Q494" s="154"/>
      <c r="R494" s="241"/>
      <c r="S494" s="242" t="s">
        <v>860</v>
      </c>
      <c r="T494" s="243" t="s">
        <v>867</v>
      </c>
      <c r="U494" s="244" t="s">
        <v>293</v>
      </c>
      <c r="V494" s="233">
        <v>46</v>
      </c>
      <c r="W494" s="108"/>
      <c r="X494" s="109"/>
      <c r="Y494" s="20">
        <f t="shared" si="21"/>
        <v>0</v>
      </c>
      <c r="AA494" s="98">
        <f t="shared" si="22"/>
        <v>0</v>
      </c>
      <c r="AB494" s="98">
        <f t="shared" si="23"/>
        <v>0</v>
      </c>
    </row>
    <row r="495" spans="1:28" ht="22.35" customHeight="1" thickBot="1" x14ac:dyDescent="0.3">
      <c r="A495" s="175"/>
      <c r="B495" s="175"/>
      <c r="C495" s="176"/>
      <c r="D495" s="177" t="s">
        <v>868</v>
      </c>
      <c r="E495" s="178"/>
      <c r="F495" s="179"/>
      <c r="G495" s="180"/>
      <c r="H495" s="181"/>
      <c r="I495" s="180"/>
      <c r="J495" s="178"/>
      <c r="K495" s="182"/>
      <c r="L495" s="182"/>
      <c r="M495" s="182"/>
      <c r="N495" s="183"/>
      <c r="O495" s="184"/>
      <c r="P495" s="184"/>
      <c r="Q495" s="184"/>
      <c r="R495" s="185"/>
      <c r="S495" s="186"/>
      <c r="T495" s="187" t="s">
        <v>506</v>
      </c>
      <c r="U495" s="188"/>
      <c r="V495" s="189"/>
      <c r="W495" s="188"/>
      <c r="X495" s="190"/>
      <c r="Y495" s="20">
        <f t="shared" si="21"/>
        <v>0</v>
      </c>
      <c r="AA495" s="98">
        <f t="shared" si="22"/>
        <v>0</v>
      </c>
      <c r="AB495" s="98">
        <f t="shared" si="23"/>
        <v>0</v>
      </c>
    </row>
    <row r="496" spans="1:28" ht="22.35" customHeight="1" thickBot="1" x14ac:dyDescent="0.3">
      <c r="A496" s="127"/>
      <c r="B496" s="127"/>
      <c r="C496" s="128"/>
      <c r="D496" s="129"/>
      <c r="E496" s="129"/>
      <c r="F496" s="130"/>
      <c r="G496" s="132"/>
      <c r="H496" s="191"/>
      <c r="I496" s="158"/>
      <c r="J496" s="129"/>
      <c r="K496" s="159"/>
      <c r="L496" s="133"/>
      <c r="M496" s="133"/>
      <c r="N496" s="134"/>
      <c r="O496" s="135"/>
      <c r="P496" s="136"/>
      <c r="Q496" s="137"/>
      <c r="R496" s="138"/>
      <c r="S496" s="144" t="s">
        <v>869</v>
      </c>
      <c r="T496" s="112" t="s">
        <v>506</v>
      </c>
      <c r="U496" s="106" t="s">
        <v>870</v>
      </c>
      <c r="V496" s="107">
        <v>47</v>
      </c>
      <c r="W496" s="96"/>
      <c r="X496" s="97"/>
      <c r="Y496" s="20">
        <f t="shared" si="21"/>
        <v>0</v>
      </c>
      <c r="AA496" s="98">
        <f t="shared" si="22"/>
        <v>0</v>
      </c>
      <c r="AB496" s="98">
        <f t="shared" si="23"/>
        <v>0</v>
      </c>
    </row>
    <row r="497" spans="1:28" ht="22.35" customHeight="1" thickBot="1" x14ac:dyDescent="0.3">
      <c r="A497" s="80"/>
      <c r="B497" s="80"/>
      <c r="F497" s="141"/>
      <c r="H497" s="191"/>
      <c r="I497" s="84"/>
      <c r="K497" s="86"/>
      <c r="L497" s="86"/>
      <c r="M497" s="86"/>
      <c r="O497" s="100"/>
      <c r="P497" s="143"/>
      <c r="Q497" s="102"/>
      <c r="R497" s="103"/>
      <c r="S497" s="144" t="s">
        <v>869</v>
      </c>
      <c r="T497" s="112" t="s">
        <v>506</v>
      </c>
      <c r="U497" s="106" t="s">
        <v>870</v>
      </c>
      <c r="V497" s="107">
        <v>47</v>
      </c>
      <c r="W497" s="108"/>
      <c r="X497" s="109"/>
      <c r="Y497" s="20">
        <f t="shared" si="21"/>
        <v>0</v>
      </c>
      <c r="AA497" s="98">
        <f t="shared" si="22"/>
        <v>0</v>
      </c>
      <c r="AB497" s="98">
        <f t="shared" si="23"/>
        <v>0</v>
      </c>
    </row>
    <row r="498" spans="1:28" ht="22.35" customHeight="1" thickBot="1" x14ac:dyDescent="0.3">
      <c r="A498" s="80"/>
      <c r="B498" s="80"/>
      <c r="F498" s="141"/>
      <c r="H498" s="191"/>
      <c r="I498" s="84"/>
      <c r="K498" s="86"/>
      <c r="L498" s="86"/>
      <c r="M498" s="86"/>
      <c r="O498" s="100"/>
      <c r="P498" s="143"/>
      <c r="Q498" s="102"/>
      <c r="R498" s="103"/>
      <c r="S498" s="144" t="s">
        <v>869</v>
      </c>
      <c r="T498" s="112" t="s">
        <v>506</v>
      </c>
      <c r="U498" s="106" t="s">
        <v>870</v>
      </c>
      <c r="V498" s="107">
        <v>47</v>
      </c>
      <c r="W498" s="108"/>
      <c r="X498" s="109"/>
      <c r="Y498" s="20">
        <f t="shared" si="21"/>
        <v>0</v>
      </c>
      <c r="AA498" s="98">
        <f t="shared" si="22"/>
        <v>0</v>
      </c>
      <c r="AB498" s="98">
        <f t="shared" si="23"/>
        <v>0</v>
      </c>
    </row>
    <row r="499" spans="1:28" ht="22.35" customHeight="1" thickBot="1" x14ac:dyDescent="0.3">
      <c r="A499" s="80"/>
      <c r="B499" s="80"/>
      <c r="F499" s="141"/>
      <c r="H499" s="191"/>
      <c r="I499" s="84"/>
      <c r="K499" s="86"/>
      <c r="L499" s="86"/>
      <c r="M499" s="86"/>
      <c r="O499" s="100"/>
      <c r="P499" s="143"/>
      <c r="Q499" s="102"/>
      <c r="R499" s="103"/>
      <c r="S499" s="144" t="s">
        <v>869</v>
      </c>
      <c r="T499" s="112" t="s">
        <v>506</v>
      </c>
      <c r="U499" s="106" t="s">
        <v>870</v>
      </c>
      <c r="V499" s="107">
        <v>47</v>
      </c>
      <c r="W499" s="108"/>
      <c r="X499" s="109"/>
      <c r="Y499" s="20">
        <f t="shared" si="21"/>
        <v>0</v>
      </c>
      <c r="AA499" s="98">
        <f t="shared" si="22"/>
        <v>0</v>
      </c>
      <c r="AB499" s="98">
        <f t="shared" si="23"/>
        <v>0</v>
      </c>
    </row>
    <row r="500" spans="1:28" ht="22.35" customHeight="1" thickBot="1" x14ac:dyDescent="0.3">
      <c r="A500" s="80"/>
      <c r="B500" s="80"/>
      <c r="F500" s="141"/>
      <c r="H500" s="191"/>
      <c r="I500" s="84"/>
      <c r="K500" s="86"/>
      <c r="L500" s="86"/>
      <c r="M500" s="86"/>
      <c r="O500" s="100"/>
      <c r="P500" s="143"/>
      <c r="Q500" s="102"/>
      <c r="R500" s="103"/>
      <c r="S500" s="144" t="s">
        <v>869</v>
      </c>
      <c r="T500" s="112" t="s">
        <v>506</v>
      </c>
      <c r="U500" s="106" t="s">
        <v>870</v>
      </c>
      <c r="V500" s="107">
        <v>47</v>
      </c>
      <c r="W500" s="108"/>
      <c r="X500" s="109"/>
      <c r="Y500" s="20">
        <f t="shared" si="21"/>
        <v>0</v>
      </c>
      <c r="AA500" s="98">
        <f t="shared" si="22"/>
        <v>0</v>
      </c>
      <c r="AB500" s="98">
        <f t="shared" si="23"/>
        <v>0</v>
      </c>
    </row>
    <row r="501" spans="1:28" ht="22.35" customHeight="1" thickBot="1" x14ac:dyDescent="0.3">
      <c r="A501" s="80"/>
      <c r="B501" s="80"/>
      <c r="F501" s="141"/>
      <c r="H501" s="191"/>
      <c r="I501" s="84"/>
      <c r="K501" s="86"/>
      <c r="L501" s="86"/>
      <c r="M501" s="86"/>
      <c r="O501" s="100"/>
      <c r="P501" s="143"/>
      <c r="Q501" s="102"/>
      <c r="R501" s="103"/>
      <c r="S501" s="144" t="s">
        <v>869</v>
      </c>
      <c r="T501" s="112" t="s">
        <v>506</v>
      </c>
      <c r="U501" s="106" t="s">
        <v>870</v>
      </c>
      <c r="V501" s="107">
        <v>47</v>
      </c>
      <c r="W501" s="108"/>
      <c r="X501" s="109"/>
      <c r="Y501" s="20">
        <f t="shared" si="21"/>
        <v>0</v>
      </c>
      <c r="AA501" s="98">
        <f t="shared" si="22"/>
        <v>0</v>
      </c>
      <c r="AB501" s="98">
        <f t="shared" si="23"/>
        <v>0</v>
      </c>
    </row>
    <row r="502" spans="1:28" ht="22.35" customHeight="1" thickBot="1" x14ac:dyDescent="0.3">
      <c r="A502" s="80"/>
      <c r="B502" s="80"/>
      <c r="F502" s="141"/>
      <c r="H502" s="191"/>
      <c r="I502" s="84"/>
      <c r="K502" s="86"/>
      <c r="L502" s="86"/>
      <c r="M502" s="86"/>
      <c r="O502" s="100"/>
      <c r="P502" s="143"/>
      <c r="Q502" s="102"/>
      <c r="R502" s="103"/>
      <c r="S502" s="144" t="s">
        <v>869</v>
      </c>
      <c r="T502" s="112" t="s">
        <v>506</v>
      </c>
      <c r="U502" s="106" t="s">
        <v>870</v>
      </c>
      <c r="V502" s="107">
        <v>47</v>
      </c>
      <c r="W502" s="108"/>
      <c r="X502" s="109"/>
      <c r="Y502" s="20">
        <f t="shared" si="21"/>
        <v>0</v>
      </c>
      <c r="AA502" s="98">
        <f t="shared" si="22"/>
        <v>0</v>
      </c>
      <c r="AB502" s="98">
        <f t="shared" si="23"/>
        <v>0</v>
      </c>
    </row>
    <row r="503" spans="1:28" ht="22.35" customHeight="1" thickBot="1" x14ac:dyDescent="0.3">
      <c r="A503" s="209"/>
      <c r="B503" s="209"/>
      <c r="C503" s="210"/>
      <c r="D503" s="211"/>
      <c r="E503" s="211"/>
      <c r="F503" s="236"/>
      <c r="G503" s="213"/>
      <c r="H503" s="191"/>
      <c r="I503" s="238"/>
      <c r="J503" s="211"/>
      <c r="K503" s="215"/>
      <c r="L503" s="215"/>
      <c r="M503" s="215"/>
      <c r="N503" s="216"/>
      <c r="O503" s="239"/>
      <c r="P503" s="240"/>
      <c r="Q503" s="154"/>
      <c r="R503" s="241"/>
      <c r="S503" s="242" t="s">
        <v>869</v>
      </c>
      <c r="T503" s="243" t="s">
        <v>506</v>
      </c>
      <c r="U503" s="244" t="s">
        <v>870</v>
      </c>
      <c r="V503" s="233">
        <v>47</v>
      </c>
      <c r="W503" s="108"/>
      <c r="X503" s="109"/>
      <c r="Y503" s="20">
        <f t="shared" si="21"/>
        <v>0</v>
      </c>
      <c r="AA503" s="98">
        <f t="shared" si="22"/>
        <v>0</v>
      </c>
      <c r="AB503" s="98">
        <f t="shared" si="23"/>
        <v>0</v>
      </c>
    </row>
    <row r="504" spans="1:28" ht="22.35" customHeight="1" thickBot="1" x14ac:dyDescent="0.3">
      <c r="A504" s="80"/>
      <c r="B504" s="80">
        <v>8445290751157</v>
      </c>
      <c r="C504" s="81">
        <v>26</v>
      </c>
      <c r="D504" s="23" t="s">
        <v>871</v>
      </c>
      <c r="E504" s="23" t="s">
        <v>872</v>
      </c>
      <c r="F504" s="82" t="s">
        <v>873</v>
      </c>
      <c r="G504" s="21" t="s">
        <v>89</v>
      </c>
      <c r="H504" s="277">
        <v>10.5</v>
      </c>
      <c r="I504" s="21">
        <v>8.85</v>
      </c>
      <c r="J504" s="23" t="s">
        <v>421</v>
      </c>
      <c r="K504" s="86">
        <v>7082735</v>
      </c>
      <c r="L504" s="86">
        <v>4</v>
      </c>
      <c r="M504" s="86"/>
      <c r="N504" s="87">
        <v>0</v>
      </c>
      <c r="O504" s="223">
        <v>1513</v>
      </c>
      <c r="P504" s="224">
        <v>1</v>
      </c>
      <c r="Q504" s="224">
        <v>1</v>
      </c>
      <c r="R504" s="225">
        <v>11.5</v>
      </c>
      <c r="S504" s="226" t="s">
        <v>874</v>
      </c>
      <c r="T504" s="94" t="str">
        <f>INDEX([1]data!$B$1:$B$100,MATCH('04.02 - 10.02'!S504,[0]!exclusive01,))</f>
        <v>DUCANH</v>
      </c>
      <c r="U504" s="106" t="s">
        <v>875</v>
      </c>
      <c r="V504" s="107">
        <v>47</v>
      </c>
      <c r="W504" s="108">
        <v>1</v>
      </c>
      <c r="X504" s="109" t="s">
        <v>45</v>
      </c>
      <c r="Y504" s="20">
        <f t="shared" si="21"/>
        <v>1</v>
      </c>
      <c r="AA504" s="98">
        <f t="shared" si="22"/>
        <v>1.6500000000000004</v>
      </c>
      <c r="AB504" s="98">
        <f t="shared" si="23"/>
        <v>1</v>
      </c>
    </row>
    <row r="505" spans="1:28" ht="22.35" customHeight="1" thickBot="1" x14ac:dyDescent="0.3">
      <c r="A505" s="209"/>
      <c r="B505" s="209">
        <v>5999566111235</v>
      </c>
      <c r="C505" s="210">
        <v>10</v>
      </c>
      <c r="D505" s="211" t="s">
        <v>876</v>
      </c>
      <c r="E505" s="211" t="s">
        <v>877</v>
      </c>
      <c r="F505" s="212" t="s">
        <v>878</v>
      </c>
      <c r="G505" s="213" t="s">
        <v>89</v>
      </c>
      <c r="H505" s="321">
        <v>21.9</v>
      </c>
      <c r="I505" s="213">
        <v>20.99</v>
      </c>
      <c r="J505" s="211" t="s">
        <v>879</v>
      </c>
      <c r="K505" s="215">
        <v>7081913</v>
      </c>
      <c r="L505" s="215">
        <v>4</v>
      </c>
      <c r="M505" s="215"/>
      <c r="N505" s="216">
        <v>0</v>
      </c>
      <c r="O505" s="247">
        <v>566</v>
      </c>
      <c r="P505" s="248">
        <v>1</v>
      </c>
      <c r="Q505" s="248">
        <v>1</v>
      </c>
      <c r="R505" s="249">
        <v>25.9</v>
      </c>
      <c r="S505" s="250" t="s">
        <v>879</v>
      </c>
      <c r="T505" s="251" t="str">
        <f>INDEX([1]data!$B$1:$B$100,MATCH('04.02 - 10.02'!S505,[0]!exclusive01,))</f>
        <v>DUCANH</v>
      </c>
      <c r="U505" s="244" t="s">
        <v>875</v>
      </c>
      <c r="V505" s="245">
        <v>47</v>
      </c>
      <c r="W505" s="108">
        <v>1</v>
      </c>
      <c r="X505" s="109" t="s">
        <v>55</v>
      </c>
      <c r="Y505" s="20">
        <f t="shared" si="21"/>
        <v>1</v>
      </c>
      <c r="AA505" s="98">
        <f t="shared" si="22"/>
        <v>0.91000000000000014</v>
      </c>
      <c r="AB505" s="98">
        <f t="shared" si="23"/>
        <v>4</v>
      </c>
    </row>
    <row r="506" spans="1:28" ht="22.35" customHeight="1" thickBot="1" x14ac:dyDescent="0.3">
      <c r="A506" s="80"/>
      <c r="B506" s="80"/>
      <c r="F506" s="141"/>
      <c r="H506" s="246"/>
      <c r="I506" s="84"/>
      <c r="K506" s="86"/>
      <c r="L506" s="86"/>
      <c r="M506" s="86"/>
      <c r="O506" s="88"/>
      <c r="P506" s="136"/>
      <c r="Q506" s="90"/>
      <c r="R506" s="91"/>
      <c r="S506" s="139" t="s">
        <v>869</v>
      </c>
      <c r="T506" s="140" t="s">
        <v>506</v>
      </c>
      <c r="U506" s="94" t="s">
        <v>880</v>
      </c>
      <c r="V506" s="95">
        <v>48</v>
      </c>
      <c r="W506" s="108"/>
      <c r="X506" s="109"/>
      <c r="Y506" s="20">
        <f t="shared" si="21"/>
        <v>0</v>
      </c>
      <c r="AA506" s="98">
        <f t="shared" si="22"/>
        <v>0</v>
      </c>
      <c r="AB506" s="98">
        <f t="shared" si="23"/>
        <v>0</v>
      </c>
    </row>
    <row r="507" spans="1:28" ht="22.35" customHeight="1" thickBot="1" x14ac:dyDescent="0.3">
      <c r="A507" s="80"/>
      <c r="B507" s="80"/>
      <c r="F507" s="141"/>
      <c r="H507" s="191"/>
      <c r="I507" s="84"/>
      <c r="K507" s="86"/>
      <c r="L507" s="86"/>
      <c r="M507" s="86"/>
      <c r="O507" s="100"/>
      <c r="P507" s="143"/>
      <c r="Q507" s="102"/>
      <c r="R507" s="103"/>
      <c r="S507" s="144" t="s">
        <v>869</v>
      </c>
      <c r="T507" s="112" t="s">
        <v>506</v>
      </c>
      <c r="U507" s="106" t="s">
        <v>880</v>
      </c>
      <c r="V507" s="107">
        <v>48</v>
      </c>
      <c r="W507" s="108"/>
      <c r="X507" s="109"/>
      <c r="Y507" s="20">
        <f t="shared" si="21"/>
        <v>0</v>
      </c>
      <c r="AA507" s="98">
        <f t="shared" si="22"/>
        <v>0</v>
      </c>
      <c r="AB507" s="98">
        <f t="shared" si="23"/>
        <v>0</v>
      </c>
    </row>
    <row r="508" spans="1:28" ht="22.35" customHeight="1" thickBot="1" x14ac:dyDescent="0.3">
      <c r="A508" s="80"/>
      <c r="B508" s="80"/>
      <c r="F508" s="141"/>
      <c r="H508" s="191"/>
      <c r="I508" s="84"/>
      <c r="K508" s="86"/>
      <c r="L508" s="86"/>
      <c r="M508" s="86"/>
      <c r="O508" s="100"/>
      <c r="P508" s="143"/>
      <c r="Q508" s="102"/>
      <c r="R508" s="103"/>
      <c r="S508" s="144" t="s">
        <v>869</v>
      </c>
      <c r="T508" s="112" t="s">
        <v>506</v>
      </c>
      <c r="U508" s="106" t="s">
        <v>880</v>
      </c>
      <c r="V508" s="107">
        <v>48</v>
      </c>
      <c r="W508" s="108"/>
      <c r="X508" s="109"/>
      <c r="Y508" s="20">
        <f t="shared" si="21"/>
        <v>0</v>
      </c>
      <c r="AA508" s="98">
        <f t="shared" si="22"/>
        <v>0</v>
      </c>
      <c r="AB508" s="98">
        <f t="shared" si="23"/>
        <v>0</v>
      </c>
    </row>
    <row r="509" spans="1:28" ht="22.35" customHeight="1" thickBot="1" x14ac:dyDescent="0.3">
      <c r="A509" s="80"/>
      <c r="B509" s="80"/>
      <c r="F509" s="141"/>
      <c r="H509" s="191"/>
      <c r="I509" s="84"/>
      <c r="K509" s="86"/>
      <c r="L509" s="86"/>
      <c r="M509" s="86"/>
      <c r="O509" s="100"/>
      <c r="P509" s="143"/>
      <c r="Q509" s="102"/>
      <c r="R509" s="103"/>
      <c r="S509" s="144" t="s">
        <v>869</v>
      </c>
      <c r="T509" s="112" t="s">
        <v>506</v>
      </c>
      <c r="U509" s="106" t="s">
        <v>880</v>
      </c>
      <c r="V509" s="107">
        <v>48</v>
      </c>
      <c r="W509" s="108"/>
      <c r="X509" s="109"/>
      <c r="Y509" s="20">
        <f t="shared" si="21"/>
        <v>0</v>
      </c>
      <c r="AA509" s="98">
        <f t="shared" si="22"/>
        <v>0</v>
      </c>
      <c r="AB509" s="98">
        <f t="shared" si="23"/>
        <v>0</v>
      </c>
    </row>
    <row r="510" spans="1:28" ht="22.35" customHeight="1" thickBot="1" x14ac:dyDescent="0.3">
      <c r="A510" s="80"/>
      <c r="B510" s="80"/>
      <c r="F510" s="141"/>
      <c r="H510" s="191"/>
      <c r="I510" s="84"/>
      <c r="K510" s="86"/>
      <c r="L510" s="86"/>
      <c r="M510" s="86"/>
      <c r="O510" s="100"/>
      <c r="P510" s="143"/>
      <c r="Q510" s="102"/>
      <c r="R510" s="103"/>
      <c r="S510" s="144" t="s">
        <v>869</v>
      </c>
      <c r="T510" s="112" t="s">
        <v>506</v>
      </c>
      <c r="U510" s="106" t="s">
        <v>880</v>
      </c>
      <c r="V510" s="107">
        <v>48</v>
      </c>
      <c r="W510" s="108"/>
      <c r="X510" s="109"/>
      <c r="Y510" s="20">
        <f t="shared" si="21"/>
        <v>0</v>
      </c>
      <c r="AA510" s="98">
        <f t="shared" si="22"/>
        <v>0</v>
      </c>
      <c r="AB510" s="98">
        <f t="shared" si="23"/>
        <v>0</v>
      </c>
    </row>
    <row r="511" spans="1:28" ht="22.35" customHeight="1" thickBot="1" x14ac:dyDescent="0.3">
      <c r="A511" s="80"/>
      <c r="B511" s="80"/>
      <c r="F511" s="141"/>
      <c r="H511" s="191"/>
      <c r="I511" s="84"/>
      <c r="K511" s="86"/>
      <c r="L511" s="86"/>
      <c r="M511" s="86"/>
      <c r="O511" s="100"/>
      <c r="P511" s="143"/>
      <c r="Q511" s="102"/>
      <c r="R511" s="103"/>
      <c r="S511" s="144" t="s">
        <v>869</v>
      </c>
      <c r="T511" s="112" t="s">
        <v>506</v>
      </c>
      <c r="U511" s="106" t="s">
        <v>880</v>
      </c>
      <c r="V511" s="107">
        <v>48</v>
      </c>
      <c r="W511" s="108"/>
      <c r="X511" s="109"/>
      <c r="Y511" s="20">
        <f t="shared" si="21"/>
        <v>0</v>
      </c>
      <c r="AA511" s="98">
        <f t="shared" si="22"/>
        <v>0</v>
      </c>
      <c r="AB511" s="98">
        <f t="shared" si="23"/>
        <v>0</v>
      </c>
    </row>
    <row r="512" spans="1:28" ht="22.35" customHeight="1" thickBot="1" x14ac:dyDescent="0.3">
      <c r="A512" s="80"/>
      <c r="B512" s="80"/>
      <c r="F512" s="141"/>
      <c r="H512" s="191"/>
      <c r="I512" s="84"/>
      <c r="K512" s="86"/>
      <c r="L512" s="86"/>
      <c r="M512" s="86"/>
      <c r="O512" s="100"/>
      <c r="P512" s="143"/>
      <c r="Q512" s="102"/>
      <c r="R512" s="103"/>
      <c r="S512" s="144" t="s">
        <v>869</v>
      </c>
      <c r="T512" s="112" t="s">
        <v>506</v>
      </c>
      <c r="U512" s="106" t="s">
        <v>880</v>
      </c>
      <c r="V512" s="107">
        <v>48</v>
      </c>
      <c r="W512" s="108"/>
      <c r="X512" s="109"/>
      <c r="Y512" s="20">
        <f t="shared" si="21"/>
        <v>0</v>
      </c>
      <c r="AA512" s="98">
        <f t="shared" si="22"/>
        <v>0</v>
      </c>
      <c r="AB512" s="98">
        <f t="shared" si="23"/>
        <v>0</v>
      </c>
    </row>
    <row r="513" spans="1:35" ht="22.35" customHeight="1" thickBot="1" x14ac:dyDescent="0.3">
      <c r="A513" s="209"/>
      <c r="B513" s="209"/>
      <c r="C513" s="210"/>
      <c r="D513" s="211"/>
      <c r="E513" s="211"/>
      <c r="F513" s="236"/>
      <c r="G513" s="213"/>
      <c r="H513" s="191"/>
      <c r="I513" s="238"/>
      <c r="J513" s="211"/>
      <c r="K513" s="215"/>
      <c r="L513" s="215"/>
      <c r="M513" s="215"/>
      <c r="N513" s="216"/>
      <c r="O513" s="239"/>
      <c r="P513" s="240"/>
      <c r="Q513" s="154"/>
      <c r="R513" s="241"/>
      <c r="S513" s="242" t="s">
        <v>869</v>
      </c>
      <c r="T513" s="243" t="s">
        <v>506</v>
      </c>
      <c r="U513" s="244" t="s">
        <v>880</v>
      </c>
      <c r="V513" s="233">
        <v>48</v>
      </c>
      <c r="W513" s="108"/>
      <c r="X513" s="109"/>
      <c r="Y513" s="20">
        <f t="shared" si="21"/>
        <v>0</v>
      </c>
      <c r="AA513" s="98">
        <f t="shared" si="22"/>
        <v>0</v>
      </c>
      <c r="AB513" s="98">
        <f t="shared" si="23"/>
        <v>0</v>
      </c>
    </row>
    <row r="514" spans="1:35" ht="22.35" customHeight="1" thickBot="1" x14ac:dyDescent="0.3">
      <c r="A514" s="80"/>
      <c r="B514" s="80">
        <v>9002506011321</v>
      </c>
      <c r="C514" s="81">
        <v>22</v>
      </c>
      <c r="D514" s="23" t="s">
        <v>881</v>
      </c>
      <c r="E514" s="23" t="s">
        <v>882</v>
      </c>
      <c r="F514" s="82" t="s">
        <v>883</v>
      </c>
      <c r="G514" s="21" t="s">
        <v>89</v>
      </c>
      <c r="H514" s="277">
        <v>12.5</v>
      </c>
      <c r="I514" s="21">
        <v>11.6</v>
      </c>
      <c r="J514" s="23" t="s">
        <v>884</v>
      </c>
      <c r="K514" s="86">
        <v>7080149</v>
      </c>
      <c r="L514" s="86">
        <v>4</v>
      </c>
      <c r="M514" s="86"/>
      <c r="N514" s="87">
        <v>0</v>
      </c>
      <c r="O514" s="223">
        <v>1704</v>
      </c>
      <c r="P514" s="224">
        <v>1</v>
      </c>
      <c r="Q514" s="224">
        <v>1</v>
      </c>
      <c r="R514" s="225">
        <v>13.9</v>
      </c>
      <c r="S514" s="226" t="s">
        <v>885</v>
      </c>
      <c r="T514" s="94" t="str">
        <f>INDEX([1]data!$B$1:$B$100,MATCH('04.02 - 10.02'!S514,[0]!exclusive01,))</f>
        <v>DUCANH</v>
      </c>
      <c r="U514" s="106" t="s">
        <v>875</v>
      </c>
      <c r="V514" s="107">
        <v>48</v>
      </c>
      <c r="W514" s="108">
        <v>1</v>
      </c>
      <c r="X514" s="109" t="s">
        <v>45</v>
      </c>
      <c r="Y514" s="20">
        <f t="shared" si="21"/>
        <v>1</v>
      </c>
      <c r="AA514" s="98">
        <f t="shared" si="22"/>
        <v>0.90000000000000036</v>
      </c>
      <c r="AB514" s="98">
        <f t="shared" si="23"/>
        <v>1.4000000000000004</v>
      </c>
    </row>
    <row r="515" spans="1:35" ht="22.35" customHeight="1" thickBot="1" x14ac:dyDescent="0.3">
      <c r="A515" s="209"/>
      <c r="B515" s="209">
        <v>8595184939076</v>
      </c>
      <c r="C515" s="193">
        <v>12</v>
      </c>
      <c r="D515" s="194" t="s">
        <v>886</v>
      </c>
      <c r="E515" s="194" t="s">
        <v>887</v>
      </c>
      <c r="F515" s="227" t="s">
        <v>274</v>
      </c>
      <c r="G515" s="196">
        <v>1</v>
      </c>
      <c r="H515" s="191">
        <v>17.5</v>
      </c>
      <c r="I515" s="196">
        <v>16.11</v>
      </c>
      <c r="J515" s="194" t="s">
        <v>884</v>
      </c>
      <c r="K515" s="198">
        <v>7081015</v>
      </c>
      <c r="L515" s="198">
        <v>4</v>
      </c>
      <c r="M515" s="198"/>
      <c r="N515" s="228">
        <v>0</v>
      </c>
      <c r="O515" s="229">
        <v>6790</v>
      </c>
      <c r="P515" s="230">
        <v>1</v>
      </c>
      <c r="Q515" s="230">
        <v>1</v>
      </c>
      <c r="R515" s="231">
        <v>19.899999999999999</v>
      </c>
      <c r="S515" s="232" t="s">
        <v>888</v>
      </c>
      <c r="T515" s="125" t="str">
        <f>INDEX([1]data!$B$1:$B$100,MATCH('04.02 - 10.02'!S515,[0]!exclusive01,))</f>
        <v>DUCANH</v>
      </c>
      <c r="U515" s="125" t="s">
        <v>875</v>
      </c>
      <c r="V515" s="233">
        <v>48</v>
      </c>
      <c r="W515" s="108"/>
      <c r="X515" s="109" t="s">
        <v>55</v>
      </c>
      <c r="Y515" s="20">
        <f t="shared" si="21"/>
        <v>1</v>
      </c>
      <c r="AA515" s="98">
        <f t="shared" si="22"/>
        <v>1.3900000000000006</v>
      </c>
      <c r="AB515" s="98">
        <f t="shared" si="23"/>
        <v>2.3999999999999986</v>
      </c>
    </row>
    <row r="516" spans="1:35" ht="22.35" customHeight="1" thickBot="1" x14ac:dyDescent="0.3">
      <c r="A516" s="127"/>
      <c r="B516" s="127"/>
      <c r="C516" s="128"/>
      <c r="D516" s="129"/>
      <c r="E516" s="129"/>
      <c r="F516" s="130"/>
      <c r="G516" s="132"/>
      <c r="H516" s="99"/>
      <c r="I516" s="158"/>
      <c r="J516" s="129"/>
      <c r="K516" s="159"/>
      <c r="L516" s="133"/>
      <c r="M516" s="133"/>
      <c r="N516" s="134"/>
      <c r="O516" s="135"/>
      <c r="P516" s="136"/>
      <c r="Q516" s="137"/>
      <c r="R516" s="138"/>
      <c r="S516" s="144" t="s">
        <v>138</v>
      </c>
      <c r="T516" s="112" t="s">
        <v>506</v>
      </c>
      <c r="U516" s="106"/>
      <c r="V516" s="107">
        <v>49</v>
      </c>
      <c r="W516" s="96"/>
      <c r="X516" s="97"/>
      <c r="Y516" s="20">
        <f t="shared" si="21"/>
        <v>0</v>
      </c>
      <c r="AA516" s="98">
        <f t="shared" si="22"/>
        <v>0</v>
      </c>
      <c r="AB516" s="98">
        <f t="shared" si="23"/>
        <v>0</v>
      </c>
      <c r="AC516" s="110"/>
      <c r="AD516" s="77"/>
      <c r="AE516" s="77"/>
      <c r="AF516" s="75"/>
      <c r="AG516" s="75"/>
      <c r="AH516" s="75"/>
      <c r="AI516" s="75"/>
    </row>
    <row r="517" spans="1:35" ht="22.35" customHeight="1" thickBot="1" x14ac:dyDescent="0.3">
      <c r="A517" s="80"/>
      <c r="B517" s="80"/>
      <c r="F517" s="141"/>
      <c r="H517" s="99"/>
      <c r="I517" s="84"/>
      <c r="K517" s="86"/>
      <c r="L517" s="86"/>
      <c r="M517" s="86"/>
      <c r="O517" s="100"/>
      <c r="P517" s="143"/>
      <c r="Q517" s="102"/>
      <c r="R517" s="103"/>
      <c r="S517" s="144" t="s">
        <v>138</v>
      </c>
      <c r="T517" s="112" t="s">
        <v>506</v>
      </c>
      <c r="U517" s="106"/>
      <c r="V517" s="107">
        <v>49</v>
      </c>
      <c r="W517" s="108"/>
      <c r="X517" s="109"/>
      <c r="Y517" s="20">
        <f t="shared" si="21"/>
        <v>0</v>
      </c>
      <c r="AA517" s="98">
        <f t="shared" si="22"/>
        <v>0</v>
      </c>
      <c r="AB517" s="98">
        <f t="shared" si="23"/>
        <v>0</v>
      </c>
      <c r="AC517" s="110"/>
      <c r="AD517" s="77"/>
      <c r="AE517" s="77"/>
      <c r="AF517" s="75"/>
      <c r="AG517" s="75"/>
      <c r="AH517" s="75"/>
      <c r="AI517" s="75"/>
    </row>
    <row r="518" spans="1:35" ht="22.35" customHeight="1" thickBot="1" x14ac:dyDescent="0.3">
      <c r="A518" s="80"/>
      <c r="B518" s="80"/>
      <c r="F518" s="141"/>
      <c r="H518" s="99"/>
      <c r="I518" s="84"/>
      <c r="K518" s="86"/>
      <c r="L518" s="86"/>
      <c r="M518" s="86"/>
      <c r="O518" s="100"/>
      <c r="P518" s="143"/>
      <c r="Q518" s="90"/>
      <c r="R518" s="91"/>
      <c r="S518" s="144" t="s">
        <v>138</v>
      </c>
      <c r="T518" s="112" t="s">
        <v>506</v>
      </c>
      <c r="U518" s="106"/>
      <c r="V518" s="107">
        <v>49</v>
      </c>
      <c r="W518" s="108"/>
      <c r="X518" s="109"/>
      <c r="Y518" s="20">
        <f t="shared" si="21"/>
        <v>0</v>
      </c>
      <c r="AA518" s="98">
        <f t="shared" si="22"/>
        <v>0</v>
      </c>
      <c r="AB518" s="98">
        <f t="shared" si="23"/>
        <v>0</v>
      </c>
      <c r="AC518" s="110"/>
      <c r="AD518" s="77"/>
      <c r="AE518" s="77"/>
      <c r="AF518" s="75"/>
      <c r="AG518" s="75"/>
      <c r="AH518" s="75"/>
      <c r="AI518" s="75"/>
    </row>
    <row r="519" spans="1:35" ht="22.35" customHeight="1" thickBot="1" x14ac:dyDescent="0.3">
      <c r="A519" s="80"/>
      <c r="B519" s="80"/>
      <c r="F519" s="141"/>
      <c r="H519" s="99"/>
      <c r="I519" s="84"/>
      <c r="K519" s="86"/>
      <c r="L519" s="86"/>
      <c r="M519" s="86"/>
      <c r="O519" s="100"/>
      <c r="P519" s="143"/>
      <c r="Q519" s="90"/>
      <c r="R519" s="91"/>
      <c r="S519" s="144" t="s">
        <v>138</v>
      </c>
      <c r="T519" s="112" t="s">
        <v>506</v>
      </c>
      <c r="U519" s="106"/>
      <c r="V519" s="107">
        <v>49</v>
      </c>
      <c r="W519" s="108"/>
      <c r="X519" s="109"/>
      <c r="Y519" s="20">
        <f t="shared" ref="Y519:Y582" si="24">COUNTIF(K:K,K519)</f>
        <v>0</v>
      </c>
      <c r="AA519" s="98">
        <f t="shared" si="22"/>
        <v>0</v>
      </c>
      <c r="AB519" s="98">
        <f t="shared" si="23"/>
        <v>0</v>
      </c>
      <c r="AC519" s="110"/>
      <c r="AD519" s="77"/>
      <c r="AE519" s="77"/>
      <c r="AF519" s="75"/>
      <c r="AG519" s="75"/>
      <c r="AH519" s="75"/>
      <c r="AI519" s="75"/>
    </row>
    <row r="520" spans="1:35" ht="22.35" customHeight="1" thickBot="1" x14ac:dyDescent="0.3">
      <c r="A520" s="80"/>
      <c r="B520" s="80"/>
      <c r="F520" s="141"/>
      <c r="H520" s="99"/>
      <c r="I520" s="84"/>
      <c r="K520" s="86"/>
      <c r="L520" s="86"/>
      <c r="M520" s="86"/>
      <c r="O520" s="100"/>
      <c r="P520" s="143"/>
      <c r="Q520" s="90"/>
      <c r="R520" s="91"/>
      <c r="S520" s="144" t="s">
        <v>138</v>
      </c>
      <c r="T520" s="112" t="s">
        <v>506</v>
      </c>
      <c r="U520" s="106"/>
      <c r="V520" s="107">
        <v>49</v>
      </c>
      <c r="W520" s="108"/>
      <c r="X520" s="109"/>
      <c r="Y520" s="20">
        <f t="shared" si="24"/>
        <v>0</v>
      </c>
      <c r="AA520" s="98">
        <f t="shared" si="22"/>
        <v>0</v>
      </c>
      <c r="AB520" s="98">
        <f t="shared" si="23"/>
        <v>0</v>
      </c>
      <c r="AC520" s="110"/>
      <c r="AD520" s="77"/>
      <c r="AE520" s="77"/>
      <c r="AF520" s="75"/>
      <c r="AG520" s="75"/>
      <c r="AH520" s="75"/>
      <c r="AI520" s="75"/>
    </row>
    <row r="521" spans="1:35" ht="22.35" customHeight="1" thickBot="1" x14ac:dyDescent="0.3">
      <c r="A521" s="80"/>
      <c r="B521" s="80"/>
      <c r="F521" s="141"/>
      <c r="H521" s="99"/>
      <c r="I521" s="84"/>
      <c r="K521" s="86"/>
      <c r="L521" s="86"/>
      <c r="M521" s="86"/>
      <c r="O521" s="100"/>
      <c r="P521" s="143"/>
      <c r="Q521" s="90"/>
      <c r="R521" s="91"/>
      <c r="S521" s="144" t="s">
        <v>138</v>
      </c>
      <c r="T521" s="112" t="s">
        <v>506</v>
      </c>
      <c r="U521" s="106"/>
      <c r="V521" s="107">
        <v>49</v>
      </c>
      <c r="W521" s="108"/>
      <c r="X521" s="109"/>
      <c r="Y521" s="20">
        <f t="shared" si="24"/>
        <v>0</v>
      </c>
      <c r="AA521" s="98">
        <f t="shared" si="22"/>
        <v>0</v>
      </c>
      <c r="AB521" s="98">
        <f t="shared" si="23"/>
        <v>0</v>
      </c>
      <c r="AC521" s="110"/>
      <c r="AD521" s="77"/>
      <c r="AE521" s="77"/>
      <c r="AF521" s="75"/>
      <c r="AG521" s="75"/>
      <c r="AH521" s="75"/>
      <c r="AI521" s="75"/>
    </row>
    <row r="522" spans="1:35" ht="22.35" customHeight="1" thickBot="1" x14ac:dyDescent="0.3">
      <c r="A522" s="80"/>
      <c r="B522" s="80"/>
      <c r="F522" s="141"/>
      <c r="H522" s="99"/>
      <c r="I522" s="84"/>
      <c r="K522" s="86"/>
      <c r="L522" s="86"/>
      <c r="M522" s="86"/>
      <c r="O522" s="100"/>
      <c r="P522" s="143"/>
      <c r="Q522" s="90"/>
      <c r="R522" s="91"/>
      <c r="S522" s="144" t="s">
        <v>138</v>
      </c>
      <c r="T522" s="112" t="s">
        <v>506</v>
      </c>
      <c r="U522" s="106"/>
      <c r="V522" s="107">
        <v>49</v>
      </c>
      <c r="W522" s="108"/>
      <c r="X522" s="109"/>
      <c r="Y522" s="20">
        <f t="shared" si="24"/>
        <v>0</v>
      </c>
      <c r="AA522" s="98">
        <f t="shared" si="22"/>
        <v>0</v>
      </c>
      <c r="AB522" s="98">
        <f t="shared" si="23"/>
        <v>0</v>
      </c>
      <c r="AC522" s="110"/>
      <c r="AD522" s="77"/>
      <c r="AE522" s="77"/>
      <c r="AF522" s="75"/>
      <c r="AG522" s="75"/>
      <c r="AH522" s="75"/>
      <c r="AI522" s="75"/>
    </row>
    <row r="523" spans="1:35" ht="22.35" customHeight="1" thickBot="1" x14ac:dyDescent="0.3">
      <c r="A523" s="80"/>
      <c r="B523" s="80"/>
      <c r="F523" s="141"/>
      <c r="H523" s="99"/>
      <c r="I523" s="84"/>
      <c r="K523" s="86"/>
      <c r="L523" s="86"/>
      <c r="M523" s="86"/>
      <c r="O523" s="100"/>
      <c r="P523" s="143"/>
      <c r="Q523" s="90"/>
      <c r="R523" s="91"/>
      <c r="S523" s="144" t="s">
        <v>138</v>
      </c>
      <c r="T523" s="112" t="s">
        <v>506</v>
      </c>
      <c r="U523" s="106"/>
      <c r="V523" s="107">
        <v>49</v>
      </c>
      <c r="W523" s="108"/>
      <c r="X523" s="109"/>
      <c r="Y523" s="20">
        <f t="shared" si="24"/>
        <v>0</v>
      </c>
      <c r="AA523" s="98">
        <f t="shared" si="22"/>
        <v>0</v>
      </c>
      <c r="AB523" s="98">
        <f t="shared" si="23"/>
        <v>0</v>
      </c>
      <c r="AC523" s="110"/>
      <c r="AD523" s="77"/>
      <c r="AE523" s="77"/>
      <c r="AF523" s="75"/>
      <c r="AG523" s="75"/>
      <c r="AH523" s="75"/>
      <c r="AI523" s="75"/>
    </row>
    <row r="524" spans="1:35" ht="22.35" customHeight="1" thickBot="1" x14ac:dyDescent="0.3">
      <c r="A524" s="80"/>
      <c r="B524" s="80"/>
      <c r="F524" s="141"/>
      <c r="H524" s="99"/>
      <c r="I524" s="84"/>
      <c r="K524" s="86"/>
      <c r="L524" s="86"/>
      <c r="M524" s="86"/>
      <c r="O524" s="100"/>
      <c r="P524" s="143"/>
      <c r="Q524" s="90"/>
      <c r="R524" s="91"/>
      <c r="S524" s="144" t="s">
        <v>138</v>
      </c>
      <c r="T524" s="112" t="s">
        <v>506</v>
      </c>
      <c r="U524" s="106"/>
      <c r="V524" s="107">
        <v>49</v>
      </c>
      <c r="W524" s="108"/>
      <c r="X524" s="109"/>
      <c r="Y524" s="20">
        <f t="shared" si="24"/>
        <v>0</v>
      </c>
      <c r="AA524" s="98">
        <f t="shared" si="22"/>
        <v>0</v>
      </c>
      <c r="AB524" s="98">
        <f t="shared" si="23"/>
        <v>0</v>
      </c>
      <c r="AC524" s="110"/>
      <c r="AD524" s="77"/>
      <c r="AE524" s="77"/>
      <c r="AF524" s="75"/>
      <c r="AG524" s="75"/>
      <c r="AH524" s="75"/>
      <c r="AI524" s="75"/>
    </row>
    <row r="525" spans="1:35" ht="22.35" customHeight="1" thickBot="1" x14ac:dyDescent="0.3">
      <c r="A525" s="80"/>
      <c r="B525" s="80"/>
      <c r="F525" s="141"/>
      <c r="H525" s="99"/>
      <c r="I525" s="84"/>
      <c r="K525" s="86"/>
      <c r="L525" s="86"/>
      <c r="M525" s="86"/>
      <c r="O525" s="100"/>
      <c r="P525" s="143"/>
      <c r="Q525" s="90"/>
      <c r="R525" s="91"/>
      <c r="S525" s="144" t="s">
        <v>138</v>
      </c>
      <c r="T525" s="112" t="s">
        <v>506</v>
      </c>
      <c r="U525" s="106"/>
      <c r="V525" s="107">
        <v>49</v>
      </c>
      <c r="W525" s="108"/>
      <c r="X525" s="109"/>
      <c r="Y525" s="20">
        <f t="shared" si="24"/>
        <v>0</v>
      </c>
      <c r="AA525" s="98">
        <f t="shared" si="22"/>
        <v>0</v>
      </c>
      <c r="AB525" s="98">
        <f t="shared" si="23"/>
        <v>0</v>
      </c>
      <c r="AC525" s="110"/>
      <c r="AD525" s="77"/>
      <c r="AE525" s="77"/>
      <c r="AF525" s="75"/>
      <c r="AG525" s="75"/>
      <c r="AH525" s="75"/>
      <c r="AI525" s="75"/>
    </row>
    <row r="526" spans="1:35" ht="22.35" customHeight="1" thickBot="1" x14ac:dyDescent="0.3">
      <c r="A526" s="80"/>
      <c r="B526" s="80"/>
      <c r="F526" s="141"/>
      <c r="H526" s="99"/>
      <c r="I526" s="84"/>
      <c r="K526" s="86"/>
      <c r="L526" s="86"/>
      <c r="M526" s="86"/>
      <c r="O526" s="100"/>
      <c r="P526" s="143"/>
      <c r="Q526" s="90"/>
      <c r="R526" s="91"/>
      <c r="S526" s="144" t="s">
        <v>138</v>
      </c>
      <c r="T526" s="112" t="s">
        <v>506</v>
      </c>
      <c r="U526" s="106"/>
      <c r="V526" s="107">
        <v>49</v>
      </c>
      <c r="W526" s="108"/>
      <c r="X526" s="109"/>
      <c r="Y526" s="20">
        <f t="shared" si="24"/>
        <v>0</v>
      </c>
      <c r="AA526" s="98">
        <f t="shared" si="22"/>
        <v>0</v>
      </c>
      <c r="AB526" s="98">
        <f t="shared" si="23"/>
        <v>0</v>
      </c>
      <c r="AC526" s="110"/>
      <c r="AD526" s="77"/>
      <c r="AE526" s="77"/>
      <c r="AF526" s="75"/>
      <c r="AG526" s="75"/>
      <c r="AH526" s="75"/>
      <c r="AI526" s="75"/>
    </row>
    <row r="527" spans="1:35" ht="22.35" customHeight="1" thickBot="1" x14ac:dyDescent="0.3">
      <c r="A527" s="80"/>
      <c r="B527" s="80"/>
      <c r="F527" s="141"/>
      <c r="H527" s="99"/>
      <c r="I527" s="84"/>
      <c r="K527" s="86"/>
      <c r="L527" s="86"/>
      <c r="M527" s="86"/>
      <c r="O527" s="100"/>
      <c r="P527" s="143"/>
      <c r="Q527" s="90"/>
      <c r="R527" s="91"/>
      <c r="S527" s="144" t="s">
        <v>138</v>
      </c>
      <c r="T527" s="112" t="s">
        <v>506</v>
      </c>
      <c r="U527" s="106"/>
      <c r="V527" s="107">
        <v>49</v>
      </c>
      <c r="W527" s="108"/>
      <c r="X527" s="109"/>
      <c r="Y527" s="20">
        <f t="shared" si="24"/>
        <v>0</v>
      </c>
      <c r="AA527" s="98">
        <f t="shared" si="22"/>
        <v>0</v>
      </c>
      <c r="AB527" s="98">
        <f t="shared" si="23"/>
        <v>0</v>
      </c>
      <c r="AC527" s="110"/>
      <c r="AD527" s="77"/>
      <c r="AE527" s="77"/>
      <c r="AF527" s="75"/>
      <c r="AG527" s="75"/>
      <c r="AH527" s="75"/>
      <c r="AI527" s="75"/>
    </row>
    <row r="528" spans="1:35" ht="22.35" customHeight="1" thickBot="1" x14ac:dyDescent="0.3">
      <c r="A528" s="80"/>
      <c r="B528" s="80"/>
      <c r="F528" s="141"/>
      <c r="H528" s="99"/>
      <c r="I528" s="84"/>
      <c r="K528" s="86"/>
      <c r="L528" s="86"/>
      <c r="M528" s="86"/>
      <c r="O528" s="100"/>
      <c r="P528" s="143"/>
      <c r="Q528" s="90"/>
      <c r="R528" s="91"/>
      <c r="S528" s="144" t="s">
        <v>138</v>
      </c>
      <c r="T528" s="112" t="s">
        <v>506</v>
      </c>
      <c r="U528" s="106"/>
      <c r="V528" s="107">
        <v>49</v>
      </c>
      <c r="W528" s="108"/>
      <c r="X528" s="109"/>
      <c r="Y528" s="20">
        <f t="shared" si="24"/>
        <v>0</v>
      </c>
      <c r="AA528" s="98">
        <f t="shared" si="22"/>
        <v>0</v>
      </c>
      <c r="AB528" s="98">
        <f t="shared" si="23"/>
        <v>0</v>
      </c>
      <c r="AC528" s="110"/>
      <c r="AD528" s="77"/>
      <c r="AE528" s="77"/>
      <c r="AF528" s="75"/>
      <c r="AG528" s="75"/>
      <c r="AH528" s="75"/>
      <c r="AI528" s="75"/>
    </row>
    <row r="529" spans="1:35" ht="22.35" customHeight="1" thickBot="1" x14ac:dyDescent="0.3">
      <c r="A529" s="80"/>
      <c r="B529" s="80"/>
      <c r="F529" s="141"/>
      <c r="H529" s="99"/>
      <c r="I529" s="84"/>
      <c r="K529" s="86"/>
      <c r="L529" s="86"/>
      <c r="M529" s="86"/>
      <c r="O529" s="100"/>
      <c r="P529" s="143"/>
      <c r="Q529" s="90"/>
      <c r="R529" s="91"/>
      <c r="S529" s="144" t="s">
        <v>138</v>
      </c>
      <c r="T529" s="112" t="s">
        <v>506</v>
      </c>
      <c r="U529" s="106"/>
      <c r="V529" s="107">
        <v>49</v>
      </c>
      <c r="W529" s="160"/>
      <c r="X529" s="161"/>
      <c r="Y529" s="20">
        <f t="shared" si="24"/>
        <v>0</v>
      </c>
      <c r="AA529" s="98">
        <f t="shared" si="22"/>
        <v>0</v>
      </c>
      <c r="AB529" s="98">
        <f t="shared" si="23"/>
        <v>0</v>
      </c>
      <c r="AC529" s="110"/>
      <c r="AD529" s="77"/>
      <c r="AE529" s="77"/>
      <c r="AF529" s="75"/>
      <c r="AG529" s="75"/>
      <c r="AH529" s="75"/>
      <c r="AI529" s="75"/>
    </row>
    <row r="530" spans="1:35" ht="22.35" customHeight="1" thickBot="1" x14ac:dyDescent="0.3">
      <c r="A530" s="80"/>
      <c r="B530" s="80"/>
      <c r="F530" s="141"/>
      <c r="H530" s="99"/>
      <c r="I530" s="84"/>
      <c r="K530" s="86"/>
      <c r="L530" s="86"/>
      <c r="M530" s="86"/>
      <c r="O530" s="100"/>
      <c r="P530" s="143"/>
      <c r="Q530" s="90"/>
      <c r="R530" s="91"/>
      <c r="S530" s="144" t="s">
        <v>138</v>
      </c>
      <c r="T530" s="112" t="s">
        <v>506</v>
      </c>
      <c r="U530" s="106"/>
      <c r="V530" s="107">
        <v>49</v>
      </c>
      <c r="W530" s="160"/>
      <c r="X530" s="161"/>
      <c r="Y530" s="20">
        <f t="shared" si="24"/>
        <v>0</v>
      </c>
      <c r="AA530" s="98">
        <f t="shared" si="22"/>
        <v>0</v>
      </c>
      <c r="AB530" s="98">
        <f t="shared" si="23"/>
        <v>0</v>
      </c>
      <c r="AC530" s="110"/>
      <c r="AD530" s="77"/>
      <c r="AE530" s="77"/>
      <c r="AF530" s="75"/>
      <c r="AG530" s="75"/>
      <c r="AH530" s="75"/>
      <c r="AI530" s="75"/>
    </row>
    <row r="531" spans="1:35" ht="22.35" customHeight="1" thickBot="1" x14ac:dyDescent="0.3">
      <c r="A531" s="252"/>
      <c r="B531" s="252"/>
      <c r="C531" s="253"/>
      <c r="D531" s="254"/>
      <c r="E531" s="254"/>
      <c r="F531" s="195"/>
      <c r="G531" s="196"/>
      <c r="H531" s="255"/>
      <c r="I531" s="256"/>
      <c r="J531" s="257"/>
      <c r="K531" s="258"/>
      <c r="L531" s="258"/>
      <c r="M531" s="258"/>
      <c r="N531" s="228"/>
      <c r="O531" s="200"/>
      <c r="P531" s="202"/>
      <c r="Q531" s="259"/>
      <c r="R531" s="260"/>
      <c r="S531" s="155" t="s">
        <v>138</v>
      </c>
      <c r="T531" s="124" t="s">
        <v>506</v>
      </c>
      <c r="U531" s="125"/>
      <c r="V531" s="126">
        <v>49</v>
      </c>
      <c r="W531" s="261"/>
      <c r="X531" s="262"/>
      <c r="Y531" s="20">
        <f t="shared" si="24"/>
        <v>0</v>
      </c>
      <c r="AA531" s="98">
        <f t="shared" si="22"/>
        <v>0</v>
      </c>
      <c r="AB531" s="98">
        <f t="shared" si="23"/>
        <v>0</v>
      </c>
      <c r="AC531" s="110"/>
      <c r="AD531" s="77"/>
      <c r="AE531" s="77"/>
      <c r="AF531" s="75"/>
      <c r="AG531" s="75"/>
      <c r="AH531" s="75"/>
      <c r="AI531" s="75"/>
    </row>
    <row r="532" spans="1:35" ht="22.35" customHeight="1" thickBot="1" x14ac:dyDescent="0.3">
      <c r="A532" s="175"/>
      <c r="B532" s="175"/>
      <c r="C532" s="176"/>
      <c r="D532" s="177" t="s">
        <v>889</v>
      </c>
      <c r="E532" s="178"/>
      <c r="F532" s="179"/>
      <c r="G532" s="180"/>
      <c r="H532" s="181"/>
      <c r="I532" s="180"/>
      <c r="J532" s="178"/>
      <c r="K532" s="182"/>
      <c r="L532" s="182"/>
      <c r="M532" s="182"/>
      <c r="N532" s="183"/>
      <c r="O532" s="184"/>
      <c r="P532" s="184"/>
      <c r="Q532" s="184"/>
      <c r="R532" s="185"/>
      <c r="S532" s="186"/>
      <c r="T532" s="187" t="s">
        <v>890</v>
      </c>
      <c r="U532" s="188"/>
      <c r="V532" s="189"/>
      <c r="W532" s="188"/>
      <c r="X532" s="190"/>
      <c r="Y532" s="20">
        <f t="shared" si="24"/>
        <v>0</v>
      </c>
      <c r="AA532" s="98">
        <f t="shared" si="22"/>
        <v>0</v>
      </c>
      <c r="AB532" s="98">
        <f t="shared" si="23"/>
        <v>0</v>
      </c>
    </row>
    <row r="533" spans="1:35" ht="22.35" customHeight="1" thickBot="1" x14ac:dyDescent="0.3">
      <c r="A533" s="127"/>
      <c r="B533" s="127"/>
      <c r="C533" s="128"/>
      <c r="D533" s="129"/>
      <c r="E533" s="129"/>
      <c r="F533" s="130"/>
      <c r="G533" s="132"/>
      <c r="H533" s="191"/>
      <c r="I533" s="158"/>
      <c r="J533" s="129"/>
      <c r="K533" s="159"/>
      <c r="L533" s="133"/>
      <c r="M533" s="133"/>
      <c r="N533" s="134"/>
      <c r="O533" s="135"/>
      <c r="P533" s="136"/>
      <c r="Q533" s="137"/>
      <c r="R533" s="138"/>
      <c r="S533" s="144" t="s">
        <v>891</v>
      </c>
      <c r="T533" s="112" t="s">
        <v>892</v>
      </c>
      <c r="U533" s="106" t="s">
        <v>893</v>
      </c>
      <c r="V533" s="107">
        <v>50</v>
      </c>
      <c r="W533" s="96"/>
      <c r="X533" s="97"/>
      <c r="Y533" s="20">
        <f t="shared" si="24"/>
        <v>0</v>
      </c>
      <c r="AA533" s="98">
        <f t="shared" si="22"/>
        <v>0</v>
      </c>
      <c r="AB533" s="98">
        <f t="shared" si="23"/>
        <v>0</v>
      </c>
    </row>
    <row r="534" spans="1:35" ht="22.35" customHeight="1" thickBot="1" x14ac:dyDescent="0.3">
      <c r="A534" s="80"/>
      <c r="B534" s="80"/>
      <c r="F534" s="141"/>
      <c r="H534" s="191"/>
      <c r="I534" s="84"/>
      <c r="K534" s="86"/>
      <c r="L534" s="86"/>
      <c r="M534" s="86"/>
      <c r="O534" s="100"/>
      <c r="P534" s="143"/>
      <c r="Q534" s="102"/>
      <c r="R534" s="103"/>
      <c r="S534" s="144" t="s">
        <v>891</v>
      </c>
      <c r="T534" s="112" t="s">
        <v>892</v>
      </c>
      <c r="U534" s="106" t="s">
        <v>893</v>
      </c>
      <c r="V534" s="107">
        <v>50</v>
      </c>
      <c r="W534" s="108"/>
      <c r="X534" s="109"/>
      <c r="Y534" s="20">
        <f t="shared" si="24"/>
        <v>0</v>
      </c>
      <c r="AA534" s="98">
        <f t="shared" si="22"/>
        <v>0</v>
      </c>
      <c r="AB534" s="98">
        <f t="shared" si="23"/>
        <v>0</v>
      </c>
    </row>
    <row r="535" spans="1:35" ht="22.35" customHeight="1" thickBot="1" x14ac:dyDescent="0.3">
      <c r="A535" s="80"/>
      <c r="B535" s="80"/>
      <c r="F535" s="141"/>
      <c r="H535" s="191"/>
      <c r="I535" s="84"/>
      <c r="K535" s="86"/>
      <c r="L535" s="86"/>
      <c r="M535" s="86"/>
      <c r="O535" s="100"/>
      <c r="P535" s="143"/>
      <c r="Q535" s="102"/>
      <c r="R535" s="103"/>
      <c r="S535" s="144" t="s">
        <v>891</v>
      </c>
      <c r="T535" s="112" t="s">
        <v>892</v>
      </c>
      <c r="U535" s="106" t="s">
        <v>893</v>
      </c>
      <c r="V535" s="107">
        <v>50</v>
      </c>
      <c r="W535" s="108"/>
      <c r="X535" s="109"/>
      <c r="Y535" s="20">
        <f t="shared" si="24"/>
        <v>0</v>
      </c>
      <c r="AA535" s="98">
        <f t="shared" si="22"/>
        <v>0</v>
      </c>
      <c r="AB535" s="98">
        <f t="shared" si="23"/>
        <v>0</v>
      </c>
    </row>
    <row r="536" spans="1:35" ht="22.35" customHeight="1" thickBot="1" x14ac:dyDescent="0.3">
      <c r="A536" s="80"/>
      <c r="B536" s="80"/>
      <c r="F536" s="141"/>
      <c r="H536" s="191"/>
      <c r="I536" s="84"/>
      <c r="K536" s="86"/>
      <c r="L536" s="86"/>
      <c r="M536" s="86"/>
      <c r="O536" s="100"/>
      <c r="P536" s="143"/>
      <c r="Q536" s="102"/>
      <c r="R536" s="103"/>
      <c r="S536" s="144" t="s">
        <v>891</v>
      </c>
      <c r="T536" s="112" t="s">
        <v>892</v>
      </c>
      <c r="U536" s="106" t="s">
        <v>893</v>
      </c>
      <c r="V536" s="107">
        <v>50</v>
      </c>
      <c r="W536" s="108"/>
      <c r="X536" s="109"/>
      <c r="Y536" s="20">
        <f t="shared" si="24"/>
        <v>0</v>
      </c>
      <c r="AA536" s="98">
        <f t="shared" si="22"/>
        <v>0</v>
      </c>
      <c r="AB536" s="98">
        <f t="shared" si="23"/>
        <v>0</v>
      </c>
    </row>
    <row r="537" spans="1:35" ht="22.35" customHeight="1" thickBot="1" x14ac:dyDescent="0.3">
      <c r="A537" s="80"/>
      <c r="B537" s="80"/>
      <c r="F537" s="141"/>
      <c r="H537" s="191"/>
      <c r="I537" s="84"/>
      <c r="K537" s="86"/>
      <c r="L537" s="86"/>
      <c r="M537" s="86"/>
      <c r="O537" s="100"/>
      <c r="P537" s="143"/>
      <c r="Q537" s="102"/>
      <c r="R537" s="103"/>
      <c r="S537" s="144" t="s">
        <v>891</v>
      </c>
      <c r="T537" s="112" t="s">
        <v>892</v>
      </c>
      <c r="U537" s="106" t="s">
        <v>893</v>
      </c>
      <c r="V537" s="107">
        <v>50</v>
      </c>
      <c r="W537" s="108"/>
      <c r="X537" s="109"/>
      <c r="Y537" s="20">
        <f t="shared" si="24"/>
        <v>0</v>
      </c>
      <c r="AA537" s="98">
        <f t="shared" si="22"/>
        <v>0</v>
      </c>
      <c r="AB537" s="98">
        <f t="shared" si="23"/>
        <v>0</v>
      </c>
    </row>
    <row r="538" spans="1:35" ht="22.35" customHeight="1" thickBot="1" x14ac:dyDescent="0.3">
      <c r="A538" s="80"/>
      <c r="B538" s="80"/>
      <c r="F538" s="141"/>
      <c r="H538" s="191"/>
      <c r="I538" s="84"/>
      <c r="K538" s="86"/>
      <c r="L538" s="86"/>
      <c r="M538" s="86"/>
      <c r="O538" s="100"/>
      <c r="P538" s="143"/>
      <c r="Q538" s="102"/>
      <c r="R538" s="103"/>
      <c r="S538" s="144" t="s">
        <v>891</v>
      </c>
      <c r="T538" s="112" t="s">
        <v>892</v>
      </c>
      <c r="U538" s="106" t="s">
        <v>893</v>
      </c>
      <c r="V538" s="107">
        <v>50</v>
      </c>
      <c r="W538" s="108"/>
      <c r="X538" s="109"/>
      <c r="Y538" s="20">
        <f t="shared" si="24"/>
        <v>0</v>
      </c>
      <c r="AA538" s="98">
        <f t="shared" si="22"/>
        <v>0</v>
      </c>
      <c r="AB538" s="98">
        <f t="shared" si="23"/>
        <v>0</v>
      </c>
    </row>
    <row r="539" spans="1:35" ht="22.35" customHeight="1" thickBot="1" x14ac:dyDescent="0.3">
      <c r="A539" s="80"/>
      <c r="B539" s="80"/>
      <c r="F539" s="141"/>
      <c r="H539" s="191"/>
      <c r="I539" s="84"/>
      <c r="K539" s="86"/>
      <c r="L539" s="86"/>
      <c r="M539" s="86"/>
      <c r="O539" s="100"/>
      <c r="P539" s="143"/>
      <c r="Q539" s="102"/>
      <c r="R539" s="103"/>
      <c r="S539" s="144" t="s">
        <v>891</v>
      </c>
      <c r="T539" s="112" t="s">
        <v>892</v>
      </c>
      <c r="U539" s="106" t="s">
        <v>893</v>
      </c>
      <c r="V539" s="107">
        <v>50</v>
      </c>
      <c r="W539" s="108"/>
      <c r="X539" s="109"/>
      <c r="Y539" s="20">
        <f t="shared" si="24"/>
        <v>0</v>
      </c>
      <c r="AA539" s="98">
        <f t="shared" si="22"/>
        <v>0</v>
      </c>
      <c r="AB539" s="98">
        <f t="shared" si="23"/>
        <v>0</v>
      </c>
    </row>
    <row r="540" spans="1:35" ht="22.35" customHeight="1" thickBot="1" x14ac:dyDescent="0.3">
      <c r="A540" s="80"/>
      <c r="B540" s="80"/>
      <c r="F540" s="141"/>
      <c r="H540" s="191"/>
      <c r="I540" s="84"/>
      <c r="K540" s="86"/>
      <c r="L540" s="86"/>
      <c r="M540" s="86"/>
      <c r="O540" s="100"/>
      <c r="P540" s="143"/>
      <c r="Q540" s="102"/>
      <c r="R540" s="103"/>
      <c r="S540" s="144" t="s">
        <v>891</v>
      </c>
      <c r="T540" s="112" t="s">
        <v>892</v>
      </c>
      <c r="U540" s="106" t="s">
        <v>893</v>
      </c>
      <c r="V540" s="107">
        <v>50</v>
      </c>
      <c r="W540" s="108"/>
      <c r="X540" s="109"/>
      <c r="Y540" s="20">
        <f t="shared" si="24"/>
        <v>0</v>
      </c>
      <c r="AA540" s="98">
        <f t="shared" si="22"/>
        <v>0</v>
      </c>
      <c r="AB540" s="98">
        <f t="shared" si="23"/>
        <v>0</v>
      </c>
    </row>
    <row r="541" spans="1:35" ht="22.35" customHeight="1" thickBot="1" x14ac:dyDescent="0.3">
      <c r="A541" s="80"/>
      <c r="B541" s="80"/>
      <c r="F541" s="141"/>
      <c r="H541" s="191"/>
      <c r="I541" s="84"/>
      <c r="K541" s="86"/>
      <c r="L541" s="86"/>
      <c r="M541" s="86"/>
      <c r="O541" s="100"/>
      <c r="P541" s="143"/>
      <c r="Q541" s="102"/>
      <c r="R541" s="103"/>
      <c r="S541" s="144" t="s">
        <v>891</v>
      </c>
      <c r="T541" s="112" t="s">
        <v>892</v>
      </c>
      <c r="U541" s="106" t="s">
        <v>893</v>
      </c>
      <c r="V541" s="107">
        <v>50</v>
      </c>
      <c r="W541" s="108"/>
      <c r="X541" s="109"/>
      <c r="Y541" s="20">
        <f t="shared" si="24"/>
        <v>0</v>
      </c>
      <c r="AA541" s="98">
        <f t="shared" si="22"/>
        <v>0</v>
      </c>
      <c r="AB541" s="98">
        <f t="shared" si="23"/>
        <v>0</v>
      </c>
    </row>
    <row r="542" spans="1:35" ht="22.35" customHeight="1" thickBot="1" x14ac:dyDescent="0.3">
      <c r="A542" s="80"/>
      <c r="B542" s="80"/>
      <c r="F542" s="141"/>
      <c r="H542" s="191"/>
      <c r="I542" s="84"/>
      <c r="K542" s="86"/>
      <c r="L542" s="86"/>
      <c r="M542" s="86"/>
      <c r="O542" s="100"/>
      <c r="P542" s="143"/>
      <c r="Q542" s="102"/>
      <c r="R542" s="103"/>
      <c r="S542" s="144" t="s">
        <v>891</v>
      </c>
      <c r="T542" s="112" t="s">
        <v>892</v>
      </c>
      <c r="U542" s="106" t="s">
        <v>893</v>
      </c>
      <c r="V542" s="107">
        <v>50</v>
      </c>
      <c r="W542" s="108"/>
      <c r="X542" s="109"/>
      <c r="Y542" s="20">
        <f t="shared" si="24"/>
        <v>0</v>
      </c>
      <c r="AA542" s="98">
        <f t="shared" si="22"/>
        <v>0</v>
      </c>
      <c r="AB542" s="98">
        <f t="shared" si="23"/>
        <v>0</v>
      </c>
    </row>
    <row r="543" spans="1:35" ht="22.35" customHeight="1" thickBot="1" x14ac:dyDescent="0.3">
      <c r="A543" s="80"/>
      <c r="B543" s="80"/>
      <c r="F543" s="141"/>
      <c r="H543" s="191"/>
      <c r="I543" s="84"/>
      <c r="K543" s="86"/>
      <c r="L543" s="86"/>
      <c r="M543" s="86"/>
      <c r="O543" s="100"/>
      <c r="P543" s="143"/>
      <c r="Q543" s="102"/>
      <c r="R543" s="103"/>
      <c r="S543" s="144" t="s">
        <v>891</v>
      </c>
      <c r="T543" s="112" t="s">
        <v>892</v>
      </c>
      <c r="U543" s="106" t="s">
        <v>894</v>
      </c>
      <c r="V543" s="107">
        <v>50</v>
      </c>
      <c r="W543" s="108"/>
      <c r="X543" s="109"/>
      <c r="Y543" s="20">
        <f t="shared" si="24"/>
        <v>0</v>
      </c>
      <c r="AA543" s="98">
        <f t="shared" si="22"/>
        <v>0</v>
      </c>
      <c r="AB543" s="98">
        <f t="shared" si="23"/>
        <v>0</v>
      </c>
    </row>
    <row r="544" spans="1:35" ht="22.35" customHeight="1" thickBot="1" x14ac:dyDescent="0.3">
      <c r="A544" s="209"/>
      <c r="B544" s="209"/>
      <c r="C544" s="210"/>
      <c r="D544" s="211"/>
      <c r="E544" s="211"/>
      <c r="F544" s="236"/>
      <c r="G544" s="213"/>
      <c r="H544" s="191"/>
      <c r="I544" s="238"/>
      <c r="J544" s="211"/>
      <c r="K544" s="215"/>
      <c r="L544" s="215"/>
      <c r="M544" s="215"/>
      <c r="N544" s="216"/>
      <c r="O544" s="239"/>
      <c r="P544" s="240"/>
      <c r="Q544" s="154"/>
      <c r="R544" s="241"/>
      <c r="S544" s="242" t="s">
        <v>891</v>
      </c>
      <c r="T544" s="243" t="s">
        <v>892</v>
      </c>
      <c r="U544" s="244" t="s">
        <v>894</v>
      </c>
      <c r="V544" s="233">
        <v>50</v>
      </c>
      <c r="W544" s="108"/>
      <c r="X544" s="109"/>
      <c r="Y544" s="20">
        <f t="shared" si="24"/>
        <v>0</v>
      </c>
      <c r="AA544" s="98">
        <f t="shared" si="22"/>
        <v>0</v>
      </c>
      <c r="AB544" s="98">
        <f t="shared" si="23"/>
        <v>0</v>
      </c>
    </row>
    <row r="545" spans="1:28" ht="22.35" customHeight="1" thickBot="1" x14ac:dyDescent="0.3">
      <c r="A545" s="209" t="s">
        <v>103</v>
      </c>
      <c r="B545" s="209" t="s">
        <v>895</v>
      </c>
      <c r="C545" s="193">
        <v>6</v>
      </c>
      <c r="D545" s="194" t="s">
        <v>896</v>
      </c>
      <c r="E545" s="194" t="s">
        <v>897</v>
      </c>
      <c r="F545" s="227" t="s">
        <v>898</v>
      </c>
      <c r="G545" s="196">
        <v>3</v>
      </c>
      <c r="H545" s="191">
        <v>136.9</v>
      </c>
      <c r="I545" s="196">
        <v>127.05</v>
      </c>
      <c r="J545" s="194" t="s">
        <v>899</v>
      </c>
      <c r="K545" s="198" t="s">
        <v>900</v>
      </c>
      <c r="L545" s="198">
        <v>4</v>
      </c>
      <c r="M545" s="198"/>
      <c r="N545" s="228"/>
      <c r="O545" s="229"/>
      <c r="P545" s="230"/>
      <c r="Q545" s="230"/>
      <c r="R545" s="231">
        <v>144.9</v>
      </c>
      <c r="S545" s="250" t="s">
        <v>901</v>
      </c>
      <c r="T545" s="125" t="str">
        <f>INDEX([1]data!$B$1:$B$100,MATCH('04.02 - 10.02'!S545,[0]!exclusive01,))</f>
        <v>HUONG</v>
      </c>
      <c r="U545" s="244" t="s">
        <v>902</v>
      </c>
      <c r="V545" s="245">
        <v>50</v>
      </c>
      <c r="W545" s="108"/>
      <c r="X545" s="109" t="s">
        <v>45</v>
      </c>
      <c r="Y545" s="20">
        <f t="shared" si="24"/>
        <v>1</v>
      </c>
      <c r="AA545" s="98">
        <f t="shared" si="22"/>
        <v>9.8500000000000085</v>
      </c>
      <c r="AB545" s="98">
        <f t="shared" si="23"/>
        <v>8</v>
      </c>
    </row>
    <row r="546" spans="1:28" ht="22.35" customHeight="1" thickBot="1" x14ac:dyDescent="0.3">
      <c r="A546" s="80" t="s">
        <v>103</v>
      </c>
      <c r="B546" s="80" t="s">
        <v>903</v>
      </c>
      <c r="C546" s="81">
        <v>12</v>
      </c>
      <c r="D546" s="23" t="s">
        <v>904</v>
      </c>
      <c r="E546" s="23" t="s">
        <v>905</v>
      </c>
      <c r="F546" s="141" t="s">
        <v>906</v>
      </c>
      <c r="G546" s="21" t="s">
        <v>108</v>
      </c>
      <c r="H546" s="191">
        <v>53.5</v>
      </c>
      <c r="I546" s="84">
        <v>50.700209999999998</v>
      </c>
      <c r="J546" s="23" t="s">
        <v>907</v>
      </c>
      <c r="K546" s="86" t="s">
        <v>908</v>
      </c>
      <c r="L546" s="86">
        <v>1</v>
      </c>
      <c r="M546" s="86"/>
      <c r="O546" s="88"/>
      <c r="P546" s="136"/>
      <c r="Q546" s="90"/>
      <c r="R546" s="91" t="s">
        <v>909</v>
      </c>
      <c r="S546" s="139" t="s">
        <v>910</v>
      </c>
      <c r="T546" s="140" t="s">
        <v>890</v>
      </c>
      <c r="U546" s="94" t="s">
        <v>911</v>
      </c>
      <c r="V546" s="95">
        <v>51</v>
      </c>
      <c r="W546" s="108"/>
      <c r="X546" s="109" t="s">
        <v>45</v>
      </c>
      <c r="Y546" s="20">
        <f t="shared" si="24"/>
        <v>1</v>
      </c>
      <c r="AA546" s="98">
        <f t="shared" si="22"/>
        <v>2.7997900000000016</v>
      </c>
      <c r="AB546" s="98" t="e">
        <f t="shared" si="23"/>
        <v>#VALUE!</v>
      </c>
    </row>
    <row r="547" spans="1:28" ht="22.35" customHeight="1" thickBot="1" x14ac:dyDescent="0.3">
      <c r="A547" s="80" t="s">
        <v>103</v>
      </c>
      <c r="B547" s="80" t="s">
        <v>912</v>
      </c>
      <c r="C547" s="81">
        <v>12</v>
      </c>
      <c r="D547" s="23" t="s">
        <v>913</v>
      </c>
      <c r="E547" s="23" t="s">
        <v>914</v>
      </c>
      <c r="F547" s="141" t="s">
        <v>915</v>
      </c>
      <c r="G547" s="21">
        <v>1</v>
      </c>
      <c r="H547" s="191">
        <v>56.9</v>
      </c>
      <c r="I547" s="84">
        <v>45.39</v>
      </c>
      <c r="J547" s="23" t="s">
        <v>916</v>
      </c>
      <c r="K547" s="86" t="s">
        <v>917</v>
      </c>
      <c r="L547" s="86">
        <v>1</v>
      </c>
      <c r="M547" s="86"/>
      <c r="O547" s="100"/>
      <c r="P547" s="143"/>
      <c r="Q547" s="102"/>
      <c r="R547" s="103" t="s">
        <v>918</v>
      </c>
      <c r="S547" s="144" t="s">
        <v>910</v>
      </c>
      <c r="T547" s="112" t="s">
        <v>890</v>
      </c>
      <c r="U547" s="94" t="s">
        <v>911</v>
      </c>
      <c r="V547" s="107">
        <v>51</v>
      </c>
      <c r="W547" s="108"/>
      <c r="X547" s="109" t="s">
        <v>50</v>
      </c>
      <c r="Y547" s="20">
        <f t="shared" si="24"/>
        <v>1</v>
      </c>
      <c r="AA547" s="98">
        <f t="shared" si="22"/>
        <v>11.509999999999998</v>
      </c>
      <c r="AB547" s="98" t="e">
        <f t="shared" si="23"/>
        <v>#VALUE!</v>
      </c>
    </row>
    <row r="548" spans="1:28" ht="22.35" customHeight="1" thickBot="1" x14ac:dyDescent="0.3">
      <c r="A548" s="80" t="s">
        <v>103</v>
      </c>
      <c r="B548" s="80" t="s">
        <v>919</v>
      </c>
      <c r="C548" s="81">
        <v>12</v>
      </c>
      <c r="D548" s="23" t="s">
        <v>920</v>
      </c>
      <c r="E548" s="23" t="s">
        <v>921</v>
      </c>
      <c r="F548" s="141" t="s">
        <v>722</v>
      </c>
      <c r="G548" s="21">
        <v>1</v>
      </c>
      <c r="H548" s="191">
        <v>44.9</v>
      </c>
      <c r="I548" s="84">
        <v>39.81</v>
      </c>
      <c r="J548" s="23" t="s">
        <v>743</v>
      </c>
      <c r="K548" s="86" t="s">
        <v>922</v>
      </c>
      <c r="L548" s="86">
        <v>2</v>
      </c>
      <c r="M548" s="86"/>
      <c r="O548" s="100"/>
      <c r="P548" s="143"/>
      <c r="Q548" s="102"/>
      <c r="R548" s="103" t="s">
        <v>923</v>
      </c>
      <c r="S548" s="144" t="s">
        <v>910</v>
      </c>
      <c r="T548" s="112" t="s">
        <v>890</v>
      </c>
      <c r="U548" s="106" t="s">
        <v>924</v>
      </c>
      <c r="V548" s="107">
        <v>51</v>
      </c>
      <c r="W548" s="108"/>
      <c r="X548" s="109" t="s">
        <v>55</v>
      </c>
      <c r="Y548" s="20">
        <f t="shared" si="24"/>
        <v>1</v>
      </c>
      <c r="AA548" s="98">
        <f t="shared" si="22"/>
        <v>5.0899999999999963</v>
      </c>
      <c r="AB548" s="98" t="e">
        <f t="shared" si="23"/>
        <v>#VALUE!</v>
      </c>
    </row>
    <row r="549" spans="1:28" ht="22.35" customHeight="1" thickBot="1" x14ac:dyDescent="0.3">
      <c r="A549" s="80"/>
      <c r="B549" s="80"/>
      <c r="F549" s="141"/>
      <c r="H549" s="191"/>
      <c r="I549" s="84"/>
      <c r="K549" s="86"/>
      <c r="L549" s="86"/>
      <c r="M549" s="86"/>
      <c r="O549" s="100"/>
      <c r="P549" s="143"/>
      <c r="Q549" s="102"/>
      <c r="R549" s="103"/>
      <c r="S549" s="144" t="s">
        <v>910</v>
      </c>
      <c r="T549" s="112" t="s">
        <v>890</v>
      </c>
      <c r="U549" s="106" t="s">
        <v>925</v>
      </c>
      <c r="V549" s="107">
        <v>51</v>
      </c>
      <c r="W549" s="108"/>
      <c r="X549" s="109"/>
      <c r="Y549" s="20">
        <f t="shared" si="24"/>
        <v>0</v>
      </c>
      <c r="AA549" s="98">
        <f t="shared" si="22"/>
        <v>0</v>
      </c>
      <c r="AB549" s="98">
        <f t="shared" si="23"/>
        <v>0</v>
      </c>
    </row>
    <row r="550" spans="1:28" ht="22.35" customHeight="1" thickBot="1" x14ac:dyDescent="0.3">
      <c r="A550" s="80" t="s">
        <v>103</v>
      </c>
      <c r="B550" s="80" t="s">
        <v>926</v>
      </c>
      <c r="C550" s="81">
        <v>1</v>
      </c>
      <c r="D550" s="23" t="s">
        <v>927</v>
      </c>
      <c r="E550" s="23" t="s">
        <v>928</v>
      </c>
      <c r="F550" s="141" t="s">
        <v>929</v>
      </c>
      <c r="G550" s="21">
        <v>1</v>
      </c>
      <c r="H550" s="191">
        <v>68.900000000000006</v>
      </c>
      <c r="I550" s="84">
        <v>65.34</v>
      </c>
      <c r="J550" s="23" t="s">
        <v>930</v>
      </c>
      <c r="K550" s="86" t="s">
        <v>931</v>
      </c>
      <c r="L550" s="86">
        <v>1</v>
      </c>
      <c r="M550" s="86"/>
      <c r="O550" s="100"/>
      <c r="P550" s="143"/>
      <c r="Q550" s="102"/>
      <c r="R550" s="103" t="s">
        <v>932</v>
      </c>
      <c r="S550" s="144" t="s">
        <v>910</v>
      </c>
      <c r="T550" s="112" t="s">
        <v>890</v>
      </c>
      <c r="U550" s="106"/>
      <c r="V550" s="107">
        <v>51</v>
      </c>
      <c r="W550" s="108"/>
      <c r="X550" s="109" t="s">
        <v>59</v>
      </c>
      <c r="Y550" s="20">
        <f t="shared" si="24"/>
        <v>1</v>
      </c>
      <c r="AA550" s="98">
        <f t="shared" si="22"/>
        <v>3.5600000000000023</v>
      </c>
      <c r="AB550" s="98" t="e">
        <f t="shared" si="23"/>
        <v>#VALUE!</v>
      </c>
    </row>
    <row r="551" spans="1:28" ht="22.35" customHeight="1" thickBot="1" x14ac:dyDescent="0.3">
      <c r="A551" s="80" t="s">
        <v>103</v>
      </c>
      <c r="B551" s="80" t="s">
        <v>933</v>
      </c>
      <c r="C551" s="81">
        <v>10</v>
      </c>
      <c r="D551" s="23" t="s">
        <v>934</v>
      </c>
      <c r="E551" s="23" t="s">
        <v>935</v>
      </c>
      <c r="F551" s="141" t="s">
        <v>709</v>
      </c>
      <c r="G551" s="21">
        <v>5</v>
      </c>
      <c r="H551" s="191">
        <v>24.9</v>
      </c>
      <c r="I551" s="84">
        <v>23.59984</v>
      </c>
      <c r="J551" s="23" t="s">
        <v>936</v>
      </c>
      <c r="K551" s="86" t="s">
        <v>937</v>
      </c>
      <c r="L551" s="86">
        <v>1</v>
      </c>
      <c r="M551" s="86"/>
      <c r="O551" s="100"/>
      <c r="P551" s="143"/>
      <c r="Q551" s="102"/>
      <c r="R551" s="103" t="s">
        <v>938</v>
      </c>
      <c r="S551" s="144" t="s">
        <v>910</v>
      </c>
      <c r="T551" s="112" t="s">
        <v>890</v>
      </c>
      <c r="U551" s="106"/>
      <c r="V551" s="107">
        <v>51</v>
      </c>
      <c r="W551" s="108"/>
      <c r="X551" s="109" t="s">
        <v>63</v>
      </c>
      <c r="Y551" s="20">
        <f t="shared" si="24"/>
        <v>1</v>
      </c>
      <c r="AA551" s="98">
        <f t="shared" si="22"/>
        <v>1.3001599999999982</v>
      </c>
      <c r="AB551" s="98" t="e">
        <f t="shared" si="23"/>
        <v>#VALUE!</v>
      </c>
    </row>
    <row r="552" spans="1:28" ht="22.35" customHeight="1" thickBot="1" x14ac:dyDescent="0.3">
      <c r="A552" s="80" t="s">
        <v>103</v>
      </c>
      <c r="B552" s="80" t="s">
        <v>939</v>
      </c>
      <c r="C552" s="81">
        <v>10</v>
      </c>
      <c r="D552" s="23" t="s">
        <v>940</v>
      </c>
      <c r="E552" s="23" t="s">
        <v>941</v>
      </c>
      <c r="F552" s="141" t="s">
        <v>175</v>
      </c>
      <c r="G552" s="21">
        <v>1</v>
      </c>
      <c r="H552" s="191">
        <v>31.5</v>
      </c>
      <c r="I552" s="84">
        <v>29.65</v>
      </c>
      <c r="J552" s="23" t="s">
        <v>942</v>
      </c>
      <c r="K552" s="86" t="s">
        <v>943</v>
      </c>
      <c r="L552" s="86">
        <v>1</v>
      </c>
      <c r="M552" s="86"/>
      <c r="O552" s="100"/>
      <c r="P552" s="143"/>
      <c r="Q552" s="102"/>
      <c r="R552" s="103" t="s">
        <v>477</v>
      </c>
      <c r="S552" s="144" t="s">
        <v>910</v>
      </c>
      <c r="T552" s="112" t="s">
        <v>890</v>
      </c>
      <c r="U552" s="106" t="s">
        <v>944</v>
      </c>
      <c r="V552" s="107">
        <v>51</v>
      </c>
      <c r="W552" s="108"/>
      <c r="X552" s="109" t="s">
        <v>66</v>
      </c>
      <c r="Y552" s="20">
        <f t="shared" si="24"/>
        <v>1</v>
      </c>
      <c r="AA552" s="98">
        <f t="shared" si="22"/>
        <v>1.8500000000000014</v>
      </c>
      <c r="AB552" s="98" t="e">
        <f t="shared" si="23"/>
        <v>#VALUE!</v>
      </c>
    </row>
    <row r="553" spans="1:28" ht="22.35" customHeight="1" thickBot="1" x14ac:dyDescent="0.3">
      <c r="A553" s="209" t="s">
        <v>103</v>
      </c>
      <c r="B553" s="209" t="s">
        <v>945</v>
      </c>
      <c r="C553" s="210">
        <v>16</v>
      </c>
      <c r="D553" s="211" t="s">
        <v>946</v>
      </c>
      <c r="E553" s="211" t="s">
        <v>947</v>
      </c>
      <c r="F553" s="236" t="s">
        <v>948</v>
      </c>
      <c r="G553" s="213">
        <v>2</v>
      </c>
      <c r="H553" s="191">
        <v>29.9</v>
      </c>
      <c r="I553" s="238">
        <v>27.71</v>
      </c>
      <c r="J553" s="211" t="s">
        <v>743</v>
      </c>
      <c r="K553" s="215" t="s">
        <v>949</v>
      </c>
      <c r="L553" s="215">
        <v>1</v>
      </c>
      <c r="M553" s="215"/>
      <c r="N553" s="216"/>
      <c r="O553" s="239"/>
      <c r="P553" s="240"/>
      <c r="Q553" s="154"/>
      <c r="R553" s="241" t="s">
        <v>791</v>
      </c>
      <c r="S553" s="242" t="s">
        <v>910</v>
      </c>
      <c r="T553" s="243" t="s">
        <v>890</v>
      </c>
      <c r="U553" s="125" t="s">
        <v>944</v>
      </c>
      <c r="V553" s="233">
        <v>51</v>
      </c>
      <c r="W553" s="108"/>
      <c r="X553" s="109" t="s">
        <v>70</v>
      </c>
      <c r="Y553" s="20">
        <f t="shared" si="24"/>
        <v>1</v>
      </c>
      <c r="AA553" s="98">
        <f t="shared" si="22"/>
        <v>2.1899999999999977</v>
      </c>
      <c r="AB553" s="98" t="e">
        <f t="shared" si="23"/>
        <v>#VALUE!</v>
      </c>
    </row>
    <row r="554" spans="1:28" ht="22.35" customHeight="1" thickBot="1" x14ac:dyDescent="0.3">
      <c r="A554" s="285" t="s">
        <v>103</v>
      </c>
      <c r="B554" s="285" t="s">
        <v>950</v>
      </c>
      <c r="C554" s="286">
        <v>4</v>
      </c>
      <c r="D554" s="287" t="s">
        <v>951</v>
      </c>
      <c r="E554" s="287" t="s">
        <v>952</v>
      </c>
      <c r="F554" s="288" t="s">
        <v>929</v>
      </c>
      <c r="G554" s="289">
        <v>1</v>
      </c>
      <c r="H554" s="191">
        <v>279.89999999999998</v>
      </c>
      <c r="I554" s="289">
        <v>266.77999999999997</v>
      </c>
      <c r="J554" s="287" t="s">
        <v>953</v>
      </c>
      <c r="K554" s="291" t="s">
        <v>954</v>
      </c>
      <c r="L554" s="291">
        <v>4</v>
      </c>
      <c r="M554" s="291"/>
      <c r="N554" s="292"/>
      <c r="O554" s="293"/>
      <c r="P554" s="294"/>
      <c r="Q554" s="294"/>
      <c r="R554" s="295" t="s">
        <v>955</v>
      </c>
      <c r="S554" s="226" t="s">
        <v>956</v>
      </c>
      <c r="T554" s="94" t="s">
        <v>890</v>
      </c>
      <c r="U554" s="106" t="s">
        <v>957</v>
      </c>
      <c r="V554" s="107">
        <v>51</v>
      </c>
      <c r="W554" s="108"/>
      <c r="X554" s="109" t="s">
        <v>117</v>
      </c>
      <c r="Y554" s="20">
        <f t="shared" si="24"/>
        <v>1</v>
      </c>
      <c r="AA554" s="98">
        <f t="shared" si="22"/>
        <v>13.120000000000005</v>
      </c>
      <c r="AB554" s="98" t="e">
        <f t="shared" si="23"/>
        <v>#VALUE!</v>
      </c>
    </row>
    <row r="555" spans="1:28" ht="22.35" customHeight="1" thickBot="1" x14ac:dyDescent="0.3">
      <c r="A555" s="209" t="s">
        <v>103</v>
      </c>
      <c r="B555" s="209" t="s">
        <v>958</v>
      </c>
      <c r="C555" s="210">
        <v>10</v>
      </c>
      <c r="D555" s="211" t="s">
        <v>959</v>
      </c>
      <c r="E555" s="211" t="s">
        <v>960</v>
      </c>
      <c r="F555" s="212" t="s">
        <v>961</v>
      </c>
      <c r="G555" s="213">
        <v>4</v>
      </c>
      <c r="H555" s="191">
        <v>39.9</v>
      </c>
      <c r="I555" s="213">
        <v>37.389000000000003</v>
      </c>
      <c r="J555" s="211" t="s">
        <v>962</v>
      </c>
      <c r="K555" s="215" t="s">
        <v>963</v>
      </c>
      <c r="L555" s="215">
        <v>4</v>
      </c>
      <c r="M555" s="215"/>
      <c r="N555" s="216"/>
      <c r="O555" s="247"/>
      <c r="P555" s="248"/>
      <c r="Q555" s="248"/>
      <c r="R555" s="249">
        <v>41.9</v>
      </c>
      <c r="S555" s="232" t="s">
        <v>962</v>
      </c>
      <c r="T555" s="125" t="s">
        <v>890</v>
      </c>
      <c r="U555" s="125" t="s">
        <v>964</v>
      </c>
      <c r="V555" s="233">
        <v>51</v>
      </c>
      <c r="W555" s="108"/>
      <c r="X555" s="109" t="s">
        <v>119</v>
      </c>
      <c r="Y555" s="20">
        <f t="shared" si="24"/>
        <v>1</v>
      </c>
      <c r="AA555" s="98">
        <f t="shared" si="22"/>
        <v>2.5109999999999957</v>
      </c>
      <c r="AB555" s="98">
        <f t="shared" si="23"/>
        <v>2</v>
      </c>
    </row>
    <row r="556" spans="1:28" ht="22.35" customHeight="1" thickBot="1" x14ac:dyDescent="0.3">
      <c r="A556" s="80" t="s">
        <v>965</v>
      </c>
      <c r="B556" s="80" t="s">
        <v>966</v>
      </c>
      <c r="C556" s="81">
        <v>10</v>
      </c>
      <c r="D556" s="23" t="s">
        <v>934</v>
      </c>
      <c r="E556" s="23" t="s">
        <v>967</v>
      </c>
      <c r="F556" s="141" t="s">
        <v>968</v>
      </c>
      <c r="G556" s="21">
        <v>4</v>
      </c>
      <c r="H556" s="191">
        <v>21.9</v>
      </c>
      <c r="I556" s="84">
        <v>21.02</v>
      </c>
      <c r="J556" s="23" t="s">
        <v>936</v>
      </c>
      <c r="K556" s="86" t="s">
        <v>969</v>
      </c>
      <c r="L556" s="86">
        <v>1</v>
      </c>
      <c r="M556" s="86"/>
      <c r="O556" s="88"/>
      <c r="P556" s="136"/>
      <c r="Q556" s="90"/>
      <c r="R556" s="91" t="s">
        <v>970</v>
      </c>
      <c r="S556" s="139" t="s">
        <v>910</v>
      </c>
      <c r="T556" s="140" t="s">
        <v>890</v>
      </c>
      <c r="U556" s="94" t="s">
        <v>964</v>
      </c>
      <c r="V556" s="95">
        <v>52</v>
      </c>
      <c r="W556" s="108"/>
      <c r="X556" s="109" t="s">
        <v>45</v>
      </c>
      <c r="Y556" s="20">
        <f t="shared" si="24"/>
        <v>1</v>
      </c>
      <c r="AA556" s="98">
        <f t="shared" si="22"/>
        <v>0.87999999999999901</v>
      </c>
      <c r="AB556" s="98" t="e">
        <f t="shared" si="23"/>
        <v>#VALUE!</v>
      </c>
    </row>
    <row r="557" spans="1:28" ht="22.35" customHeight="1" thickBot="1" x14ac:dyDescent="0.3">
      <c r="A557" s="80" t="s">
        <v>103</v>
      </c>
      <c r="B557" s="80" t="s">
        <v>971</v>
      </c>
      <c r="C557" s="81">
        <v>12</v>
      </c>
      <c r="D557" s="23" t="s">
        <v>972</v>
      </c>
      <c r="E557" s="23" t="s">
        <v>973</v>
      </c>
      <c r="F557" s="141"/>
      <c r="G557" s="21">
        <v>2</v>
      </c>
      <c r="H557" s="191">
        <v>69.900000000000006</v>
      </c>
      <c r="I557" s="84">
        <v>65.91</v>
      </c>
      <c r="J557" s="23" t="s">
        <v>830</v>
      </c>
      <c r="K557" s="86" t="s">
        <v>974</v>
      </c>
      <c r="L557" s="86">
        <v>2</v>
      </c>
      <c r="M557" s="86"/>
      <c r="O557" s="100"/>
      <c r="P557" s="143"/>
      <c r="Q557" s="102"/>
      <c r="R557" s="103" t="s">
        <v>932</v>
      </c>
      <c r="S557" s="144" t="s">
        <v>910</v>
      </c>
      <c r="T557" s="112" t="s">
        <v>890</v>
      </c>
      <c r="U557" s="106" t="s">
        <v>975</v>
      </c>
      <c r="V557" s="107">
        <v>52</v>
      </c>
      <c r="W557" s="108"/>
      <c r="X557" s="109" t="s">
        <v>50</v>
      </c>
      <c r="Y557" s="20">
        <f t="shared" si="24"/>
        <v>1</v>
      </c>
      <c r="AA557" s="98">
        <f t="shared" si="22"/>
        <v>3.9900000000000091</v>
      </c>
      <c r="AB557" s="98" t="e">
        <f t="shared" si="23"/>
        <v>#VALUE!</v>
      </c>
    </row>
    <row r="558" spans="1:28" ht="22.35" customHeight="1" thickBot="1" x14ac:dyDescent="0.3">
      <c r="A558" s="80"/>
      <c r="B558" s="80"/>
      <c r="F558" s="141"/>
      <c r="H558" s="191"/>
      <c r="I558" s="84"/>
      <c r="K558" s="86"/>
      <c r="L558" s="86"/>
      <c r="M558" s="86"/>
      <c r="O558" s="100"/>
      <c r="P558" s="143"/>
      <c r="Q558" s="102"/>
      <c r="R558" s="103"/>
      <c r="S558" s="144" t="s">
        <v>910</v>
      </c>
      <c r="T558" s="112" t="s">
        <v>890</v>
      </c>
      <c r="U558" s="106" t="s">
        <v>976</v>
      </c>
      <c r="V558" s="107">
        <v>52</v>
      </c>
      <c r="W558" s="108"/>
      <c r="X558" s="109"/>
      <c r="Y558" s="20">
        <f t="shared" si="24"/>
        <v>0</v>
      </c>
      <c r="AA558" s="98">
        <f t="shared" ref="AA558:AA621" si="25">H558-I558</f>
        <v>0</v>
      </c>
      <c r="AB558" s="98">
        <f t="shared" ref="AB558:AB621" si="26">R558-H558</f>
        <v>0</v>
      </c>
    </row>
    <row r="559" spans="1:28" ht="22.35" customHeight="1" thickBot="1" x14ac:dyDescent="0.3">
      <c r="A559" s="80" t="s">
        <v>103</v>
      </c>
      <c r="B559" s="80" t="s">
        <v>977</v>
      </c>
      <c r="C559" s="81">
        <v>4</v>
      </c>
      <c r="D559" s="23" t="s">
        <v>978</v>
      </c>
      <c r="E559" s="23" t="s">
        <v>979</v>
      </c>
      <c r="F559" s="141" t="s">
        <v>980</v>
      </c>
      <c r="G559" s="21">
        <v>3</v>
      </c>
      <c r="H559" s="191">
        <v>169.9</v>
      </c>
      <c r="I559" s="84">
        <v>160.93</v>
      </c>
      <c r="J559" s="23" t="s">
        <v>981</v>
      </c>
      <c r="K559" s="86" t="s">
        <v>982</v>
      </c>
      <c r="L559" s="86">
        <v>1</v>
      </c>
      <c r="M559" s="86"/>
      <c r="O559" s="100"/>
      <c r="P559" s="143"/>
      <c r="Q559" s="102"/>
      <c r="R559" s="103" t="s">
        <v>983</v>
      </c>
      <c r="S559" s="144" t="s">
        <v>910</v>
      </c>
      <c r="T559" s="112" t="s">
        <v>890</v>
      </c>
      <c r="U559" s="106" t="s">
        <v>984</v>
      </c>
      <c r="V559" s="107">
        <v>52</v>
      </c>
      <c r="W559" s="108"/>
      <c r="X559" s="109" t="s">
        <v>55</v>
      </c>
      <c r="Y559" s="20">
        <f t="shared" si="24"/>
        <v>1</v>
      </c>
      <c r="AA559" s="98">
        <f t="shared" si="25"/>
        <v>8.9699999999999989</v>
      </c>
      <c r="AB559" s="98" t="e">
        <f t="shared" si="26"/>
        <v>#VALUE!</v>
      </c>
    </row>
    <row r="560" spans="1:28" ht="22.35" customHeight="1" thickBot="1" x14ac:dyDescent="0.3">
      <c r="A560" s="80" t="s">
        <v>103</v>
      </c>
      <c r="B560" s="80" t="s">
        <v>985</v>
      </c>
      <c r="C560" s="81">
        <v>8</v>
      </c>
      <c r="D560" s="23" t="s">
        <v>986</v>
      </c>
      <c r="E560" s="23" t="s">
        <v>987</v>
      </c>
      <c r="F560" s="141" t="s">
        <v>709</v>
      </c>
      <c r="G560" s="21">
        <v>3</v>
      </c>
      <c r="H560" s="191">
        <v>55.9</v>
      </c>
      <c r="I560" s="84">
        <v>53.12</v>
      </c>
      <c r="J560" s="23" t="s">
        <v>988</v>
      </c>
      <c r="K560" s="86" t="s">
        <v>989</v>
      </c>
      <c r="L560" s="86">
        <v>1</v>
      </c>
      <c r="M560" s="86"/>
      <c r="O560" s="100"/>
      <c r="P560" s="143"/>
      <c r="Q560" s="102"/>
      <c r="R560" s="103" t="s">
        <v>909</v>
      </c>
      <c r="S560" s="144" t="s">
        <v>910</v>
      </c>
      <c r="T560" s="112" t="s">
        <v>890</v>
      </c>
      <c r="U560" s="106"/>
      <c r="V560" s="107">
        <v>52</v>
      </c>
      <c r="W560" s="108"/>
      <c r="X560" s="109" t="s">
        <v>59</v>
      </c>
      <c r="Y560" s="20">
        <f t="shared" si="24"/>
        <v>1</v>
      </c>
      <c r="AA560" s="98">
        <f t="shared" si="25"/>
        <v>2.7800000000000011</v>
      </c>
      <c r="AB560" s="98" t="e">
        <f t="shared" si="26"/>
        <v>#VALUE!</v>
      </c>
    </row>
    <row r="561" spans="1:28" ht="22.35" customHeight="1" thickBot="1" x14ac:dyDescent="0.3">
      <c r="A561" s="80" t="s">
        <v>103</v>
      </c>
      <c r="B561" s="80" t="s">
        <v>990</v>
      </c>
      <c r="C561" s="81">
        <v>6</v>
      </c>
      <c r="D561" s="23" t="s">
        <v>991</v>
      </c>
      <c r="E561" s="23" t="s">
        <v>992</v>
      </c>
      <c r="F561" s="141" t="s">
        <v>709</v>
      </c>
      <c r="G561" s="21" t="s">
        <v>89</v>
      </c>
      <c r="H561" s="191">
        <v>16.5</v>
      </c>
      <c r="I561" s="84">
        <v>15.79</v>
      </c>
      <c r="J561" s="23" t="s">
        <v>993</v>
      </c>
      <c r="K561" s="86" t="s">
        <v>994</v>
      </c>
      <c r="L561" s="86">
        <v>1</v>
      </c>
      <c r="M561" s="86"/>
      <c r="O561" s="100"/>
      <c r="P561" s="143"/>
      <c r="Q561" s="102"/>
      <c r="R561" s="103" t="s">
        <v>995</v>
      </c>
      <c r="S561" s="144" t="s">
        <v>910</v>
      </c>
      <c r="T561" s="112" t="s">
        <v>890</v>
      </c>
      <c r="U561" s="106"/>
      <c r="V561" s="107">
        <v>52</v>
      </c>
      <c r="W561" s="108"/>
      <c r="X561" s="109" t="s">
        <v>63</v>
      </c>
      <c r="Y561" s="20">
        <f t="shared" si="24"/>
        <v>1</v>
      </c>
      <c r="AA561" s="98">
        <f t="shared" si="25"/>
        <v>0.71000000000000085</v>
      </c>
      <c r="AB561" s="98" t="e">
        <f t="shared" si="26"/>
        <v>#VALUE!</v>
      </c>
    </row>
    <row r="562" spans="1:28" ht="22.35" customHeight="1" thickBot="1" x14ac:dyDescent="0.3">
      <c r="A562" s="80" t="s">
        <v>103</v>
      </c>
      <c r="B562" s="80" t="s">
        <v>996</v>
      </c>
      <c r="C562" s="81">
        <v>12</v>
      </c>
      <c r="D562" s="23" t="s">
        <v>997</v>
      </c>
      <c r="E562" s="23" t="s">
        <v>998</v>
      </c>
      <c r="F562" s="141" t="s">
        <v>915</v>
      </c>
      <c r="G562" s="21">
        <v>2</v>
      </c>
      <c r="H562" s="191">
        <v>71.900000000000006</v>
      </c>
      <c r="I562" s="84">
        <v>67.91</v>
      </c>
      <c r="J562" s="23" t="s">
        <v>899</v>
      </c>
      <c r="K562" s="86" t="s">
        <v>999</v>
      </c>
      <c r="L562" s="86">
        <v>1</v>
      </c>
      <c r="M562" s="86"/>
      <c r="O562" s="100"/>
      <c r="P562" s="143"/>
      <c r="Q562" s="102"/>
      <c r="R562" s="103" t="s">
        <v>1000</v>
      </c>
      <c r="S562" s="144" t="s">
        <v>910</v>
      </c>
      <c r="T562" s="112" t="s">
        <v>890</v>
      </c>
      <c r="U562" s="106" t="s">
        <v>1001</v>
      </c>
      <c r="V562" s="107">
        <v>52</v>
      </c>
      <c r="W562" s="108"/>
      <c r="X562" s="109" t="s">
        <v>179</v>
      </c>
      <c r="Y562" s="20">
        <f t="shared" si="24"/>
        <v>1</v>
      </c>
      <c r="AA562" s="98">
        <f t="shared" si="25"/>
        <v>3.9900000000000091</v>
      </c>
      <c r="AB562" s="98" t="e">
        <f t="shared" si="26"/>
        <v>#VALUE!</v>
      </c>
    </row>
    <row r="563" spans="1:28" ht="22.35" customHeight="1" thickBot="1" x14ac:dyDescent="0.3">
      <c r="A563" s="209" t="s">
        <v>297</v>
      </c>
      <c r="B563" s="209" t="s">
        <v>1002</v>
      </c>
      <c r="C563" s="210">
        <v>8</v>
      </c>
      <c r="D563" s="211" t="s">
        <v>1003</v>
      </c>
      <c r="E563" s="211" t="s">
        <v>1004</v>
      </c>
      <c r="F563" s="236" t="s">
        <v>1005</v>
      </c>
      <c r="G563" s="213">
        <v>2</v>
      </c>
      <c r="H563" s="191">
        <v>119.9</v>
      </c>
      <c r="I563" s="238">
        <v>92.17</v>
      </c>
      <c r="J563" s="211" t="s">
        <v>916</v>
      </c>
      <c r="K563" s="215" t="s">
        <v>1006</v>
      </c>
      <c r="L563" s="215">
        <v>1</v>
      </c>
      <c r="M563" s="215"/>
      <c r="N563" s="216"/>
      <c r="O563" s="239"/>
      <c r="P563" s="240"/>
      <c r="Q563" s="154"/>
      <c r="R563" s="241" t="s">
        <v>1007</v>
      </c>
      <c r="S563" s="242" t="s">
        <v>910</v>
      </c>
      <c r="T563" s="243" t="s">
        <v>890</v>
      </c>
      <c r="U563" s="106" t="s">
        <v>1008</v>
      </c>
      <c r="V563" s="233">
        <v>52</v>
      </c>
      <c r="W563" s="108"/>
      <c r="X563" s="109" t="s">
        <v>70</v>
      </c>
      <c r="Y563" s="20">
        <f t="shared" si="24"/>
        <v>1</v>
      </c>
      <c r="AA563" s="98">
        <f t="shared" si="25"/>
        <v>27.730000000000004</v>
      </c>
      <c r="AB563" s="98" t="e">
        <f t="shared" si="26"/>
        <v>#VALUE!</v>
      </c>
    </row>
    <row r="564" spans="1:28" ht="22.35" customHeight="1" thickBot="1" x14ac:dyDescent="0.3">
      <c r="A564" s="285" t="s">
        <v>1009</v>
      </c>
      <c r="B564" s="285" t="s">
        <v>1010</v>
      </c>
      <c r="C564" s="286">
        <v>10</v>
      </c>
      <c r="D564" s="287" t="s">
        <v>1011</v>
      </c>
      <c r="E564" s="287" t="s">
        <v>1012</v>
      </c>
      <c r="F564" s="288" t="s">
        <v>948</v>
      </c>
      <c r="G564" s="289" t="s">
        <v>108</v>
      </c>
      <c r="H564" s="191">
        <v>64.900000000000006</v>
      </c>
      <c r="I564" s="289">
        <v>48.293999999999997</v>
      </c>
      <c r="J564" s="287" t="s">
        <v>1013</v>
      </c>
      <c r="K564" s="291" t="s">
        <v>1014</v>
      </c>
      <c r="L564" s="291">
        <v>4</v>
      </c>
      <c r="M564" s="291"/>
      <c r="N564" s="292"/>
      <c r="O564" s="293"/>
      <c r="P564" s="294"/>
      <c r="Q564" s="294"/>
      <c r="R564" s="295" t="s">
        <v>1015</v>
      </c>
      <c r="S564" s="296" t="s">
        <v>1016</v>
      </c>
      <c r="T564" s="94" t="s">
        <v>890</v>
      </c>
      <c r="U564" s="297" t="s">
        <v>1008</v>
      </c>
      <c r="V564" s="298">
        <v>52</v>
      </c>
      <c r="W564" s="108"/>
      <c r="X564" s="109" t="s">
        <v>117</v>
      </c>
      <c r="Y564" s="20">
        <f t="shared" si="24"/>
        <v>1</v>
      </c>
      <c r="AA564" s="98">
        <f t="shared" si="25"/>
        <v>16.606000000000009</v>
      </c>
      <c r="AB564" s="98" t="e">
        <f t="shared" si="26"/>
        <v>#VALUE!</v>
      </c>
    </row>
    <row r="565" spans="1:28" ht="22.35" customHeight="1" thickBot="1" x14ac:dyDescent="0.3">
      <c r="A565" s="209" t="s">
        <v>297</v>
      </c>
      <c r="B565" s="209" t="s">
        <v>1017</v>
      </c>
      <c r="C565" s="210">
        <v>16</v>
      </c>
      <c r="D565" s="211" t="s">
        <v>1018</v>
      </c>
      <c r="E565" s="211" t="s">
        <v>1019</v>
      </c>
      <c r="F565" s="212" t="s">
        <v>948</v>
      </c>
      <c r="G565" s="213">
        <v>1</v>
      </c>
      <c r="H565" s="191">
        <v>64.900000000000006</v>
      </c>
      <c r="I565" s="213">
        <v>61.63</v>
      </c>
      <c r="J565" s="211" t="s">
        <v>743</v>
      </c>
      <c r="K565" s="215" t="s">
        <v>1020</v>
      </c>
      <c r="L565" s="215">
        <v>4</v>
      </c>
      <c r="M565" s="215"/>
      <c r="N565" s="216"/>
      <c r="O565" s="247"/>
      <c r="P565" s="248"/>
      <c r="Q565" s="248"/>
      <c r="R565" s="249" t="s">
        <v>1021</v>
      </c>
      <c r="S565" s="250" t="s">
        <v>1022</v>
      </c>
      <c r="T565" s="125" t="s">
        <v>890</v>
      </c>
      <c r="U565" s="244" t="s">
        <v>1023</v>
      </c>
      <c r="V565" s="245">
        <v>52</v>
      </c>
      <c r="W565" s="108"/>
      <c r="X565" s="109" t="s">
        <v>119</v>
      </c>
      <c r="Y565" s="20">
        <f t="shared" si="24"/>
        <v>1</v>
      </c>
      <c r="AA565" s="98">
        <f t="shared" si="25"/>
        <v>3.2700000000000031</v>
      </c>
      <c r="AB565" s="98" t="e">
        <f t="shared" si="26"/>
        <v>#VALUE!</v>
      </c>
    </row>
    <row r="566" spans="1:28" ht="22.35" customHeight="1" thickBot="1" x14ac:dyDescent="0.3">
      <c r="A566" s="80" t="s">
        <v>103</v>
      </c>
      <c r="B566" s="80" t="s">
        <v>1024</v>
      </c>
      <c r="C566" s="81">
        <v>6</v>
      </c>
      <c r="D566" s="23" t="s">
        <v>1025</v>
      </c>
      <c r="F566" s="141" t="s">
        <v>722</v>
      </c>
      <c r="G566" s="21">
        <v>1</v>
      </c>
      <c r="H566" s="191">
        <v>29.9</v>
      </c>
      <c r="I566" s="84">
        <v>28.36</v>
      </c>
      <c r="J566" s="23" t="s">
        <v>1026</v>
      </c>
      <c r="K566" s="86" t="s">
        <v>1027</v>
      </c>
      <c r="L566" s="86">
        <v>1</v>
      </c>
      <c r="M566" s="86"/>
      <c r="O566" s="88"/>
      <c r="P566" s="136"/>
      <c r="Q566" s="90"/>
      <c r="R566" s="91" t="s">
        <v>1028</v>
      </c>
      <c r="S566" s="139" t="s">
        <v>910</v>
      </c>
      <c r="T566" s="140" t="s">
        <v>890</v>
      </c>
      <c r="U566" s="94" t="s">
        <v>1029</v>
      </c>
      <c r="V566" s="95">
        <v>53</v>
      </c>
      <c r="W566" s="108"/>
      <c r="X566" s="109" t="s">
        <v>45</v>
      </c>
      <c r="Y566" s="20">
        <f t="shared" si="24"/>
        <v>1</v>
      </c>
      <c r="AA566" s="98">
        <f t="shared" si="25"/>
        <v>1.5399999999999991</v>
      </c>
      <c r="AB566" s="98" t="e">
        <f t="shared" si="26"/>
        <v>#VALUE!</v>
      </c>
    </row>
    <row r="567" spans="1:28" ht="22.35" customHeight="1" thickBot="1" x14ac:dyDescent="0.3">
      <c r="A567" s="80" t="s">
        <v>103</v>
      </c>
      <c r="B567" s="80" t="s">
        <v>1030</v>
      </c>
      <c r="C567" s="81">
        <v>6</v>
      </c>
      <c r="D567" s="23" t="s">
        <v>1031</v>
      </c>
      <c r="E567" s="23" t="s">
        <v>1032</v>
      </c>
      <c r="F567" s="141" t="s">
        <v>1033</v>
      </c>
      <c r="G567" s="21">
        <v>1</v>
      </c>
      <c r="H567" s="191">
        <v>76.900000000000006</v>
      </c>
      <c r="I567" s="84">
        <v>72.040000000000006</v>
      </c>
      <c r="J567" s="23" t="s">
        <v>953</v>
      </c>
      <c r="K567" s="86" t="s">
        <v>1034</v>
      </c>
      <c r="L567" s="86">
        <v>1</v>
      </c>
      <c r="M567" s="86"/>
      <c r="O567" s="100"/>
      <c r="P567" s="143"/>
      <c r="Q567" s="102"/>
      <c r="R567" s="103" t="s">
        <v>1035</v>
      </c>
      <c r="S567" s="144" t="s">
        <v>910</v>
      </c>
      <c r="T567" s="112" t="s">
        <v>890</v>
      </c>
      <c r="U567" s="106" t="s">
        <v>1029</v>
      </c>
      <c r="V567" s="107">
        <v>53</v>
      </c>
      <c r="W567" s="108"/>
      <c r="X567" s="109" t="s">
        <v>50</v>
      </c>
      <c r="Y567" s="20">
        <f t="shared" si="24"/>
        <v>1</v>
      </c>
      <c r="AA567" s="98">
        <f t="shared" si="25"/>
        <v>4.8599999999999994</v>
      </c>
      <c r="AB567" s="98" t="e">
        <f t="shared" si="26"/>
        <v>#VALUE!</v>
      </c>
    </row>
    <row r="568" spans="1:28" ht="22.35" customHeight="1" thickBot="1" x14ac:dyDescent="0.3">
      <c r="A568" s="80">
        <v>12</v>
      </c>
      <c r="B568" s="80" t="s">
        <v>1036</v>
      </c>
      <c r="C568" s="81">
        <v>12</v>
      </c>
      <c r="D568" s="23" t="s">
        <v>1037</v>
      </c>
      <c r="E568" s="23" t="s">
        <v>1038</v>
      </c>
      <c r="F568" s="141" t="s">
        <v>86</v>
      </c>
      <c r="G568" s="21">
        <v>1</v>
      </c>
      <c r="H568" s="191">
        <v>27.9</v>
      </c>
      <c r="I568" s="84">
        <v>26.5</v>
      </c>
      <c r="J568" s="23" t="s">
        <v>1039</v>
      </c>
      <c r="K568" s="86" t="s">
        <v>1040</v>
      </c>
      <c r="L568" s="86">
        <v>1</v>
      </c>
      <c r="M568" s="86"/>
      <c r="O568" s="100"/>
      <c r="P568" s="143"/>
      <c r="Q568" s="102"/>
      <c r="R568" s="103" t="s">
        <v>464</v>
      </c>
      <c r="S568" s="144" t="s">
        <v>910</v>
      </c>
      <c r="T568" s="112" t="s">
        <v>890</v>
      </c>
      <c r="U568" s="106" t="s">
        <v>1029</v>
      </c>
      <c r="V568" s="107">
        <v>53</v>
      </c>
      <c r="W568" s="108"/>
      <c r="X568" s="109" t="s">
        <v>55</v>
      </c>
      <c r="Y568" s="20">
        <f t="shared" si="24"/>
        <v>1</v>
      </c>
      <c r="AA568" s="98">
        <f t="shared" si="25"/>
        <v>1.3999999999999986</v>
      </c>
      <c r="AB568" s="98" t="e">
        <f t="shared" si="26"/>
        <v>#VALUE!</v>
      </c>
    </row>
    <row r="569" spans="1:28" ht="22.35" customHeight="1" thickBot="1" x14ac:dyDescent="0.3">
      <c r="A569" s="80"/>
      <c r="B569" s="80"/>
      <c r="D569" s="322"/>
      <c r="F569" s="141"/>
      <c r="H569" s="191"/>
      <c r="I569" s="84"/>
      <c r="K569" s="86"/>
      <c r="L569" s="86"/>
      <c r="M569" s="86"/>
      <c r="O569" s="100"/>
      <c r="P569" s="143"/>
      <c r="Q569" s="102"/>
      <c r="R569" s="103"/>
      <c r="S569" s="144" t="s">
        <v>910</v>
      </c>
      <c r="T569" s="112" t="s">
        <v>890</v>
      </c>
      <c r="U569" s="106"/>
      <c r="V569" s="107">
        <v>53</v>
      </c>
      <c r="W569" s="108"/>
      <c r="X569" s="109"/>
      <c r="Y569" s="20">
        <f t="shared" si="24"/>
        <v>0</v>
      </c>
      <c r="AA569" s="98">
        <f t="shared" si="25"/>
        <v>0</v>
      </c>
      <c r="AB569" s="98">
        <f t="shared" si="26"/>
        <v>0</v>
      </c>
    </row>
    <row r="570" spans="1:28" ht="22.35" customHeight="1" thickBot="1" x14ac:dyDescent="0.3">
      <c r="A570" s="80"/>
      <c r="B570" s="80"/>
      <c r="D570" s="322"/>
      <c r="F570" s="141"/>
      <c r="H570" s="191"/>
      <c r="I570" s="84"/>
      <c r="K570" s="86"/>
      <c r="L570" s="86"/>
      <c r="M570" s="86"/>
      <c r="O570" s="100"/>
      <c r="P570" s="143"/>
      <c r="Q570" s="102"/>
      <c r="R570" s="103"/>
      <c r="S570" s="144" t="s">
        <v>910</v>
      </c>
      <c r="T570" s="112" t="s">
        <v>890</v>
      </c>
      <c r="U570" s="106"/>
      <c r="V570" s="107">
        <v>53</v>
      </c>
      <c r="W570" s="108"/>
      <c r="X570" s="109"/>
      <c r="Y570" s="20">
        <f t="shared" si="24"/>
        <v>0</v>
      </c>
      <c r="AA570" s="98">
        <f t="shared" si="25"/>
        <v>0</v>
      </c>
      <c r="AB570" s="98">
        <f t="shared" si="26"/>
        <v>0</v>
      </c>
    </row>
    <row r="571" spans="1:28" ht="22.35" customHeight="1" thickBot="1" x14ac:dyDescent="0.3">
      <c r="A571" s="80"/>
      <c r="B571" s="80"/>
      <c r="D571" s="322"/>
      <c r="F571" s="141"/>
      <c r="H571" s="191"/>
      <c r="I571" s="84"/>
      <c r="K571" s="86"/>
      <c r="L571" s="86"/>
      <c r="M571" s="86"/>
      <c r="O571" s="100"/>
      <c r="P571" s="143"/>
      <c r="Q571" s="102"/>
      <c r="R571" s="103"/>
      <c r="S571" s="144" t="s">
        <v>910</v>
      </c>
      <c r="T571" s="112" t="s">
        <v>890</v>
      </c>
      <c r="U571" s="106" t="s">
        <v>1041</v>
      </c>
      <c r="V571" s="107">
        <v>53</v>
      </c>
      <c r="W571" s="108"/>
      <c r="X571" s="109"/>
      <c r="Y571" s="20">
        <f t="shared" si="24"/>
        <v>0</v>
      </c>
      <c r="AA571" s="98">
        <f t="shared" si="25"/>
        <v>0</v>
      </c>
      <c r="AB571" s="98">
        <f t="shared" si="26"/>
        <v>0</v>
      </c>
    </row>
    <row r="572" spans="1:28" ht="22.35" customHeight="1" thickBot="1" x14ac:dyDescent="0.3">
      <c r="A572" s="80"/>
      <c r="B572" s="80"/>
      <c r="D572" s="322"/>
      <c r="F572" s="141"/>
      <c r="H572" s="191"/>
      <c r="I572" s="84"/>
      <c r="K572" s="86"/>
      <c r="L572" s="86"/>
      <c r="M572" s="86"/>
      <c r="O572" s="100"/>
      <c r="P572" s="143"/>
      <c r="Q572" s="102"/>
      <c r="R572" s="103"/>
      <c r="S572" s="144" t="s">
        <v>910</v>
      </c>
      <c r="T572" s="112" t="s">
        <v>890</v>
      </c>
      <c r="U572" s="106" t="s">
        <v>1041</v>
      </c>
      <c r="V572" s="107">
        <v>53</v>
      </c>
      <c r="W572" s="108"/>
      <c r="X572" s="109"/>
      <c r="Y572" s="20">
        <f t="shared" si="24"/>
        <v>0</v>
      </c>
      <c r="AA572" s="98">
        <f t="shared" si="25"/>
        <v>0</v>
      </c>
      <c r="AB572" s="98">
        <f t="shared" si="26"/>
        <v>0</v>
      </c>
    </row>
    <row r="573" spans="1:28" ht="22.35" customHeight="1" thickBot="1" x14ac:dyDescent="0.3">
      <c r="A573" s="209"/>
      <c r="B573" s="209"/>
      <c r="C573" s="210"/>
      <c r="D573" s="323"/>
      <c r="E573" s="211"/>
      <c r="F573" s="236"/>
      <c r="G573" s="213"/>
      <c r="H573" s="191"/>
      <c r="I573" s="238"/>
      <c r="J573" s="211"/>
      <c r="K573" s="215"/>
      <c r="L573" s="215"/>
      <c r="M573" s="215"/>
      <c r="N573" s="216"/>
      <c r="O573" s="239"/>
      <c r="P573" s="240"/>
      <c r="Q573" s="154"/>
      <c r="R573" s="241"/>
      <c r="S573" s="242" t="s">
        <v>910</v>
      </c>
      <c r="T573" s="243" t="s">
        <v>890</v>
      </c>
      <c r="U573" s="244" t="s">
        <v>1042</v>
      </c>
      <c r="V573" s="233">
        <v>53</v>
      </c>
      <c r="W573" s="108"/>
      <c r="X573" s="109"/>
      <c r="Y573" s="20">
        <f t="shared" si="24"/>
        <v>0</v>
      </c>
      <c r="AA573" s="98">
        <f t="shared" si="25"/>
        <v>0</v>
      </c>
      <c r="AB573" s="98">
        <f t="shared" si="26"/>
        <v>0</v>
      </c>
    </row>
    <row r="574" spans="1:28" ht="22.35" customHeight="1" thickBot="1" x14ac:dyDescent="0.3">
      <c r="A574" s="285">
        <v>10</v>
      </c>
      <c r="B574" s="285">
        <v>8699444269214</v>
      </c>
      <c r="C574" s="286">
        <v>48</v>
      </c>
      <c r="D574" s="287" t="s">
        <v>1043</v>
      </c>
      <c r="E574" s="287" t="s">
        <v>911</v>
      </c>
      <c r="F574" s="288" t="s">
        <v>1044</v>
      </c>
      <c r="G574" s="289" t="s">
        <v>108</v>
      </c>
      <c r="H574" s="191">
        <v>27.9</v>
      </c>
      <c r="I574" s="289">
        <v>26.450600000000001</v>
      </c>
      <c r="J574" s="287" t="s">
        <v>1013</v>
      </c>
      <c r="K574" s="291" t="s">
        <v>1045</v>
      </c>
      <c r="L574" s="291">
        <v>4</v>
      </c>
      <c r="M574" s="291"/>
      <c r="N574" s="292"/>
      <c r="O574" s="293"/>
      <c r="P574" s="294"/>
      <c r="Q574" s="294"/>
      <c r="R574" s="295" t="s">
        <v>464</v>
      </c>
      <c r="S574" s="296" t="s">
        <v>936</v>
      </c>
      <c r="T574" s="94" t="s">
        <v>890</v>
      </c>
      <c r="U574" s="297" t="s">
        <v>1042</v>
      </c>
      <c r="V574" s="298">
        <v>53</v>
      </c>
      <c r="W574" s="108"/>
      <c r="X574" s="109" t="s">
        <v>63</v>
      </c>
      <c r="Y574" s="20">
        <f t="shared" si="24"/>
        <v>1</v>
      </c>
      <c r="AA574" s="98">
        <f t="shared" si="25"/>
        <v>1.4493999999999971</v>
      </c>
      <c r="AB574" s="98" t="e">
        <f t="shared" si="26"/>
        <v>#VALUE!</v>
      </c>
    </row>
    <row r="575" spans="1:28" ht="22.35" customHeight="1" thickBot="1" x14ac:dyDescent="0.3">
      <c r="A575" s="209" t="s">
        <v>255</v>
      </c>
      <c r="B575" s="209" t="s">
        <v>1046</v>
      </c>
      <c r="C575" s="210">
        <v>4</v>
      </c>
      <c r="D575" s="211" t="s">
        <v>1047</v>
      </c>
      <c r="E575" s="211" t="s">
        <v>1048</v>
      </c>
      <c r="F575" s="212" t="s">
        <v>1049</v>
      </c>
      <c r="G575" s="213">
        <v>3</v>
      </c>
      <c r="H575" s="191">
        <v>194.9</v>
      </c>
      <c r="I575" s="213">
        <v>175.45</v>
      </c>
      <c r="J575" s="211" t="s">
        <v>1050</v>
      </c>
      <c r="K575" s="215" t="s">
        <v>1051</v>
      </c>
      <c r="L575" s="215">
        <v>4</v>
      </c>
      <c r="M575" s="215"/>
      <c r="N575" s="216"/>
      <c r="O575" s="247"/>
      <c r="P575" s="248"/>
      <c r="Q575" s="248"/>
      <c r="R575" s="249" t="s">
        <v>1052</v>
      </c>
      <c r="S575" s="250" t="s">
        <v>1053</v>
      </c>
      <c r="T575" s="125" t="s">
        <v>890</v>
      </c>
      <c r="U575" s="244" t="s">
        <v>1054</v>
      </c>
      <c r="V575" s="245">
        <v>53</v>
      </c>
      <c r="W575" s="108"/>
      <c r="X575" s="109" t="s">
        <v>179</v>
      </c>
      <c r="Y575" s="20">
        <f t="shared" si="24"/>
        <v>1</v>
      </c>
      <c r="AA575" s="98">
        <f t="shared" si="25"/>
        <v>19.450000000000017</v>
      </c>
      <c r="AB575" s="98" t="e">
        <f t="shared" si="26"/>
        <v>#VALUE!</v>
      </c>
    </row>
    <row r="576" spans="1:28" ht="22.35" customHeight="1" thickBot="1" x14ac:dyDescent="0.3">
      <c r="A576" s="80" t="s">
        <v>965</v>
      </c>
      <c r="B576" s="80" t="s">
        <v>1055</v>
      </c>
      <c r="C576" s="81">
        <v>24</v>
      </c>
      <c r="D576" s="23" t="s">
        <v>1056</v>
      </c>
      <c r="E576" s="23" t="s">
        <v>1057</v>
      </c>
      <c r="F576" s="141"/>
      <c r="G576" s="21">
        <v>4</v>
      </c>
      <c r="H576" s="277">
        <v>14.9</v>
      </c>
      <c r="I576" s="84">
        <v>12.33958</v>
      </c>
      <c r="J576" s="23" t="s">
        <v>1058</v>
      </c>
      <c r="K576" s="86" t="s">
        <v>1059</v>
      </c>
      <c r="L576" s="86">
        <v>2</v>
      </c>
      <c r="M576" s="86"/>
      <c r="O576" s="88"/>
      <c r="P576" s="136"/>
      <c r="Q576" s="90"/>
      <c r="R576" s="91" t="s">
        <v>1060</v>
      </c>
      <c r="S576" s="139" t="s">
        <v>910</v>
      </c>
      <c r="T576" s="140" t="s">
        <v>890</v>
      </c>
      <c r="U576" s="94" t="s">
        <v>1061</v>
      </c>
      <c r="V576" s="95">
        <v>54</v>
      </c>
      <c r="W576" s="108"/>
      <c r="X576" s="109" t="s">
        <v>45</v>
      </c>
      <c r="Y576" s="20">
        <f t="shared" si="24"/>
        <v>1</v>
      </c>
      <c r="AA576" s="98">
        <f t="shared" si="25"/>
        <v>2.5604200000000006</v>
      </c>
      <c r="AB576" s="98" t="e">
        <f t="shared" si="26"/>
        <v>#VALUE!</v>
      </c>
    </row>
    <row r="577" spans="1:28" ht="22.35" customHeight="1" thickBot="1" x14ac:dyDescent="0.3">
      <c r="A577" s="80" t="s">
        <v>449</v>
      </c>
      <c r="B577" s="80" t="s">
        <v>1062</v>
      </c>
      <c r="C577" s="81">
        <v>14</v>
      </c>
      <c r="D577" s="23" t="s">
        <v>1063</v>
      </c>
      <c r="E577" s="23" t="s">
        <v>1064</v>
      </c>
      <c r="F577" s="141"/>
      <c r="G577" s="21">
        <v>1</v>
      </c>
      <c r="H577" s="191">
        <v>15.5</v>
      </c>
      <c r="I577" s="84">
        <v>14.4</v>
      </c>
      <c r="J577" s="23" t="s">
        <v>942</v>
      </c>
      <c r="K577" s="86" t="s">
        <v>1065</v>
      </c>
      <c r="L577" s="86">
        <v>4</v>
      </c>
      <c r="M577" s="86"/>
      <c r="O577" s="100"/>
      <c r="P577" s="143"/>
      <c r="Q577" s="102"/>
      <c r="R577" s="103" t="s">
        <v>596</v>
      </c>
      <c r="S577" s="144" t="s">
        <v>910</v>
      </c>
      <c r="T577" s="112" t="s">
        <v>890</v>
      </c>
      <c r="U577" s="106" t="s">
        <v>1061</v>
      </c>
      <c r="V577" s="107">
        <v>54</v>
      </c>
      <c r="W577" s="108"/>
      <c r="X577" s="109" t="s">
        <v>50</v>
      </c>
      <c r="Y577" s="20">
        <f t="shared" si="24"/>
        <v>1</v>
      </c>
      <c r="AA577" s="98">
        <f t="shared" si="25"/>
        <v>1.0999999999999996</v>
      </c>
      <c r="AB577" s="98" t="e">
        <f t="shared" si="26"/>
        <v>#VALUE!</v>
      </c>
    </row>
    <row r="578" spans="1:28" ht="22.35" customHeight="1" thickBot="1" x14ac:dyDescent="0.3">
      <c r="A578" s="80" t="s">
        <v>103</v>
      </c>
      <c r="B578" s="80" t="s">
        <v>1066</v>
      </c>
      <c r="C578" s="81">
        <v>10</v>
      </c>
      <c r="D578" s="23" t="s">
        <v>1067</v>
      </c>
      <c r="E578" s="23" t="s">
        <v>1068</v>
      </c>
      <c r="F578" s="141"/>
      <c r="G578" s="21">
        <v>1</v>
      </c>
      <c r="H578" s="191">
        <v>59.9</v>
      </c>
      <c r="I578" s="84">
        <v>56.26</v>
      </c>
      <c r="J578" s="23" t="s">
        <v>953</v>
      </c>
      <c r="K578" s="86" t="s">
        <v>1069</v>
      </c>
      <c r="L578" s="86">
        <v>1</v>
      </c>
      <c r="M578" s="86"/>
      <c r="O578" s="100"/>
      <c r="P578" s="143"/>
      <c r="Q578" s="102"/>
      <c r="R578" s="103" t="s">
        <v>918</v>
      </c>
      <c r="S578" s="144" t="s">
        <v>910</v>
      </c>
      <c r="T578" s="112" t="s">
        <v>890</v>
      </c>
      <c r="U578" s="106" t="s">
        <v>1070</v>
      </c>
      <c r="V578" s="107">
        <v>54</v>
      </c>
      <c r="W578" s="108"/>
      <c r="X578" s="109" t="s">
        <v>59</v>
      </c>
      <c r="Y578" s="20">
        <f t="shared" si="24"/>
        <v>1</v>
      </c>
      <c r="AA578" s="98">
        <f t="shared" si="25"/>
        <v>3.6400000000000006</v>
      </c>
      <c r="AB578" s="98" t="e">
        <f t="shared" si="26"/>
        <v>#VALUE!</v>
      </c>
    </row>
    <row r="579" spans="1:28" ht="22.35" customHeight="1" thickBot="1" x14ac:dyDescent="0.3">
      <c r="A579" s="80" t="s">
        <v>103</v>
      </c>
      <c r="B579" s="80" t="s">
        <v>1071</v>
      </c>
      <c r="C579" s="81">
        <v>144</v>
      </c>
      <c r="D579" s="23" t="s">
        <v>1072</v>
      </c>
      <c r="E579" s="23" t="s">
        <v>1073</v>
      </c>
      <c r="F579" s="141"/>
      <c r="G579" s="21">
        <v>1</v>
      </c>
      <c r="H579" s="191">
        <v>8.9</v>
      </c>
      <c r="I579" s="84">
        <v>8.35</v>
      </c>
      <c r="J579" s="23" t="s">
        <v>942</v>
      </c>
      <c r="K579" s="86" t="s">
        <v>1074</v>
      </c>
      <c r="L579" s="86">
        <v>1</v>
      </c>
      <c r="M579" s="86"/>
      <c r="O579" s="100"/>
      <c r="P579" s="143"/>
      <c r="Q579" s="102"/>
      <c r="R579" s="103" t="s">
        <v>1075</v>
      </c>
      <c r="S579" s="144" t="s">
        <v>910</v>
      </c>
      <c r="T579" s="112" t="s">
        <v>890</v>
      </c>
      <c r="U579" s="106"/>
      <c r="V579" s="107">
        <v>54</v>
      </c>
      <c r="W579" s="108"/>
      <c r="X579" s="109" t="s">
        <v>70</v>
      </c>
      <c r="Y579" s="20">
        <f t="shared" si="24"/>
        <v>1</v>
      </c>
      <c r="AA579" s="98">
        <f t="shared" si="25"/>
        <v>0.55000000000000071</v>
      </c>
      <c r="AB579" s="98" t="e">
        <f t="shared" si="26"/>
        <v>#VALUE!</v>
      </c>
    </row>
    <row r="580" spans="1:28" ht="22.35" customHeight="1" thickBot="1" x14ac:dyDescent="0.3">
      <c r="A580" s="80"/>
      <c r="B580" s="80"/>
      <c r="E580" s="322"/>
      <c r="F580" s="141"/>
      <c r="H580" s="191"/>
      <c r="I580" s="84"/>
      <c r="K580" s="86"/>
      <c r="L580" s="86"/>
      <c r="M580" s="86"/>
      <c r="O580" s="100"/>
      <c r="P580" s="143"/>
      <c r="Q580" s="102"/>
      <c r="R580" s="103"/>
      <c r="S580" s="144" t="s">
        <v>910</v>
      </c>
      <c r="T580" s="112" t="s">
        <v>890</v>
      </c>
      <c r="U580" s="106"/>
      <c r="V580" s="107">
        <v>54</v>
      </c>
      <c r="W580" s="108"/>
      <c r="X580" s="109"/>
      <c r="Y580" s="20">
        <f t="shared" si="24"/>
        <v>0</v>
      </c>
      <c r="AA580" s="98">
        <f t="shared" si="25"/>
        <v>0</v>
      </c>
      <c r="AB580" s="98">
        <f t="shared" si="26"/>
        <v>0</v>
      </c>
    </row>
    <row r="581" spans="1:28" ht="22.35" customHeight="1" thickBot="1" x14ac:dyDescent="0.3">
      <c r="A581" s="80"/>
      <c r="B581" s="80"/>
      <c r="E581" s="322"/>
      <c r="F581" s="141"/>
      <c r="H581" s="191"/>
      <c r="I581" s="84"/>
      <c r="K581" s="86"/>
      <c r="L581" s="86"/>
      <c r="M581" s="86"/>
      <c r="O581" s="100"/>
      <c r="P581" s="143"/>
      <c r="Q581" s="102"/>
      <c r="R581" s="103"/>
      <c r="S581" s="144" t="s">
        <v>910</v>
      </c>
      <c r="T581" s="112" t="s">
        <v>890</v>
      </c>
      <c r="U581" s="106"/>
      <c r="V581" s="107">
        <v>54</v>
      </c>
      <c r="W581" s="108"/>
      <c r="X581" s="109"/>
      <c r="Y581" s="20">
        <f t="shared" si="24"/>
        <v>0</v>
      </c>
      <c r="AA581" s="98">
        <f t="shared" si="25"/>
        <v>0</v>
      </c>
      <c r="AB581" s="98">
        <f t="shared" si="26"/>
        <v>0</v>
      </c>
    </row>
    <row r="582" spans="1:28" ht="22.35" customHeight="1" thickBot="1" x14ac:dyDescent="0.3">
      <c r="A582" s="80"/>
      <c r="B582" s="80"/>
      <c r="E582" s="322"/>
      <c r="F582" s="141"/>
      <c r="H582" s="191"/>
      <c r="I582" s="84"/>
      <c r="K582" s="86"/>
      <c r="L582" s="86"/>
      <c r="M582" s="86"/>
      <c r="O582" s="100"/>
      <c r="P582" s="143"/>
      <c r="Q582" s="102"/>
      <c r="R582" s="103"/>
      <c r="S582" s="144" t="s">
        <v>910</v>
      </c>
      <c r="T582" s="112" t="s">
        <v>890</v>
      </c>
      <c r="U582" s="106"/>
      <c r="V582" s="107">
        <v>54</v>
      </c>
      <c r="W582" s="108"/>
      <c r="X582" s="109"/>
      <c r="Y582" s="20">
        <f t="shared" si="24"/>
        <v>0</v>
      </c>
      <c r="AA582" s="98">
        <f t="shared" si="25"/>
        <v>0</v>
      </c>
      <c r="AB582" s="98">
        <f t="shared" si="26"/>
        <v>0</v>
      </c>
    </row>
    <row r="583" spans="1:28" ht="22.35" customHeight="1" thickBot="1" x14ac:dyDescent="0.3">
      <c r="A583" s="80"/>
      <c r="B583" s="80"/>
      <c r="E583" s="322"/>
      <c r="F583" s="141"/>
      <c r="H583" s="191"/>
      <c r="I583" s="84"/>
      <c r="K583" s="86"/>
      <c r="L583" s="86"/>
      <c r="M583" s="86"/>
      <c r="O583" s="100"/>
      <c r="P583" s="143"/>
      <c r="Q583" s="102"/>
      <c r="R583" s="103"/>
      <c r="S583" s="144" t="s">
        <v>910</v>
      </c>
      <c r="T583" s="112" t="s">
        <v>890</v>
      </c>
      <c r="U583" s="106"/>
      <c r="V583" s="107">
        <v>54</v>
      </c>
      <c r="W583" s="108"/>
      <c r="X583" s="109"/>
      <c r="Y583" s="20">
        <f t="shared" ref="Y583:Y646" si="27">COUNTIF(K:K,K583)</f>
        <v>0</v>
      </c>
      <c r="AA583" s="98">
        <f t="shared" si="25"/>
        <v>0</v>
      </c>
      <c r="AB583" s="98">
        <f t="shared" si="26"/>
        <v>0</v>
      </c>
    </row>
    <row r="584" spans="1:28" ht="22.35" customHeight="1" thickBot="1" x14ac:dyDescent="0.3">
      <c r="A584" s="80"/>
      <c r="B584" s="80"/>
      <c r="F584" s="141"/>
      <c r="H584" s="191"/>
      <c r="I584" s="84"/>
      <c r="K584" s="86"/>
      <c r="L584" s="86"/>
      <c r="M584" s="86"/>
      <c r="O584" s="100"/>
      <c r="P584" s="143"/>
      <c r="Q584" s="102"/>
      <c r="R584" s="103"/>
      <c r="S584" s="144" t="s">
        <v>910</v>
      </c>
      <c r="T584" s="112" t="s">
        <v>890</v>
      </c>
      <c r="U584" s="106"/>
      <c r="V584" s="107">
        <v>54</v>
      </c>
      <c r="W584" s="108"/>
      <c r="X584" s="109"/>
      <c r="Y584" s="20">
        <f t="shared" si="27"/>
        <v>0</v>
      </c>
      <c r="AA584" s="98">
        <f t="shared" si="25"/>
        <v>0</v>
      </c>
      <c r="AB584" s="98">
        <f t="shared" si="26"/>
        <v>0</v>
      </c>
    </row>
    <row r="585" spans="1:28" ht="22.35" customHeight="1" thickBot="1" x14ac:dyDescent="0.3">
      <c r="A585" s="80"/>
      <c r="B585" s="80"/>
      <c r="F585" s="141"/>
      <c r="H585" s="191"/>
      <c r="I585" s="84"/>
      <c r="K585" s="86"/>
      <c r="L585" s="86"/>
      <c r="M585" s="86"/>
      <c r="O585" s="100"/>
      <c r="P585" s="143"/>
      <c r="Q585" s="102"/>
      <c r="R585" s="103"/>
      <c r="S585" s="144" t="s">
        <v>910</v>
      </c>
      <c r="T585" s="112" t="s">
        <v>890</v>
      </c>
      <c r="U585" s="106" t="s">
        <v>1070</v>
      </c>
      <c r="V585" s="107">
        <v>54</v>
      </c>
      <c r="W585" s="108"/>
      <c r="X585" s="109"/>
      <c r="Y585" s="20">
        <f t="shared" si="27"/>
        <v>0</v>
      </c>
      <c r="AA585" s="98">
        <f t="shared" si="25"/>
        <v>0</v>
      </c>
      <c r="AB585" s="98">
        <f t="shared" si="26"/>
        <v>0</v>
      </c>
    </row>
    <row r="586" spans="1:28" ht="22.35" customHeight="1" thickBot="1" x14ac:dyDescent="0.3">
      <c r="A586" s="80"/>
      <c r="B586" s="80"/>
      <c r="F586" s="141"/>
      <c r="H586" s="191"/>
      <c r="I586" s="84"/>
      <c r="K586" s="86"/>
      <c r="L586" s="86"/>
      <c r="M586" s="86"/>
      <c r="O586" s="100"/>
      <c r="P586" s="143"/>
      <c r="Q586" s="102"/>
      <c r="R586" s="103"/>
      <c r="S586" s="144" t="s">
        <v>910</v>
      </c>
      <c r="T586" s="112" t="s">
        <v>890</v>
      </c>
      <c r="U586" s="106" t="s">
        <v>1076</v>
      </c>
      <c r="V586" s="107">
        <v>54</v>
      </c>
      <c r="W586" s="108"/>
      <c r="X586" s="109"/>
      <c r="Y586" s="20">
        <f t="shared" si="27"/>
        <v>0</v>
      </c>
      <c r="AA586" s="98">
        <f t="shared" si="25"/>
        <v>0</v>
      </c>
      <c r="AB586" s="98">
        <f t="shared" si="26"/>
        <v>0</v>
      </c>
    </row>
    <row r="587" spans="1:28" ht="22.35" customHeight="1" thickBot="1" x14ac:dyDescent="0.3">
      <c r="A587" s="209"/>
      <c r="B587" s="209"/>
      <c r="C587" s="210"/>
      <c r="D587" s="211"/>
      <c r="E587" s="211"/>
      <c r="F587" s="236"/>
      <c r="G587" s="213"/>
      <c r="H587" s="191"/>
      <c r="I587" s="238"/>
      <c r="J587" s="211"/>
      <c r="K587" s="215"/>
      <c r="L587" s="215"/>
      <c r="M587" s="215"/>
      <c r="N587" s="216"/>
      <c r="O587" s="239"/>
      <c r="P587" s="240"/>
      <c r="Q587" s="154"/>
      <c r="R587" s="241"/>
      <c r="S587" s="242" t="s">
        <v>910</v>
      </c>
      <c r="T587" s="243" t="s">
        <v>890</v>
      </c>
      <c r="U587" s="244" t="s">
        <v>1076</v>
      </c>
      <c r="V587" s="233">
        <v>54</v>
      </c>
      <c r="W587" s="108"/>
      <c r="X587" s="109"/>
      <c r="Y587" s="20">
        <f t="shared" si="27"/>
        <v>0</v>
      </c>
      <c r="AA587" s="98">
        <f t="shared" si="25"/>
        <v>0</v>
      </c>
      <c r="AB587" s="98">
        <f t="shared" si="26"/>
        <v>0</v>
      </c>
    </row>
    <row r="588" spans="1:28" ht="22.35" customHeight="1" thickBot="1" x14ac:dyDescent="0.3">
      <c r="A588" s="278" t="s">
        <v>965</v>
      </c>
      <c r="B588" s="209" t="s">
        <v>1077</v>
      </c>
      <c r="C588" s="210">
        <v>30</v>
      </c>
      <c r="D588" s="211" t="s">
        <v>1078</v>
      </c>
      <c r="E588" s="211" t="s">
        <v>1079</v>
      </c>
      <c r="F588" s="212" t="s">
        <v>1080</v>
      </c>
      <c r="G588" s="213">
        <v>3</v>
      </c>
      <c r="H588" s="237">
        <v>21.9</v>
      </c>
      <c r="I588" s="213">
        <v>21.42</v>
      </c>
      <c r="J588" s="211" t="s">
        <v>1081</v>
      </c>
      <c r="K588" s="215" t="s">
        <v>1082</v>
      </c>
      <c r="L588" s="215">
        <v>4</v>
      </c>
      <c r="M588" s="215"/>
      <c r="N588" s="216">
        <v>1</v>
      </c>
      <c r="O588" s="247"/>
      <c r="P588" s="248">
        <v>1</v>
      </c>
      <c r="Q588" s="248">
        <v>1</v>
      </c>
      <c r="R588" s="249" t="s">
        <v>371</v>
      </c>
      <c r="S588" s="250" t="s">
        <v>1083</v>
      </c>
      <c r="T588" s="244" t="str">
        <f>INDEX([1]data!$B$1:$B$100,MATCH('04.02 - 10.02'!S588,[0]!exclusive01,))</f>
        <v>VU</v>
      </c>
      <c r="U588" s="244" t="s">
        <v>1084</v>
      </c>
      <c r="V588" s="245">
        <v>54</v>
      </c>
      <c r="W588" s="108"/>
      <c r="X588" s="109" t="s">
        <v>117</v>
      </c>
      <c r="Y588" s="20">
        <f t="shared" si="27"/>
        <v>1</v>
      </c>
      <c r="AA588" s="98">
        <f t="shared" si="25"/>
        <v>0.47999999999999687</v>
      </c>
      <c r="AB588" s="98" t="e">
        <f t="shared" si="26"/>
        <v>#VALUE!</v>
      </c>
    </row>
    <row r="589" spans="1:28" ht="22.35" customHeight="1" thickBot="1" x14ac:dyDescent="0.3">
      <c r="A589" s="80" t="s">
        <v>965</v>
      </c>
      <c r="B589" s="80" t="s">
        <v>1085</v>
      </c>
      <c r="C589" s="81">
        <v>32</v>
      </c>
      <c r="D589" s="23" t="s">
        <v>1086</v>
      </c>
      <c r="E589" s="23" t="s">
        <v>1079</v>
      </c>
      <c r="G589" s="21">
        <v>3</v>
      </c>
      <c r="H589" s="320">
        <v>19.899999999999999</v>
      </c>
      <c r="I589" s="21">
        <v>18.919560000000001</v>
      </c>
      <c r="J589" s="23" t="s">
        <v>1087</v>
      </c>
      <c r="K589" s="86" t="s">
        <v>1088</v>
      </c>
      <c r="L589" s="86">
        <v>4</v>
      </c>
      <c r="M589" s="86"/>
      <c r="O589" s="235"/>
      <c r="P589" s="206"/>
      <c r="Q589" s="206"/>
      <c r="R589" s="207" t="s">
        <v>1089</v>
      </c>
      <c r="S589" s="208" t="s">
        <v>1090</v>
      </c>
      <c r="T589" s="94" t="s">
        <v>890</v>
      </c>
      <c r="U589" s="94" t="s">
        <v>1091</v>
      </c>
      <c r="V589" s="324">
        <v>55</v>
      </c>
      <c r="W589" s="325"/>
      <c r="X589" s="109" t="s">
        <v>45</v>
      </c>
      <c r="Y589" s="20">
        <f t="shared" si="27"/>
        <v>1</v>
      </c>
      <c r="AA589" s="98">
        <f t="shared" si="25"/>
        <v>0.98043999999999798</v>
      </c>
      <c r="AB589" s="98" t="e">
        <f t="shared" si="26"/>
        <v>#VALUE!</v>
      </c>
    </row>
    <row r="590" spans="1:28" ht="22.35" customHeight="1" thickBot="1" x14ac:dyDescent="0.3">
      <c r="A590" s="80" t="s">
        <v>965</v>
      </c>
      <c r="B590" s="80" t="s">
        <v>1092</v>
      </c>
      <c r="C590" s="81">
        <v>3</v>
      </c>
      <c r="D590" s="23" t="s">
        <v>1093</v>
      </c>
      <c r="E590" s="23" t="s">
        <v>1094</v>
      </c>
      <c r="F590" s="82" t="s">
        <v>1095</v>
      </c>
      <c r="G590" s="21">
        <v>3</v>
      </c>
      <c r="H590" s="191">
        <v>119.9</v>
      </c>
      <c r="I590" s="21">
        <v>113.40967000000001</v>
      </c>
      <c r="J590" s="23" t="s">
        <v>1096</v>
      </c>
      <c r="K590" s="86" t="s">
        <v>1097</v>
      </c>
      <c r="L590" s="86">
        <v>4</v>
      </c>
      <c r="M590" s="86"/>
      <c r="O590" s="223"/>
      <c r="P590" s="224"/>
      <c r="Q590" s="224"/>
      <c r="R590" s="225" t="s">
        <v>1007</v>
      </c>
      <c r="S590" s="226" t="s">
        <v>1096</v>
      </c>
      <c r="T590" s="94" t="s">
        <v>890</v>
      </c>
      <c r="U590" s="106" t="s">
        <v>1091</v>
      </c>
      <c r="V590" s="326">
        <v>55</v>
      </c>
      <c r="W590" s="325"/>
      <c r="X590" s="109" t="s">
        <v>55</v>
      </c>
      <c r="Y590" s="20">
        <f t="shared" si="27"/>
        <v>1</v>
      </c>
      <c r="AA590" s="98">
        <f t="shared" si="25"/>
        <v>6.4903300000000002</v>
      </c>
      <c r="AB590" s="98" t="e">
        <f t="shared" si="26"/>
        <v>#VALUE!</v>
      </c>
    </row>
    <row r="591" spans="1:28" ht="22.35" customHeight="1" thickBot="1" x14ac:dyDescent="0.3">
      <c r="A591" s="80" t="s">
        <v>965</v>
      </c>
      <c r="B591" s="80" t="s">
        <v>1098</v>
      </c>
      <c r="C591" s="81">
        <v>20</v>
      </c>
      <c r="D591" s="23" t="s">
        <v>1099</v>
      </c>
      <c r="E591" s="23" t="s">
        <v>1100</v>
      </c>
      <c r="F591" s="82" t="s">
        <v>1101</v>
      </c>
      <c r="H591" s="191">
        <v>17.899999999999999</v>
      </c>
      <c r="I591" s="21">
        <v>16.88</v>
      </c>
      <c r="J591" s="23" t="s">
        <v>1102</v>
      </c>
      <c r="K591" s="86" t="s">
        <v>1103</v>
      </c>
      <c r="L591" s="86">
        <v>4</v>
      </c>
      <c r="M591" s="86"/>
      <c r="O591" s="223"/>
      <c r="P591" s="224"/>
      <c r="Q591" s="224"/>
      <c r="R591" s="225" t="s">
        <v>402</v>
      </c>
      <c r="S591" s="226" t="s">
        <v>1104</v>
      </c>
      <c r="T591" s="94" t="s">
        <v>890</v>
      </c>
      <c r="U591" s="106" t="s">
        <v>1091</v>
      </c>
      <c r="V591" s="326">
        <v>55</v>
      </c>
      <c r="W591" s="325"/>
      <c r="X591" s="109" t="s">
        <v>117</v>
      </c>
      <c r="Y591" s="20">
        <f t="shared" si="27"/>
        <v>1</v>
      </c>
      <c r="AA591" s="98">
        <f t="shared" si="25"/>
        <v>1.0199999999999996</v>
      </c>
      <c r="AB591" s="98" t="e">
        <f t="shared" si="26"/>
        <v>#VALUE!</v>
      </c>
    </row>
    <row r="592" spans="1:28" ht="22.35" customHeight="1" thickBot="1" x14ac:dyDescent="0.3">
      <c r="A592" s="209" t="s">
        <v>103</v>
      </c>
      <c r="B592" s="209" t="s">
        <v>1105</v>
      </c>
      <c r="C592" s="210">
        <v>24</v>
      </c>
      <c r="D592" s="211" t="s">
        <v>1056</v>
      </c>
      <c r="E592" s="211" t="s">
        <v>1106</v>
      </c>
      <c r="F592" s="212" t="s">
        <v>1107</v>
      </c>
      <c r="G592" s="213">
        <v>2</v>
      </c>
      <c r="H592" s="237">
        <v>19.5</v>
      </c>
      <c r="I592" s="213">
        <v>18.149999999999999</v>
      </c>
      <c r="J592" s="211" t="s">
        <v>1058</v>
      </c>
      <c r="K592" s="215" t="s">
        <v>1108</v>
      </c>
      <c r="L592" s="215">
        <v>4</v>
      </c>
      <c r="M592" s="215"/>
      <c r="N592" s="216"/>
      <c r="O592" s="247"/>
      <c r="P592" s="248"/>
      <c r="Q592" s="248"/>
      <c r="R592" s="249" t="s">
        <v>645</v>
      </c>
      <c r="S592" s="250" t="s">
        <v>1109</v>
      </c>
      <c r="T592" s="251" t="s">
        <v>890</v>
      </c>
      <c r="U592" s="244" t="s">
        <v>1091</v>
      </c>
      <c r="V592" s="245">
        <v>55</v>
      </c>
      <c r="W592" s="327"/>
      <c r="X592" s="161" t="s">
        <v>119</v>
      </c>
      <c r="Y592" s="20">
        <f t="shared" si="27"/>
        <v>1</v>
      </c>
      <c r="AA592" s="98">
        <f t="shared" si="25"/>
        <v>1.3500000000000014</v>
      </c>
      <c r="AB592" s="98" t="e">
        <f t="shared" si="26"/>
        <v>#VALUE!</v>
      </c>
    </row>
    <row r="593" spans="1:28" ht="22.35" customHeight="1" thickBot="1" x14ac:dyDescent="0.3">
      <c r="A593" s="328"/>
      <c r="B593" s="328"/>
      <c r="C593" s="329"/>
      <c r="D593" s="330" t="s">
        <v>1110</v>
      </c>
      <c r="E593" s="331"/>
      <c r="F593" s="332"/>
      <c r="G593" s="333"/>
      <c r="H593" s="334"/>
      <c r="I593" s="333"/>
      <c r="J593" s="331"/>
      <c r="K593" s="335"/>
      <c r="L593" s="335"/>
      <c r="M593" s="335"/>
      <c r="N593" s="336"/>
      <c r="O593" s="336"/>
      <c r="P593" s="336"/>
      <c r="Q593" s="336"/>
      <c r="R593" s="337"/>
      <c r="S593" s="338"/>
      <c r="T593" s="339" t="s">
        <v>890</v>
      </c>
      <c r="U593" s="333"/>
      <c r="V593" s="340"/>
      <c r="W593" s="333"/>
      <c r="X593" s="341"/>
      <c r="Y593" s="20">
        <f t="shared" si="27"/>
        <v>0</v>
      </c>
      <c r="AA593" s="98">
        <f t="shared" si="25"/>
        <v>0</v>
      </c>
      <c r="AB593" s="98">
        <f t="shared" si="26"/>
        <v>0</v>
      </c>
    </row>
    <row r="594" spans="1:28" ht="22.35" customHeight="1" thickBot="1" x14ac:dyDescent="0.3">
      <c r="A594" s="80" t="s">
        <v>103</v>
      </c>
      <c r="B594" s="80" t="s">
        <v>1111</v>
      </c>
      <c r="C594" s="81">
        <v>48</v>
      </c>
      <c r="D594" s="23" t="s">
        <v>1112</v>
      </c>
      <c r="E594" s="23" t="s">
        <v>1113</v>
      </c>
      <c r="F594" s="141" t="s">
        <v>86</v>
      </c>
      <c r="G594" s="21">
        <v>4</v>
      </c>
      <c r="H594" s="246">
        <v>10.9</v>
      </c>
      <c r="I594" s="84">
        <v>10.53</v>
      </c>
      <c r="J594" s="23" t="s">
        <v>1114</v>
      </c>
      <c r="K594" s="142" t="s">
        <v>1115</v>
      </c>
      <c r="L594" s="86">
        <v>1</v>
      </c>
      <c r="M594" s="86"/>
      <c r="O594" s="88"/>
      <c r="P594" s="136"/>
      <c r="Q594" s="90"/>
      <c r="R594" s="91" t="s">
        <v>1116</v>
      </c>
      <c r="S594" s="139" t="s">
        <v>910</v>
      </c>
      <c r="T594" s="140" t="s">
        <v>890</v>
      </c>
      <c r="U594" s="94" t="s">
        <v>1117</v>
      </c>
      <c r="V594" s="95">
        <v>56</v>
      </c>
      <c r="W594" s="96"/>
      <c r="X594" s="97" t="s">
        <v>55</v>
      </c>
      <c r="Y594" s="20">
        <f t="shared" si="27"/>
        <v>1</v>
      </c>
      <c r="AA594" s="98">
        <f t="shared" si="25"/>
        <v>0.37000000000000099</v>
      </c>
      <c r="AB594" s="98" t="e">
        <f t="shared" si="26"/>
        <v>#VALUE!</v>
      </c>
    </row>
    <row r="595" spans="1:28" ht="22.35" customHeight="1" thickBot="1" x14ac:dyDescent="0.3">
      <c r="A595" s="80" t="s">
        <v>103</v>
      </c>
      <c r="B595" s="80" t="s">
        <v>1118</v>
      </c>
      <c r="C595" s="81">
        <v>30</v>
      </c>
      <c r="D595" s="23" t="s">
        <v>1119</v>
      </c>
      <c r="E595" s="23" t="s">
        <v>1120</v>
      </c>
      <c r="F595" s="141" t="s">
        <v>1121</v>
      </c>
      <c r="G595" s="21" t="s">
        <v>108</v>
      </c>
      <c r="H595" s="191">
        <v>18.5</v>
      </c>
      <c r="I595" s="84">
        <v>17.55</v>
      </c>
      <c r="J595" s="23" t="s">
        <v>1122</v>
      </c>
      <c r="K595" s="86" t="s">
        <v>1123</v>
      </c>
      <c r="L595" s="86">
        <v>1</v>
      </c>
      <c r="M595" s="86"/>
      <c r="O595" s="100"/>
      <c r="P595" s="143"/>
      <c r="Q595" s="102"/>
      <c r="R595" s="103" t="s">
        <v>340</v>
      </c>
      <c r="S595" s="144" t="s">
        <v>910</v>
      </c>
      <c r="T595" s="112" t="s">
        <v>890</v>
      </c>
      <c r="U595" s="106" t="s">
        <v>1117</v>
      </c>
      <c r="V595" s="107">
        <v>56</v>
      </c>
      <c r="W595" s="108"/>
      <c r="X595" s="109" t="s">
        <v>59</v>
      </c>
      <c r="Y595" s="20">
        <f t="shared" si="27"/>
        <v>1</v>
      </c>
      <c r="AA595" s="98">
        <f t="shared" si="25"/>
        <v>0.94999999999999929</v>
      </c>
      <c r="AB595" s="98" t="e">
        <f t="shared" si="26"/>
        <v>#VALUE!</v>
      </c>
    </row>
    <row r="596" spans="1:28" ht="22.35" customHeight="1" thickBot="1" x14ac:dyDescent="0.3">
      <c r="A596" s="80" t="s">
        <v>103</v>
      </c>
      <c r="B596" s="80" t="s">
        <v>1124</v>
      </c>
      <c r="C596" s="81">
        <v>24</v>
      </c>
      <c r="D596" s="23" t="s">
        <v>1125</v>
      </c>
      <c r="E596" s="23" t="s">
        <v>1126</v>
      </c>
      <c r="F596" s="141" t="s">
        <v>1127</v>
      </c>
      <c r="G596" s="21" t="s">
        <v>108</v>
      </c>
      <c r="H596" s="191">
        <v>24.9</v>
      </c>
      <c r="I596" s="84">
        <v>21.960290000000001</v>
      </c>
      <c r="J596" s="23" t="s">
        <v>1128</v>
      </c>
      <c r="K596" s="86" t="s">
        <v>1129</v>
      </c>
      <c r="L596" s="86">
        <v>1</v>
      </c>
      <c r="M596" s="86"/>
      <c r="O596" s="100"/>
      <c r="P596" s="143"/>
      <c r="Q596" s="102"/>
      <c r="R596" s="103" t="s">
        <v>448</v>
      </c>
      <c r="S596" s="144" t="s">
        <v>910</v>
      </c>
      <c r="T596" s="112" t="s">
        <v>890</v>
      </c>
      <c r="U596" s="106" t="s">
        <v>1117</v>
      </c>
      <c r="V596" s="107">
        <v>56</v>
      </c>
      <c r="W596" s="108"/>
      <c r="X596" s="109" t="s">
        <v>282</v>
      </c>
      <c r="Y596" s="20">
        <f t="shared" si="27"/>
        <v>1</v>
      </c>
      <c r="AA596" s="98">
        <f t="shared" si="25"/>
        <v>2.939709999999998</v>
      </c>
      <c r="AB596" s="98" t="e">
        <f t="shared" si="26"/>
        <v>#VALUE!</v>
      </c>
    </row>
    <row r="597" spans="1:28" ht="22.35" customHeight="1" thickBot="1" x14ac:dyDescent="0.3">
      <c r="A597" s="80" t="s">
        <v>478</v>
      </c>
      <c r="B597" s="80" t="s">
        <v>1130</v>
      </c>
      <c r="C597" s="81">
        <v>18</v>
      </c>
      <c r="D597" s="23" t="s">
        <v>1131</v>
      </c>
      <c r="E597" s="23" t="s">
        <v>1132</v>
      </c>
      <c r="F597" s="141"/>
      <c r="G597" s="21">
        <v>1</v>
      </c>
      <c r="H597" s="191">
        <v>22.5</v>
      </c>
      <c r="I597" s="84">
        <v>21.01</v>
      </c>
      <c r="J597" s="23" t="s">
        <v>942</v>
      </c>
      <c r="K597" s="86" t="s">
        <v>1133</v>
      </c>
      <c r="L597" s="86">
        <v>4</v>
      </c>
      <c r="M597" s="86"/>
      <c r="O597" s="100"/>
      <c r="P597" s="143"/>
      <c r="Q597" s="102"/>
      <c r="R597" s="103" t="s">
        <v>371</v>
      </c>
      <c r="S597" s="144" t="s">
        <v>910</v>
      </c>
      <c r="T597" s="112" t="s">
        <v>890</v>
      </c>
      <c r="U597" s="106"/>
      <c r="V597" s="107">
        <v>56</v>
      </c>
      <c r="W597" s="108"/>
      <c r="X597" s="109" t="s">
        <v>179</v>
      </c>
      <c r="Y597" s="20">
        <f t="shared" si="27"/>
        <v>1</v>
      </c>
      <c r="AA597" s="98">
        <f t="shared" si="25"/>
        <v>1.4899999999999984</v>
      </c>
      <c r="AB597" s="98" t="e">
        <f t="shared" si="26"/>
        <v>#VALUE!</v>
      </c>
    </row>
    <row r="598" spans="1:28" ht="22.35" customHeight="1" thickBot="1" x14ac:dyDescent="0.3">
      <c r="A598" s="80" t="s">
        <v>103</v>
      </c>
      <c r="B598" s="80" t="s">
        <v>1134</v>
      </c>
      <c r="C598" s="81">
        <v>12</v>
      </c>
      <c r="D598" s="23" t="s">
        <v>1135</v>
      </c>
      <c r="E598" s="23" t="s">
        <v>1136</v>
      </c>
      <c r="F598" s="141"/>
      <c r="G598" s="21">
        <v>2</v>
      </c>
      <c r="H598" s="191">
        <v>36.9</v>
      </c>
      <c r="I598" s="84">
        <v>32.26</v>
      </c>
      <c r="J598" s="23" t="s">
        <v>1050</v>
      </c>
      <c r="K598" s="86" t="s">
        <v>1137</v>
      </c>
      <c r="L598" s="86">
        <v>1</v>
      </c>
      <c r="M598" s="86"/>
      <c r="O598" s="100"/>
      <c r="P598" s="143"/>
      <c r="Q598" s="102"/>
      <c r="R598" s="103" t="s">
        <v>111</v>
      </c>
      <c r="S598" s="144" t="s">
        <v>910</v>
      </c>
      <c r="T598" s="112" t="s">
        <v>890</v>
      </c>
      <c r="U598" s="106"/>
      <c r="V598" s="107">
        <v>56</v>
      </c>
      <c r="W598" s="108"/>
      <c r="X598" s="109" t="s">
        <v>288</v>
      </c>
      <c r="Y598" s="20">
        <f t="shared" si="27"/>
        <v>1</v>
      </c>
      <c r="AA598" s="98">
        <f t="shared" si="25"/>
        <v>4.6400000000000006</v>
      </c>
      <c r="AB598" s="98" t="e">
        <f t="shared" si="26"/>
        <v>#VALUE!</v>
      </c>
    </row>
    <row r="599" spans="1:28" ht="22.35" customHeight="1" thickBot="1" x14ac:dyDescent="0.3">
      <c r="A599" s="80"/>
      <c r="B599" s="80"/>
      <c r="F599" s="141"/>
      <c r="H599" s="191"/>
      <c r="I599" s="84"/>
      <c r="K599" s="86"/>
      <c r="L599" s="86"/>
      <c r="M599" s="86"/>
      <c r="O599" s="100"/>
      <c r="P599" s="143"/>
      <c r="Q599" s="102"/>
      <c r="R599" s="103"/>
      <c r="S599" s="144" t="s">
        <v>910</v>
      </c>
      <c r="T599" s="112" t="s">
        <v>890</v>
      </c>
      <c r="U599" s="106" t="s">
        <v>1138</v>
      </c>
      <c r="V599" s="107">
        <v>56</v>
      </c>
      <c r="W599" s="108"/>
      <c r="X599" s="109"/>
      <c r="Y599" s="20">
        <f t="shared" si="27"/>
        <v>0</v>
      </c>
      <c r="AA599" s="98">
        <f t="shared" si="25"/>
        <v>0</v>
      </c>
      <c r="AB599" s="98">
        <f t="shared" si="26"/>
        <v>0</v>
      </c>
    </row>
    <row r="600" spans="1:28" ht="22.35" customHeight="1" thickBot="1" x14ac:dyDescent="0.3">
      <c r="A600" s="80"/>
      <c r="B600" s="80"/>
      <c r="F600" s="141"/>
      <c r="H600" s="191"/>
      <c r="I600" s="84"/>
      <c r="K600" s="86"/>
      <c r="L600" s="86"/>
      <c r="M600" s="86"/>
      <c r="O600" s="100"/>
      <c r="P600" s="143"/>
      <c r="Q600" s="102"/>
      <c r="R600" s="103"/>
      <c r="S600" s="144" t="s">
        <v>910</v>
      </c>
      <c r="T600" s="112" t="s">
        <v>890</v>
      </c>
      <c r="U600" s="106" t="s">
        <v>1139</v>
      </c>
      <c r="V600" s="107">
        <v>56</v>
      </c>
      <c r="W600" s="108"/>
      <c r="X600" s="109"/>
      <c r="Y600" s="20">
        <f t="shared" si="27"/>
        <v>0</v>
      </c>
      <c r="AA600" s="98">
        <f t="shared" si="25"/>
        <v>0</v>
      </c>
      <c r="AB600" s="98">
        <f t="shared" si="26"/>
        <v>0</v>
      </c>
    </row>
    <row r="601" spans="1:28" ht="22.35" customHeight="1" thickBot="1" x14ac:dyDescent="0.3">
      <c r="A601" s="209"/>
      <c r="B601" s="209"/>
      <c r="C601" s="210"/>
      <c r="D601" s="211"/>
      <c r="E601" s="211"/>
      <c r="F601" s="236"/>
      <c r="G601" s="213"/>
      <c r="H601" s="191"/>
      <c r="I601" s="238"/>
      <c r="J601" s="211"/>
      <c r="K601" s="215"/>
      <c r="L601" s="215"/>
      <c r="M601" s="215"/>
      <c r="N601" s="216"/>
      <c r="O601" s="239"/>
      <c r="P601" s="240"/>
      <c r="Q601" s="154"/>
      <c r="R601" s="241"/>
      <c r="S601" s="242" t="s">
        <v>910</v>
      </c>
      <c r="T601" s="243" t="s">
        <v>890</v>
      </c>
      <c r="U601" s="244" t="s">
        <v>1140</v>
      </c>
      <c r="V601" s="233">
        <v>56</v>
      </c>
      <c r="W601" s="108"/>
      <c r="X601" s="109"/>
      <c r="Y601" s="20">
        <f t="shared" si="27"/>
        <v>0</v>
      </c>
      <c r="AA601" s="98">
        <f t="shared" si="25"/>
        <v>0</v>
      </c>
      <c r="AB601" s="98">
        <f t="shared" si="26"/>
        <v>0</v>
      </c>
    </row>
    <row r="602" spans="1:28" ht="22.35" customHeight="1" thickBot="1" x14ac:dyDescent="0.3">
      <c r="A602" s="285" t="s">
        <v>1141</v>
      </c>
      <c r="B602" s="285">
        <v>5900516112066</v>
      </c>
      <c r="C602" s="286">
        <v>50</v>
      </c>
      <c r="D602" s="287" t="s">
        <v>1142</v>
      </c>
      <c r="E602" s="287" t="s">
        <v>1143</v>
      </c>
      <c r="F602" s="288" t="s">
        <v>1144</v>
      </c>
      <c r="G602" s="289">
        <v>4</v>
      </c>
      <c r="H602" s="277">
        <v>14.9</v>
      </c>
      <c r="I602" s="289">
        <v>13.9392</v>
      </c>
      <c r="J602" s="287" t="s">
        <v>1145</v>
      </c>
      <c r="K602" s="291">
        <v>7122770</v>
      </c>
      <c r="L602" s="291">
        <v>4</v>
      </c>
      <c r="M602" s="291"/>
      <c r="N602" s="292"/>
      <c r="O602" s="293"/>
      <c r="P602" s="294"/>
      <c r="Q602" s="294"/>
      <c r="R602" s="295" t="s">
        <v>1146</v>
      </c>
      <c r="S602" s="296" t="s">
        <v>1147</v>
      </c>
      <c r="T602" s="94" t="s">
        <v>890</v>
      </c>
      <c r="U602" s="297" t="s">
        <v>1148</v>
      </c>
      <c r="V602" s="298">
        <v>56</v>
      </c>
      <c r="W602" s="108"/>
      <c r="X602" s="109" t="s">
        <v>117</v>
      </c>
      <c r="Y602" s="20">
        <f t="shared" si="27"/>
        <v>1</v>
      </c>
      <c r="AA602" s="98">
        <f t="shared" si="25"/>
        <v>0.96080000000000076</v>
      </c>
      <c r="AB602" s="98" t="e">
        <f t="shared" si="26"/>
        <v>#VALUE!</v>
      </c>
    </row>
    <row r="603" spans="1:28" ht="22.35" customHeight="1" thickBot="1" x14ac:dyDescent="0.3">
      <c r="A603" s="209">
        <v>999</v>
      </c>
      <c r="B603" s="209" t="s">
        <v>1149</v>
      </c>
      <c r="C603" s="210">
        <v>12</v>
      </c>
      <c r="D603" s="211" t="s">
        <v>1150</v>
      </c>
      <c r="E603" s="211" t="s">
        <v>1132</v>
      </c>
      <c r="F603" s="212"/>
      <c r="G603" s="213">
        <v>2</v>
      </c>
      <c r="H603" s="191">
        <v>36.5</v>
      </c>
      <c r="I603" s="213">
        <v>34.396999999999998</v>
      </c>
      <c r="J603" s="211" t="s">
        <v>1151</v>
      </c>
      <c r="K603" s="215" t="s">
        <v>1152</v>
      </c>
      <c r="L603" s="215">
        <v>4</v>
      </c>
      <c r="M603" s="215"/>
      <c r="N603" s="216"/>
      <c r="O603" s="247"/>
      <c r="P603" s="248"/>
      <c r="Q603" s="248"/>
      <c r="R603" s="249" t="s">
        <v>334</v>
      </c>
      <c r="S603" s="250" t="s">
        <v>1151</v>
      </c>
      <c r="T603" s="125" t="s">
        <v>890</v>
      </c>
      <c r="U603" s="244" t="s">
        <v>575</v>
      </c>
      <c r="V603" s="245">
        <v>56</v>
      </c>
      <c r="W603" s="160"/>
      <c r="X603" s="161" t="s">
        <v>45</v>
      </c>
      <c r="Y603" s="20">
        <f t="shared" si="27"/>
        <v>1</v>
      </c>
      <c r="AA603" s="98">
        <f>H603-I603</f>
        <v>2.1030000000000015</v>
      </c>
      <c r="AB603" s="98" t="e">
        <f>R603-H603</f>
        <v>#VALUE!</v>
      </c>
    </row>
    <row r="604" spans="1:28" ht="22.35" customHeight="1" thickBot="1" x14ac:dyDescent="0.3">
      <c r="A604" s="80"/>
      <c r="B604" s="80" t="s">
        <v>1153</v>
      </c>
      <c r="C604" s="81">
        <v>24</v>
      </c>
      <c r="D604" s="23" t="s">
        <v>1154</v>
      </c>
      <c r="E604" s="23" t="s">
        <v>1155</v>
      </c>
      <c r="G604" s="21" t="s">
        <v>108</v>
      </c>
      <c r="H604" s="277">
        <v>24.9</v>
      </c>
      <c r="I604" s="21">
        <v>22.99</v>
      </c>
      <c r="J604" s="23" t="s">
        <v>1156</v>
      </c>
      <c r="K604" s="86" t="s">
        <v>1157</v>
      </c>
      <c r="L604" s="86">
        <v>4</v>
      </c>
      <c r="M604" s="86" t="s">
        <v>1158</v>
      </c>
      <c r="O604" s="235"/>
      <c r="P604" s="206"/>
      <c r="Q604" s="206"/>
      <c r="R604" s="207" t="s">
        <v>938</v>
      </c>
      <c r="S604" s="208" t="s">
        <v>1159</v>
      </c>
      <c r="T604" s="94" t="s">
        <v>890</v>
      </c>
      <c r="U604" s="94" t="s">
        <v>1160</v>
      </c>
      <c r="V604" s="324">
        <v>57</v>
      </c>
      <c r="W604" s="108"/>
      <c r="X604" s="109" t="s">
        <v>45</v>
      </c>
      <c r="Y604" s="20">
        <f t="shared" si="27"/>
        <v>1</v>
      </c>
      <c r="AA604" s="98">
        <f t="shared" si="25"/>
        <v>1.9100000000000001</v>
      </c>
      <c r="AB604" s="98" t="e">
        <f t="shared" si="26"/>
        <v>#VALUE!</v>
      </c>
    </row>
    <row r="605" spans="1:28" ht="22.35" customHeight="1" thickBot="1" x14ac:dyDescent="0.3">
      <c r="A605" s="80">
        <v>10</v>
      </c>
      <c r="B605" s="80" t="s">
        <v>1161</v>
      </c>
      <c r="C605" s="81">
        <v>12</v>
      </c>
      <c r="D605" s="23" t="s">
        <v>1162</v>
      </c>
      <c r="E605" s="23" t="s">
        <v>992</v>
      </c>
      <c r="F605" s="82" t="s">
        <v>1163</v>
      </c>
      <c r="G605" s="21">
        <v>4</v>
      </c>
      <c r="H605" s="191">
        <v>54.9</v>
      </c>
      <c r="I605" s="21">
        <v>50.650599999999997</v>
      </c>
      <c r="J605" s="23" t="s">
        <v>1013</v>
      </c>
      <c r="K605" s="86" t="s">
        <v>1164</v>
      </c>
      <c r="L605" s="86">
        <v>4</v>
      </c>
      <c r="M605" s="86" t="s">
        <v>1165</v>
      </c>
      <c r="N605" s="87">
        <v>43.534399999999998</v>
      </c>
      <c r="O605" s="223"/>
      <c r="P605" s="224"/>
      <c r="Q605" s="224"/>
      <c r="R605" s="225" t="s">
        <v>304</v>
      </c>
      <c r="S605" s="226" t="s">
        <v>1166</v>
      </c>
      <c r="T605" s="94" t="s">
        <v>890</v>
      </c>
      <c r="U605" s="106" t="s">
        <v>1160</v>
      </c>
      <c r="V605" s="326">
        <v>57</v>
      </c>
      <c r="W605" s="108"/>
      <c r="X605" s="109" t="s">
        <v>55</v>
      </c>
      <c r="Y605" s="20">
        <f t="shared" si="27"/>
        <v>1</v>
      </c>
      <c r="AA605" s="98">
        <f t="shared" si="25"/>
        <v>4.2494000000000014</v>
      </c>
      <c r="AB605" s="98" t="e">
        <f t="shared" si="26"/>
        <v>#VALUE!</v>
      </c>
    </row>
    <row r="606" spans="1:28" ht="22.35" customHeight="1" thickBot="1" x14ac:dyDescent="0.3">
      <c r="A606" s="80" t="s">
        <v>103</v>
      </c>
      <c r="B606" s="80" t="s">
        <v>1167</v>
      </c>
      <c r="C606" s="81">
        <v>24</v>
      </c>
      <c r="D606" s="23" t="s">
        <v>1168</v>
      </c>
      <c r="E606" s="23" t="s">
        <v>1169</v>
      </c>
      <c r="F606" s="82" t="s">
        <v>1170</v>
      </c>
      <c r="G606" s="21">
        <v>2</v>
      </c>
      <c r="H606" s="191">
        <v>18.899999999999999</v>
      </c>
      <c r="I606" s="21">
        <v>17.61</v>
      </c>
      <c r="J606" s="23" t="s">
        <v>1171</v>
      </c>
      <c r="K606" s="86" t="s">
        <v>1172</v>
      </c>
      <c r="L606" s="86">
        <v>4</v>
      </c>
      <c r="M606" s="86" t="s">
        <v>1173</v>
      </c>
      <c r="O606" s="223"/>
      <c r="P606" s="224"/>
      <c r="Q606" s="224"/>
      <c r="R606" s="225" t="s">
        <v>340</v>
      </c>
      <c r="S606" s="226" t="s">
        <v>1171</v>
      </c>
      <c r="T606" s="94" t="s">
        <v>890</v>
      </c>
      <c r="U606" s="106" t="s">
        <v>1174</v>
      </c>
      <c r="V606" s="326">
        <v>57</v>
      </c>
      <c r="W606" s="108"/>
      <c r="X606" s="109" t="s">
        <v>117</v>
      </c>
      <c r="Y606" s="20">
        <f t="shared" si="27"/>
        <v>1</v>
      </c>
      <c r="AA606" s="98">
        <f t="shared" si="25"/>
        <v>1.2899999999999991</v>
      </c>
      <c r="AB606" s="98" t="e">
        <f t="shared" si="26"/>
        <v>#VALUE!</v>
      </c>
    </row>
    <row r="607" spans="1:28" ht="22.35" customHeight="1" thickBot="1" x14ac:dyDescent="0.3">
      <c r="A607" s="209">
        <v>12</v>
      </c>
      <c r="B607" s="209" t="s">
        <v>1175</v>
      </c>
      <c r="C607" s="210">
        <v>60</v>
      </c>
      <c r="D607" s="211" t="s">
        <v>1176</v>
      </c>
      <c r="E607" s="211" t="s">
        <v>1177</v>
      </c>
      <c r="F607" s="212" t="s">
        <v>1178</v>
      </c>
      <c r="G607" s="213" t="s">
        <v>108</v>
      </c>
      <c r="H607" s="277">
        <v>29.9</v>
      </c>
      <c r="I607" s="213">
        <v>28.47200804128677</v>
      </c>
      <c r="J607" s="211" t="s">
        <v>1179</v>
      </c>
      <c r="K607" s="215" t="s">
        <v>1180</v>
      </c>
      <c r="L607" s="215">
        <v>4</v>
      </c>
      <c r="M607" s="215" t="s">
        <v>1181</v>
      </c>
      <c r="N607" s="216" t="e">
        <v>#VALUE!</v>
      </c>
      <c r="O607" s="247"/>
      <c r="P607" s="248"/>
      <c r="Q607" s="248"/>
      <c r="R607" s="249" t="s">
        <v>327</v>
      </c>
      <c r="S607" s="250" t="s">
        <v>1179</v>
      </c>
      <c r="T607" s="251" t="s">
        <v>890</v>
      </c>
      <c r="U607" s="244" t="s">
        <v>1182</v>
      </c>
      <c r="V607" s="245">
        <v>57</v>
      </c>
      <c r="W607" s="108"/>
      <c r="X607" s="109" t="s">
        <v>119</v>
      </c>
      <c r="Y607" s="20">
        <f t="shared" si="27"/>
        <v>1</v>
      </c>
      <c r="AA607" s="98">
        <f t="shared" si="25"/>
        <v>1.4279919587132284</v>
      </c>
      <c r="AB607" s="98" t="e">
        <f t="shared" si="26"/>
        <v>#VALUE!</v>
      </c>
    </row>
    <row r="608" spans="1:28" ht="22.35" customHeight="1" thickBot="1" x14ac:dyDescent="0.3">
      <c r="A608" s="127"/>
      <c r="B608" s="127"/>
      <c r="C608" s="128"/>
      <c r="D608" s="129"/>
      <c r="E608" s="129"/>
      <c r="F608" s="130"/>
      <c r="G608" s="132"/>
      <c r="H608" s="191"/>
      <c r="I608" s="158"/>
      <c r="J608" s="129" t="s">
        <v>1183</v>
      </c>
      <c r="K608" s="159"/>
      <c r="L608" s="133">
        <v>16</v>
      </c>
      <c r="M608" s="133"/>
      <c r="N608" s="134"/>
      <c r="O608" s="135"/>
      <c r="P608" s="136"/>
      <c r="Q608" s="137"/>
      <c r="R608" s="138"/>
      <c r="S608" s="144" t="s">
        <v>138</v>
      </c>
      <c r="T608" s="112" t="s">
        <v>890</v>
      </c>
      <c r="U608" s="106"/>
      <c r="V608" s="107">
        <v>58</v>
      </c>
      <c r="W608" s="96"/>
      <c r="X608" s="97" t="s">
        <v>45</v>
      </c>
      <c r="Y608" s="20">
        <f t="shared" si="27"/>
        <v>0</v>
      </c>
      <c r="AA608" s="98">
        <f t="shared" si="25"/>
        <v>0</v>
      </c>
      <c r="AB608" s="98">
        <f t="shared" si="26"/>
        <v>0</v>
      </c>
    </row>
    <row r="609" spans="1:35" ht="22.35" customHeight="1" thickBot="1" x14ac:dyDescent="0.3">
      <c r="A609" s="80">
        <v>12</v>
      </c>
      <c r="B609" s="80" t="s">
        <v>1184</v>
      </c>
      <c r="C609" s="81">
        <v>48</v>
      </c>
      <c r="D609" s="23" t="s">
        <v>1185</v>
      </c>
      <c r="F609" s="141"/>
      <c r="G609" s="21" t="s">
        <v>89</v>
      </c>
      <c r="H609" s="191" t="s">
        <v>1186</v>
      </c>
      <c r="I609" s="84">
        <v>33.759</v>
      </c>
      <c r="J609" s="23" t="s">
        <v>1013</v>
      </c>
      <c r="K609" s="86" t="s">
        <v>1187</v>
      </c>
      <c r="L609" s="86"/>
      <c r="M609" s="86" t="s">
        <v>1188</v>
      </c>
      <c r="O609" s="100"/>
      <c r="P609" s="143"/>
      <c r="Q609" s="102"/>
      <c r="R609" s="103">
        <v>37.5</v>
      </c>
      <c r="S609" s="144" t="s">
        <v>138</v>
      </c>
      <c r="T609" s="112" t="s">
        <v>890</v>
      </c>
      <c r="U609" s="106"/>
      <c r="V609" s="107">
        <v>58</v>
      </c>
      <c r="W609" s="108"/>
      <c r="X609" s="109"/>
      <c r="Y609" s="20">
        <f t="shared" si="27"/>
        <v>1</v>
      </c>
      <c r="AA609" s="98" t="e">
        <f t="shared" si="25"/>
        <v>#VALUE!</v>
      </c>
      <c r="AB609" s="98" t="e">
        <f t="shared" si="26"/>
        <v>#VALUE!</v>
      </c>
    </row>
    <row r="610" spans="1:35" ht="22.35" customHeight="1" thickBot="1" x14ac:dyDescent="0.3">
      <c r="A610" s="80">
        <v>12</v>
      </c>
      <c r="B610" s="80">
        <v>8697755699423</v>
      </c>
      <c r="C610" s="81">
        <v>24</v>
      </c>
      <c r="D610" s="23" t="s">
        <v>1189</v>
      </c>
      <c r="F610" s="141"/>
      <c r="G610" s="21" t="s">
        <v>89</v>
      </c>
      <c r="H610" s="191" t="s">
        <v>1190</v>
      </c>
      <c r="I610" s="84">
        <v>23.494327999999999</v>
      </c>
      <c r="J610" s="23" t="s">
        <v>1013</v>
      </c>
      <c r="K610" s="86" t="s">
        <v>1191</v>
      </c>
      <c r="L610" s="86" t="s">
        <v>1013</v>
      </c>
      <c r="M610" s="86" t="s">
        <v>1192</v>
      </c>
      <c r="O610" s="100"/>
      <c r="P610" s="143"/>
      <c r="Q610" s="102"/>
      <c r="R610" s="103">
        <v>26.5</v>
      </c>
      <c r="S610" s="144" t="s">
        <v>138</v>
      </c>
      <c r="T610" s="112" t="s">
        <v>890</v>
      </c>
      <c r="U610" s="106"/>
      <c r="V610" s="107">
        <v>58</v>
      </c>
      <c r="W610" s="108"/>
      <c r="X610" s="109"/>
      <c r="Y610" s="20">
        <f t="shared" si="27"/>
        <v>1</v>
      </c>
      <c r="AA610" s="98" t="e">
        <f t="shared" si="25"/>
        <v>#VALUE!</v>
      </c>
      <c r="AB610" s="98" t="e">
        <f t="shared" si="26"/>
        <v>#VALUE!</v>
      </c>
    </row>
    <row r="611" spans="1:35" ht="22.35" customHeight="1" thickBot="1" x14ac:dyDescent="0.3">
      <c r="A611" s="80">
        <v>12</v>
      </c>
      <c r="B611" s="80">
        <v>8696630138330</v>
      </c>
      <c r="C611" s="81">
        <v>24</v>
      </c>
      <c r="D611" s="23" t="s">
        <v>1193</v>
      </c>
      <c r="F611" s="141"/>
      <c r="G611" s="21" t="s">
        <v>89</v>
      </c>
      <c r="H611" s="191" t="s">
        <v>826</v>
      </c>
      <c r="I611" s="84">
        <v>16.774471999999999</v>
      </c>
      <c r="J611" s="23" t="s">
        <v>1013</v>
      </c>
      <c r="K611" s="86" t="s">
        <v>1194</v>
      </c>
      <c r="L611" s="86" t="s">
        <v>1013</v>
      </c>
      <c r="M611" s="86" t="s">
        <v>1195</v>
      </c>
      <c r="O611" s="100"/>
      <c r="P611" s="143"/>
      <c r="Q611" s="102"/>
      <c r="R611" s="103">
        <v>18.899999999999999</v>
      </c>
      <c r="S611" s="144" t="s">
        <v>138</v>
      </c>
      <c r="T611" s="112" t="s">
        <v>890</v>
      </c>
      <c r="U611" s="106"/>
      <c r="V611" s="107">
        <v>58</v>
      </c>
      <c r="W611" s="108"/>
      <c r="X611" s="109"/>
      <c r="Y611" s="20">
        <f t="shared" si="27"/>
        <v>1</v>
      </c>
      <c r="AA611" s="98" t="e">
        <f t="shared" si="25"/>
        <v>#VALUE!</v>
      </c>
      <c r="AB611" s="98" t="e">
        <f t="shared" si="26"/>
        <v>#VALUE!</v>
      </c>
    </row>
    <row r="612" spans="1:35" ht="22.35" customHeight="1" thickBot="1" x14ac:dyDescent="0.3">
      <c r="A612" s="80"/>
      <c r="B612" s="80"/>
      <c r="F612" s="141"/>
      <c r="H612" s="191"/>
      <c r="I612" s="84"/>
      <c r="K612" s="86"/>
      <c r="L612" s="86"/>
      <c r="M612" s="86"/>
      <c r="O612" s="100"/>
      <c r="P612" s="143"/>
      <c r="Q612" s="102"/>
      <c r="R612" s="103"/>
      <c r="S612" s="144" t="s">
        <v>138</v>
      </c>
      <c r="T612" s="112" t="s">
        <v>890</v>
      </c>
      <c r="U612" s="106"/>
      <c r="V612" s="107">
        <v>58</v>
      </c>
      <c r="W612" s="108"/>
      <c r="X612" s="109"/>
      <c r="Y612" s="20">
        <f t="shared" si="27"/>
        <v>0</v>
      </c>
      <c r="AA612" s="98">
        <f t="shared" si="25"/>
        <v>0</v>
      </c>
      <c r="AB612" s="98">
        <f t="shared" si="26"/>
        <v>0</v>
      </c>
    </row>
    <row r="613" spans="1:35" ht="22.35" customHeight="1" thickBot="1" x14ac:dyDescent="0.3">
      <c r="A613" s="80"/>
      <c r="B613" s="80"/>
      <c r="F613" s="22"/>
      <c r="H613" s="191"/>
      <c r="I613" s="84"/>
      <c r="K613" s="86"/>
      <c r="L613" s="86"/>
      <c r="M613" s="86"/>
      <c r="O613" s="100"/>
      <c r="P613" s="143"/>
      <c r="Q613" s="102"/>
      <c r="R613" s="103"/>
      <c r="S613" s="144" t="s">
        <v>138</v>
      </c>
      <c r="T613" s="112" t="s">
        <v>890</v>
      </c>
      <c r="U613" s="106"/>
      <c r="V613" s="107">
        <v>58</v>
      </c>
      <c r="W613" s="108"/>
      <c r="X613" s="109"/>
      <c r="Y613" s="20">
        <f t="shared" si="27"/>
        <v>0</v>
      </c>
      <c r="AA613" s="98">
        <f t="shared" si="25"/>
        <v>0</v>
      </c>
      <c r="AB613" s="98">
        <f t="shared" si="26"/>
        <v>0</v>
      </c>
    </row>
    <row r="614" spans="1:35" ht="22.35" customHeight="1" thickBot="1" x14ac:dyDescent="0.3">
      <c r="A614" s="80"/>
      <c r="B614" s="80"/>
      <c r="F614" s="141"/>
      <c r="H614" s="191"/>
      <c r="I614" s="84"/>
      <c r="K614" s="86"/>
      <c r="L614" s="86"/>
      <c r="M614" s="86"/>
      <c r="O614" s="100"/>
      <c r="P614" s="143"/>
      <c r="Q614" s="102"/>
      <c r="R614" s="103"/>
      <c r="S614" s="144" t="s">
        <v>138</v>
      </c>
      <c r="T614" s="112" t="s">
        <v>890</v>
      </c>
      <c r="U614" s="106"/>
      <c r="V614" s="107">
        <v>58</v>
      </c>
      <c r="W614" s="96"/>
      <c r="X614" s="97"/>
      <c r="Y614" s="20">
        <f t="shared" si="27"/>
        <v>0</v>
      </c>
      <c r="AA614" s="98">
        <f t="shared" si="25"/>
        <v>0</v>
      </c>
      <c r="AB614" s="98">
        <f t="shared" si="26"/>
        <v>0</v>
      </c>
    </row>
    <row r="615" spans="1:35" ht="22.35" customHeight="1" thickBot="1" x14ac:dyDescent="0.3">
      <c r="A615" s="80"/>
      <c r="B615" s="80"/>
      <c r="F615" s="141"/>
      <c r="H615" s="191"/>
      <c r="I615" s="84"/>
      <c r="K615" s="86"/>
      <c r="L615" s="86"/>
      <c r="M615" s="86"/>
      <c r="O615" s="100"/>
      <c r="P615" s="143"/>
      <c r="Q615" s="102"/>
      <c r="R615" s="103"/>
      <c r="S615" s="144" t="s">
        <v>138</v>
      </c>
      <c r="T615" s="112" t="s">
        <v>890</v>
      </c>
      <c r="U615" s="106"/>
      <c r="V615" s="107">
        <v>58</v>
      </c>
      <c r="W615" s="108"/>
      <c r="X615" s="109"/>
      <c r="Y615" s="20">
        <f t="shared" si="27"/>
        <v>0</v>
      </c>
      <c r="AA615" s="98">
        <f t="shared" si="25"/>
        <v>0</v>
      </c>
      <c r="AB615" s="98">
        <f t="shared" si="26"/>
        <v>0</v>
      </c>
    </row>
    <row r="616" spans="1:35" ht="22.35" customHeight="1" thickBot="1" x14ac:dyDescent="0.3">
      <c r="A616" s="80"/>
      <c r="B616" s="80"/>
      <c r="F616" s="141"/>
      <c r="H616" s="191"/>
      <c r="I616" s="84"/>
      <c r="K616" s="86"/>
      <c r="L616" s="86"/>
      <c r="M616" s="86"/>
      <c r="O616" s="100"/>
      <c r="P616" s="143"/>
      <c r="Q616" s="102"/>
      <c r="R616" s="103"/>
      <c r="S616" s="144" t="s">
        <v>138</v>
      </c>
      <c r="T616" s="112" t="s">
        <v>890</v>
      </c>
      <c r="U616" s="106"/>
      <c r="V616" s="107">
        <v>58</v>
      </c>
      <c r="W616" s="108"/>
      <c r="X616" s="109"/>
      <c r="Y616" s="20">
        <f t="shared" si="27"/>
        <v>0</v>
      </c>
      <c r="AA616" s="98">
        <f t="shared" si="25"/>
        <v>0</v>
      </c>
      <c r="AB616" s="98">
        <f t="shared" si="26"/>
        <v>0</v>
      </c>
    </row>
    <row r="617" spans="1:35" ht="22.35" customHeight="1" thickBot="1" x14ac:dyDescent="0.3">
      <c r="A617" s="80"/>
      <c r="B617" s="80"/>
      <c r="F617" s="141"/>
      <c r="H617" s="191"/>
      <c r="I617" s="84"/>
      <c r="K617" s="86"/>
      <c r="L617" s="86"/>
      <c r="M617" s="86"/>
      <c r="O617" s="100"/>
      <c r="P617" s="143"/>
      <c r="Q617" s="102"/>
      <c r="R617" s="103"/>
      <c r="S617" s="144" t="s">
        <v>138</v>
      </c>
      <c r="T617" s="112" t="s">
        <v>890</v>
      </c>
      <c r="U617" s="106"/>
      <c r="V617" s="107">
        <v>58</v>
      </c>
      <c r="W617" s="108"/>
      <c r="X617" s="109"/>
      <c r="Y617" s="20">
        <f t="shared" si="27"/>
        <v>0</v>
      </c>
      <c r="AA617" s="98">
        <f t="shared" si="25"/>
        <v>0</v>
      </c>
      <c r="AB617" s="98">
        <f t="shared" si="26"/>
        <v>0</v>
      </c>
    </row>
    <row r="618" spans="1:35" ht="22.35" customHeight="1" thickBot="1" x14ac:dyDescent="0.3">
      <c r="A618" s="80"/>
      <c r="B618" s="80"/>
      <c r="F618" s="141"/>
      <c r="H618" s="191"/>
      <c r="I618" s="84"/>
      <c r="K618" s="86"/>
      <c r="L618" s="86"/>
      <c r="M618" s="86"/>
      <c r="O618" s="100"/>
      <c r="P618" s="143"/>
      <c r="Q618" s="102"/>
      <c r="R618" s="103"/>
      <c r="S618" s="144" t="s">
        <v>138</v>
      </c>
      <c r="T618" s="112" t="s">
        <v>890</v>
      </c>
      <c r="U618" s="106"/>
      <c r="V618" s="107">
        <v>58</v>
      </c>
      <c r="W618" s="108"/>
      <c r="X618" s="109"/>
      <c r="Y618" s="20">
        <f t="shared" si="27"/>
        <v>0</v>
      </c>
      <c r="AA618" s="98">
        <f t="shared" si="25"/>
        <v>0</v>
      </c>
      <c r="AB618" s="98">
        <f t="shared" si="26"/>
        <v>0</v>
      </c>
    </row>
    <row r="619" spans="1:35" ht="22.35" customHeight="1" thickBot="1" x14ac:dyDescent="0.3">
      <c r="A619" s="209"/>
      <c r="B619" s="209"/>
      <c r="C619" s="210"/>
      <c r="D619" s="211"/>
      <c r="E619" s="211"/>
      <c r="F619" s="236"/>
      <c r="G619" s="213"/>
      <c r="H619" s="191"/>
      <c r="I619" s="238"/>
      <c r="J619" s="211"/>
      <c r="K619" s="215"/>
      <c r="L619" s="215"/>
      <c r="M619" s="215"/>
      <c r="N619" s="216"/>
      <c r="O619" s="239"/>
      <c r="P619" s="240"/>
      <c r="Q619" s="154"/>
      <c r="R619" s="241"/>
      <c r="S619" s="242" t="s">
        <v>138</v>
      </c>
      <c r="T619" s="243" t="s">
        <v>890</v>
      </c>
      <c r="U619" s="244"/>
      <c r="V619" s="233">
        <v>58</v>
      </c>
      <c r="W619" s="108"/>
      <c r="X619" s="109"/>
      <c r="Y619" s="20">
        <f t="shared" si="27"/>
        <v>0</v>
      </c>
      <c r="AA619" s="98">
        <f t="shared" si="25"/>
        <v>0</v>
      </c>
      <c r="AB619" s="98">
        <f t="shared" si="26"/>
        <v>0</v>
      </c>
    </row>
    <row r="620" spans="1:35" ht="22.35" customHeight="1" thickBot="1" x14ac:dyDescent="0.3">
      <c r="A620" s="263"/>
      <c r="B620" s="263"/>
      <c r="C620" s="264"/>
      <c r="D620" s="265" t="s">
        <v>1196</v>
      </c>
      <c r="E620" s="266"/>
      <c r="F620" s="267"/>
      <c r="G620" s="268"/>
      <c r="H620" s="269"/>
      <c r="I620" s="268"/>
      <c r="J620" s="266"/>
      <c r="K620" s="270"/>
      <c r="L620" s="270"/>
      <c r="M620" s="270"/>
      <c r="N620" s="271"/>
      <c r="O620" s="271"/>
      <c r="P620" s="271"/>
      <c r="Q620" s="271"/>
      <c r="R620" s="272"/>
      <c r="S620" s="310"/>
      <c r="T620" s="268"/>
      <c r="U620" s="268"/>
      <c r="V620" s="273"/>
      <c r="W620" s="268"/>
      <c r="X620" s="274"/>
      <c r="Y620" s="20">
        <f t="shared" si="27"/>
        <v>0</v>
      </c>
      <c r="AA620" s="98">
        <f t="shared" si="25"/>
        <v>0</v>
      </c>
      <c r="AB620" s="98">
        <f t="shared" si="26"/>
        <v>0</v>
      </c>
    </row>
    <row r="621" spans="1:35" ht="22.35" customHeight="1" thickBot="1" x14ac:dyDescent="0.3">
      <c r="A621" s="127"/>
      <c r="B621" s="127"/>
      <c r="C621" s="128"/>
      <c r="D621" s="129"/>
      <c r="E621" s="129"/>
      <c r="F621" s="130"/>
      <c r="G621" s="132"/>
      <c r="H621" s="99"/>
      <c r="I621" s="158"/>
      <c r="J621" s="129"/>
      <c r="K621" s="159"/>
      <c r="L621" s="133"/>
      <c r="M621" s="133"/>
      <c r="N621" s="134"/>
      <c r="O621" s="135"/>
      <c r="P621" s="136"/>
      <c r="Q621" s="137"/>
      <c r="R621" s="138"/>
      <c r="S621" s="144" t="s">
        <v>1197</v>
      </c>
      <c r="T621" s="112" t="s">
        <v>1198</v>
      </c>
      <c r="U621" s="106"/>
      <c r="V621" s="107">
        <v>59</v>
      </c>
      <c r="W621" s="96"/>
      <c r="X621" s="97"/>
      <c r="Y621" s="20">
        <f t="shared" si="27"/>
        <v>0</v>
      </c>
      <c r="AA621" s="98">
        <f t="shared" si="25"/>
        <v>0</v>
      </c>
      <c r="AB621" s="98">
        <f t="shared" si="26"/>
        <v>0</v>
      </c>
      <c r="AC621" s="110"/>
      <c r="AD621" s="77"/>
      <c r="AE621" s="77"/>
      <c r="AF621" s="75"/>
      <c r="AG621" s="75"/>
      <c r="AH621" s="75"/>
      <c r="AI621" s="75"/>
    </row>
    <row r="622" spans="1:35" ht="22.35" customHeight="1" thickBot="1" x14ac:dyDescent="0.3">
      <c r="A622" s="80"/>
      <c r="B622" s="80"/>
      <c r="F622" s="141"/>
      <c r="H622" s="99"/>
      <c r="I622" s="84"/>
      <c r="K622" s="86"/>
      <c r="L622" s="86"/>
      <c r="M622" s="86"/>
      <c r="O622" s="100"/>
      <c r="P622" s="143"/>
      <c r="Q622" s="102"/>
      <c r="R622" s="103"/>
      <c r="S622" s="144" t="s">
        <v>1197</v>
      </c>
      <c r="T622" s="112" t="s">
        <v>1198</v>
      </c>
      <c r="U622" s="106"/>
      <c r="V622" s="107">
        <v>59</v>
      </c>
      <c r="W622" s="108"/>
      <c r="X622" s="109"/>
      <c r="Y622" s="20">
        <f t="shared" si="27"/>
        <v>0</v>
      </c>
      <c r="AA622" s="98">
        <f t="shared" ref="AA622:AA685" si="28">H622-I622</f>
        <v>0</v>
      </c>
      <c r="AB622" s="98">
        <f t="shared" ref="AB622:AB685" si="29">R622-H622</f>
        <v>0</v>
      </c>
      <c r="AC622" s="110"/>
      <c r="AD622" s="77"/>
      <c r="AE622" s="77"/>
      <c r="AF622" s="75"/>
      <c r="AG622" s="75"/>
      <c r="AH622" s="75"/>
      <c r="AI622" s="75"/>
    </row>
    <row r="623" spans="1:35" ht="22.35" customHeight="1" thickBot="1" x14ac:dyDescent="0.3">
      <c r="A623" s="80"/>
      <c r="B623" s="80"/>
      <c r="F623" s="141"/>
      <c r="H623" s="99"/>
      <c r="I623" s="84"/>
      <c r="K623" s="86"/>
      <c r="L623" s="86"/>
      <c r="M623" s="86"/>
      <c r="O623" s="100"/>
      <c r="P623" s="143"/>
      <c r="Q623" s="90"/>
      <c r="R623" s="91"/>
      <c r="S623" s="144" t="s">
        <v>1197</v>
      </c>
      <c r="T623" s="112" t="s">
        <v>1198</v>
      </c>
      <c r="U623" s="106"/>
      <c r="V623" s="107">
        <v>59</v>
      </c>
      <c r="W623" s="108"/>
      <c r="X623" s="109"/>
      <c r="Y623" s="20">
        <f t="shared" si="27"/>
        <v>0</v>
      </c>
      <c r="AA623" s="98">
        <f t="shared" si="28"/>
        <v>0</v>
      </c>
      <c r="AB623" s="98">
        <f t="shared" si="29"/>
        <v>0</v>
      </c>
      <c r="AC623" s="110"/>
      <c r="AD623" s="77"/>
      <c r="AE623" s="77"/>
      <c r="AF623" s="75"/>
      <c r="AG623" s="75"/>
      <c r="AH623" s="75"/>
      <c r="AI623" s="75"/>
    </row>
    <row r="624" spans="1:35" ht="22.35" customHeight="1" thickBot="1" x14ac:dyDescent="0.3">
      <c r="A624" s="80"/>
      <c r="B624" s="80"/>
      <c r="F624" s="141"/>
      <c r="H624" s="99"/>
      <c r="I624" s="84"/>
      <c r="K624" s="86"/>
      <c r="L624" s="86"/>
      <c r="M624" s="86"/>
      <c r="O624" s="100"/>
      <c r="P624" s="143"/>
      <c r="Q624" s="90"/>
      <c r="R624" s="91"/>
      <c r="S624" s="144" t="s">
        <v>1197</v>
      </c>
      <c r="T624" s="112" t="s">
        <v>1198</v>
      </c>
      <c r="U624" s="106"/>
      <c r="V624" s="107">
        <v>59</v>
      </c>
      <c r="W624" s="108"/>
      <c r="X624" s="109"/>
      <c r="Y624" s="20">
        <f t="shared" si="27"/>
        <v>0</v>
      </c>
      <c r="AA624" s="98">
        <f t="shared" si="28"/>
        <v>0</v>
      </c>
      <c r="AB624" s="98">
        <f t="shared" si="29"/>
        <v>0</v>
      </c>
      <c r="AC624" s="110"/>
      <c r="AD624" s="77"/>
      <c r="AE624" s="77"/>
      <c r="AF624" s="75"/>
      <c r="AG624" s="75"/>
      <c r="AH624" s="75"/>
      <c r="AI624" s="75"/>
    </row>
    <row r="625" spans="1:39" ht="22.35" customHeight="1" thickBot="1" x14ac:dyDescent="0.3">
      <c r="A625" s="80"/>
      <c r="B625" s="80"/>
      <c r="F625" s="141"/>
      <c r="H625" s="99"/>
      <c r="I625" s="84"/>
      <c r="K625" s="86"/>
      <c r="L625" s="86"/>
      <c r="M625" s="86"/>
      <c r="O625" s="100"/>
      <c r="P625" s="143"/>
      <c r="Q625" s="90"/>
      <c r="R625" s="91"/>
      <c r="S625" s="144" t="s">
        <v>1197</v>
      </c>
      <c r="T625" s="112" t="s">
        <v>1198</v>
      </c>
      <c r="U625" s="106"/>
      <c r="V625" s="107">
        <v>59</v>
      </c>
      <c r="W625" s="108"/>
      <c r="X625" s="109"/>
      <c r="Y625" s="20">
        <f t="shared" si="27"/>
        <v>0</v>
      </c>
      <c r="AA625" s="98">
        <f t="shared" si="28"/>
        <v>0</v>
      </c>
      <c r="AB625" s="98">
        <f t="shared" si="29"/>
        <v>0</v>
      </c>
      <c r="AC625" s="110"/>
      <c r="AD625" s="77"/>
      <c r="AE625" s="77"/>
      <c r="AF625" s="75"/>
      <c r="AG625" s="75"/>
      <c r="AH625" s="75"/>
      <c r="AI625" s="75"/>
    </row>
    <row r="626" spans="1:39" ht="22.35" customHeight="1" thickBot="1" x14ac:dyDescent="0.3">
      <c r="A626" s="80"/>
      <c r="B626" s="80"/>
      <c r="D626" s="342" t="s">
        <v>1199</v>
      </c>
      <c r="F626" s="141"/>
      <c r="H626" s="99"/>
      <c r="I626" s="84"/>
      <c r="K626" s="86"/>
      <c r="L626" s="86"/>
      <c r="M626" s="86"/>
      <c r="O626" s="100"/>
      <c r="P626" s="143"/>
      <c r="Q626" s="90"/>
      <c r="R626" s="91"/>
      <c r="S626" s="144" t="s">
        <v>1197</v>
      </c>
      <c r="T626" s="112" t="s">
        <v>1198</v>
      </c>
      <c r="U626" s="106"/>
      <c r="V626" s="107">
        <v>59</v>
      </c>
      <c r="W626" s="108"/>
      <c r="X626" s="109"/>
      <c r="Y626" s="20">
        <f t="shared" si="27"/>
        <v>0</v>
      </c>
      <c r="AA626" s="98">
        <f t="shared" si="28"/>
        <v>0</v>
      </c>
      <c r="AB626" s="98">
        <f t="shared" si="29"/>
        <v>0</v>
      </c>
      <c r="AC626" s="110"/>
      <c r="AD626" s="77"/>
      <c r="AE626" s="77"/>
      <c r="AF626" s="75"/>
      <c r="AG626" s="75"/>
      <c r="AH626" s="75"/>
      <c r="AI626" s="75"/>
    </row>
    <row r="627" spans="1:39" ht="22.35" customHeight="1" thickBot="1" x14ac:dyDescent="0.3">
      <c r="A627" s="80"/>
      <c r="B627" s="80"/>
      <c r="F627" s="141"/>
      <c r="H627" s="99"/>
      <c r="I627" s="84"/>
      <c r="K627" s="86"/>
      <c r="L627" s="86"/>
      <c r="M627" s="86"/>
      <c r="O627" s="100"/>
      <c r="P627" s="143"/>
      <c r="Q627" s="90"/>
      <c r="R627" s="91"/>
      <c r="S627" s="144" t="s">
        <v>1197</v>
      </c>
      <c r="T627" s="112" t="s">
        <v>1198</v>
      </c>
      <c r="U627" s="106"/>
      <c r="V627" s="107">
        <v>59</v>
      </c>
      <c r="W627" s="108"/>
      <c r="X627" s="109"/>
      <c r="Y627" s="20">
        <f t="shared" si="27"/>
        <v>0</v>
      </c>
      <c r="AA627" s="98">
        <f t="shared" si="28"/>
        <v>0</v>
      </c>
      <c r="AB627" s="98">
        <f t="shared" si="29"/>
        <v>0</v>
      </c>
      <c r="AC627" s="110"/>
      <c r="AD627" s="77"/>
      <c r="AE627" s="77"/>
      <c r="AF627" s="75"/>
      <c r="AG627" s="75"/>
      <c r="AH627" s="75"/>
      <c r="AI627" s="75"/>
    </row>
    <row r="628" spans="1:39" ht="22.35" customHeight="1" thickBot="1" x14ac:dyDescent="0.3">
      <c r="A628" s="80"/>
      <c r="B628" s="80"/>
      <c r="F628" s="141"/>
      <c r="H628" s="99"/>
      <c r="I628" s="84"/>
      <c r="K628" s="86"/>
      <c r="L628" s="86"/>
      <c r="M628" s="86"/>
      <c r="O628" s="100"/>
      <c r="P628" s="143"/>
      <c r="Q628" s="90"/>
      <c r="R628" s="91"/>
      <c r="S628" s="144" t="s">
        <v>1197</v>
      </c>
      <c r="T628" s="112" t="s">
        <v>1198</v>
      </c>
      <c r="U628" s="106"/>
      <c r="V628" s="107">
        <v>59</v>
      </c>
      <c r="W628" s="108"/>
      <c r="X628" s="109"/>
      <c r="Y628" s="20">
        <f t="shared" si="27"/>
        <v>0</v>
      </c>
      <c r="AA628" s="98">
        <f t="shared" si="28"/>
        <v>0</v>
      </c>
      <c r="AB628" s="98">
        <f t="shared" si="29"/>
        <v>0</v>
      </c>
      <c r="AC628" s="110"/>
      <c r="AD628" s="77"/>
      <c r="AE628" s="77"/>
      <c r="AF628" s="75"/>
      <c r="AG628" s="75"/>
      <c r="AH628" s="75"/>
      <c r="AI628" s="75"/>
    </row>
    <row r="629" spans="1:39" ht="22.35" customHeight="1" thickBot="1" x14ac:dyDescent="0.3">
      <c r="A629" s="80"/>
      <c r="B629" s="80"/>
      <c r="F629" s="141"/>
      <c r="H629" s="99"/>
      <c r="I629" s="84"/>
      <c r="K629" s="86"/>
      <c r="L629" s="86"/>
      <c r="M629" s="86"/>
      <c r="O629" s="100"/>
      <c r="P629" s="143"/>
      <c r="Q629" s="90"/>
      <c r="R629" s="91"/>
      <c r="S629" s="144" t="s">
        <v>1197</v>
      </c>
      <c r="T629" s="112" t="s">
        <v>1198</v>
      </c>
      <c r="U629" s="106"/>
      <c r="V629" s="107">
        <v>59</v>
      </c>
      <c r="W629" s="108"/>
      <c r="X629" s="109"/>
      <c r="Y629" s="20">
        <f t="shared" si="27"/>
        <v>0</v>
      </c>
      <c r="AA629" s="98">
        <f t="shared" si="28"/>
        <v>0</v>
      </c>
      <c r="AB629" s="98">
        <f t="shared" si="29"/>
        <v>0</v>
      </c>
      <c r="AC629" s="110"/>
      <c r="AD629" s="77"/>
      <c r="AE629" s="77"/>
      <c r="AF629" s="75"/>
      <c r="AG629" s="75"/>
      <c r="AH629" s="75"/>
      <c r="AI629" s="75"/>
    </row>
    <row r="630" spans="1:39" ht="22.35" customHeight="1" thickBot="1" x14ac:dyDescent="0.3">
      <c r="A630" s="80"/>
      <c r="B630" s="80"/>
      <c r="F630" s="141"/>
      <c r="H630" s="99"/>
      <c r="I630" s="84"/>
      <c r="K630" s="86"/>
      <c r="L630" s="86"/>
      <c r="M630" s="86"/>
      <c r="O630" s="100"/>
      <c r="P630" s="143"/>
      <c r="Q630" s="90"/>
      <c r="R630" s="91"/>
      <c r="S630" s="144" t="s">
        <v>1197</v>
      </c>
      <c r="T630" s="112" t="s">
        <v>1198</v>
      </c>
      <c r="U630" s="106"/>
      <c r="V630" s="107">
        <v>59</v>
      </c>
      <c r="W630" s="108"/>
      <c r="X630" s="109"/>
      <c r="Y630" s="20">
        <f t="shared" si="27"/>
        <v>0</v>
      </c>
      <c r="AA630" s="98">
        <f t="shared" si="28"/>
        <v>0</v>
      </c>
      <c r="AB630" s="98">
        <f t="shared" si="29"/>
        <v>0</v>
      </c>
      <c r="AC630" s="110"/>
      <c r="AD630" s="77"/>
      <c r="AE630" s="77"/>
      <c r="AF630" s="75"/>
      <c r="AG630" s="75"/>
      <c r="AH630" s="75"/>
      <c r="AI630" s="75"/>
    </row>
    <row r="631" spans="1:39" ht="22.35" customHeight="1" thickBot="1" x14ac:dyDescent="0.3">
      <c r="A631" s="80"/>
      <c r="B631" s="80"/>
      <c r="F631" s="141"/>
      <c r="H631" s="99"/>
      <c r="I631" s="84"/>
      <c r="K631" s="86"/>
      <c r="L631" s="86"/>
      <c r="M631" s="86"/>
      <c r="O631" s="100"/>
      <c r="P631" s="143"/>
      <c r="Q631" s="90"/>
      <c r="R631" s="91"/>
      <c r="S631" s="144" t="s">
        <v>1197</v>
      </c>
      <c r="T631" s="112" t="s">
        <v>1198</v>
      </c>
      <c r="U631" s="106"/>
      <c r="V631" s="107">
        <v>59</v>
      </c>
      <c r="W631" s="108"/>
      <c r="X631" s="109"/>
      <c r="Y631" s="20">
        <f t="shared" si="27"/>
        <v>0</v>
      </c>
      <c r="AA631" s="98">
        <f t="shared" si="28"/>
        <v>0</v>
      </c>
      <c r="AB631" s="98">
        <f t="shared" si="29"/>
        <v>0</v>
      </c>
      <c r="AC631" s="110"/>
      <c r="AD631" s="77"/>
      <c r="AE631" s="77"/>
      <c r="AF631" s="75"/>
      <c r="AG631" s="75"/>
      <c r="AH631" s="75"/>
      <c r="AI631" s="75"/>
    </row>
    <row r="632" spans="1:39" ht="22.35" customHeight="1" thickBot="1" x14ac:dyDescent="0.3">
      <c r="A632" s="80"/>
      <c r="B632" s="80"/>
      <c r="F632" s="141"/>
      <c r="H632" s="99"/>
      <c r="I632" s="84"/>
      <c r="K632" s="86"/>
      <c r="L632" s="86"/>
      <c r="M632" s="86"/>
      <c r="O632" s="100"/>
      <c r="P632" s="143"/>
      <c r="Q632" s="90"/>
      <c r="R632" s="91"/>
      <c r="S632" s="144" t="s">
        <v>1197</v>
      </c>
      <c r="T632" s="112" t="s">
        <v>1198</v>
      </c>
      <c r="U632" s="106"/>
      <c r="V632" s="107">
        <v>59</v>
      </c>
      <c r="W632" s="108"/>
      <c r="X632" s="109"/>
      <c r="Y632" s="20">
        <f t="shared" si="27"/>
        <v>0</v>
      </c>
      <c r="AA632" s="98">
        <f t="shared" si="28"/>
        <v>0</v>
      </c>
      <c r="AB632" s="98">
        <f t="shared" si="29"/>
        <v>0</v>
      </c>
      <c r="AC632" s="110"/>
      <c r="AD632" s="77"/>
      <c r="AE632" s="77"/>
      <c r="AF632" s="75"/>
      <c r="AG632" s="75"/>
      <c r="AH632" s="75"/>
      <c r="AI632" s="75"/>
    </row>
    <row r="633" spans="1:39" ht="22.35" customHeight="1" thickBot="1" x14ac:dyDescent="0.3">
      <c r="A633" s="80"/>
      <c r="B633" s="80"/>
      <c r="F633" s="141"/>
      <c r="H633" s="99"/>
      <c r="I633" s="84"/>
      <c r="K633" s="86"/>
      <c r="L633" s="86"/>
      <c r="M633" s="86"/>
      <c r="O633" s="100"/>
      <c r="P633" s="143"/>
      <c r="Q633" s="90"/>
      <c r="R633" s="91"/>
      <c r="S633" s="144" t="s">
        <v>1197</v>
      </c>
      <c r="T633" s="112" t="s">
        <v>1198</v>
      </c>
      <c r="U633" s="106"/>
      <c r="V633" s="107">
        <v>59</v>
      </c>
      <c r="W633" s="108"/>
      <c r="X633" s="109"/>
      <c r="Y633" s="20">
        <f t="shared" si="27"/>
        <v>0</v>
      </c>
      <c r="AA633" s="98">
        <f t="shared" si="28"/>
        <v>0</v>
      </c>
      <c r="AB633" s="98">
        <f t="shared" si="29"/>
        <v>0</v>
      </c>
      <c r="AC633" s="110"/>
      <c r="AD633" s="77"/>
      <c r="AE633" s="77"/>
      <c r="AF633" s="75"/>
      <c r="AG633" s="75"/>
      <c r="AH633" s="75"/>
      <c r="AI633" s="75"/>
    </row>
    <row r="634" spans="1:39" ht="22.35" customHeight="1" thickBot="1" x14ac:dyDescent="0.3">
      <c r="A634" s="80"/>
      <c r="B634" s="80"/>
      <c r="F634" s="141"/>
      <c r="H634" s="99"/>
      <c r="I634" s="84"/>
      <c r="K634" s="86"/>
      <c r="L634" s="86"/>
      <c r="M634" s="86"/>
      <c r="O634" s="100"/>
      <c r="P634" s="143"/>
      <c r="Q634" s="90"/>
      <c r="R634" s="91"/>
      <c r="S634" s="144" t="s">
        <v>1197</v>
      </c>
      <c r="T634" s="112" t="s">
        <v>1198</v>
      </c>
      <c r="U634" s="106"/>
      <c r="V634" s="107">
        <v>59</v>
      </c>
      <c r="W634" s="160"/>
      <c r="X634" s="161"/>
      <c r="Y634" s="20">
        <f t="shared" si="27"/>
        <v>0</v>
      </c>
      <c r="AA634" s="98">
        <f t="shared" si="28"/>
        <v>0</v>
      </c>
      <c r="AB634" s="98">
        <f t="shared" si="29"/>
        <v>0</v>
      </c>
      <c r="AC634" s="110"/>
      <c r="AD634" s="77"/>
      <c r="AE634" s="77"/>
      <c r="AF634" s="75"/>
      <c r="AG634" s="75"/>
      <c r="AH634" s="75"/>
      <c r="AI634" s="75"/>
    </row>
    <row r="635" spans="1:39" ht="22.35" customHeight="1" thickBot="1" x14ac:dyDescent="0.3">
      <c r="A635" s="80"/>
      <c r="B635" s="80"/>
      <c r="F635" s="141"/>
      <c r="H635" s="99"/>
      <c r="I635" s="84"/>
      <c r="K635" s="86"/>
      <c r="L635" s="86"/>
      <c r="M635" s="86"/>
      <c r="O635" s="100"/>
      <c r="P635" s="143"/>
      <c r="Q635" s="90"/>
      <c r="R635" s="91"/>
      <c r="S635" s="144" t="s">
        <v>1197</v>
      </c>
      <c r="T635" s="112" t="s">
        <v>1198</v>
      </c>
      <c r="U635" s="106"/>
      <c r="V635" s="107">
        <v>59</v>
      </c>
      <c r="W635" s="160"/>
      <c r="X635" s="161"/>
      <c r="Y635" s="20">
        <f t="shared" si="27"/>
        <v>0</v>
      </c>
      <c r="AA635" s="98">
        <f t="shared" si="28"/>
        <v>0</v>
      </c>
      <c r="AB635" s="98">
        <f t="shared" si="29"/>
        <v>0</v>
      </c>
      <c r="AC635" s="110"/>
      <c r="AD635" s="77"/>
      <c r="AE635" s="77"/>
      <c r="AF635" s="75"/>
      <c r="AG635" s="75"/>
      <c r="AH635" s="75"/>
      <c r="AI635" s="75"/>
    </row>
    <row r="636" spans="1:39" ht="22.35" customHeight="1" thickBot="1" x14ac:dyDescent="0.3">
      <c r="A636" s="252"/>
      <c r="B636" s="252"/>
      <c r="C636" s="253"/>
      <c r="D636" s="254"/>
      <c r="E636" s="254"/>
      <c r="F636" s="195"/>
      <c r="G636" s="196"/>
      <c r="H636" s="255"/>
      <c r="I636" s="256"/>
      <c r="J636" s="257"/>
      <c r="K636" s="258"/>
      <c r="L636" s="258"/>
      <c r="M636" s="258"/>
      <c r="N636" s="228"/>
      <c r="O636" s="200"/>
      <c r="P636" s="202"/>
      <c r="Q636" s="259"/>
      <c r="R636" s="260"/>
      <c r="S636" s="155" t="s">
        <v>1197</v>
      </c>
      <c r="T636" s="124" t="s">
        <v>1198</v>
      </c>
      <c r="U636" s="125"/>
      <c r="V636" s="126">
        <v>59</v>
      </c>
      <c r="W636" s="261"/>
      <c r="X636" s="262"/>
      <c r="Y636" s="20">
        <f t="shared" si="27"/>
        <v>0</v>
      </c>
      <c r="AA636" s="98">
        <f t="shared" si="28"/>
        <v>0</v>
      </c>
      <c r="AB636" s="98">
        <f t="shared" si="29"/>
        <v>0</v>
      </c>
      <c r="AC636" s="110"/>
      <c r="AD636" s="77"/>
      <c r="AE636" s="77"/>
      <c r="AF636" s="75"/>
      <c r="AG636" s="75"/>
      <c r="AH636" s="75"/>
      <c r="AI636" s="75"/>
    </row>
    <row r="637" spans="1:39" ht="22.35" customHeight="1" thickBot="1" x14ac:dyDescent="0.3">
      <c r="A637" s="80"/>
      <c r="B637" s="80"/>
      <c r="H637" s="83"/>
      <c r="I637" s="84"/>
      <c r="K637" s="85"/>
      <c r="L637" s="86"/>
      <c r="M637" s="86"/>
      <c r="O637" s="88"/>
      <c r="P637" s="89"/>
      <c r="Q637" s="90"/>
      <c r="R637" s="91"/>
      <c r="S637" s="104" t="s">
        <v>1200</v>
      </c>
      <c r="T637" s="93" t="s">
        <v>43</v>
      </c>
      <c r="U637" s="94"/>
      <c r="V637" s="324">
        <v>60</v>
      </c>
      <c r="W637" s="96"/>
      <c r="X637" s="97"/>
      <c r="Y637" s="20">
        <f t="shared" si="27"/>
        <v>0</v>
      </c>
      <c r="AA637" s="98">
        <f t="shared" si="28"/>
        <v>0</v>
      </c>
      <c r="AB637" s="98">
        <f t="shared" si="29"/>
        <v>0</v>
      </c>
    </row>
    <row r="638" spans="1:39" ht="22.35" customHeight="1" thickBot="1" x14ac:dyDescent="0.3">
      <c r="A638" s="80"/>
      <c r="B638" s="80"/>
      <c r="H638" s="99"/>
      <c r="K638" s="86"/>
      <c r="L638" s="86"/>
      <c r="M638" s="86"/>
      <c r="O638" s="100"/>
      <c r="P638" s="101"/>
      <c r="Q638" s="102"/>
      <c r="R638" s="103"/>
      <c r="S638" s="104" t="s">
        <v>1200</v>
      </c>
      <c r="T638" s="105" t="s">
        <v>43</v>
      </c>
      <c r="U638" s="106"/>
      <c r="V638" s="107">
        <v>60</v>
      </c>
      <c r="W638" s="108"/>
      <c r="X638" s="109"/>
      <c r="Y638" s="20">
        <f t="shared" si="27"/>
        <v>0</v>
      </c>
      <c r="AA638" s="98">
        <f t="shared" si="28"/>
        <v>0</v>
      </c>
      <c r="AB638" s="98">
        <f t="shared" si="29"/>
        <v>0</v>
      </c>
    </row>
    <row r="639" spans="1:39" s="75" customFormat="1" ht="22.35" customHeight="1" thickBot="1" x14ac:dyDescent="0.3">
      <c r="A639" s="209"/>
      <c r="B639" s="209"/>
      <c r="C639" s="210"/>
      <c r="D639" s="211"/>
      <c r="E639" s="211"/>
      <c r="F639" s="212"/>
      <c r="G639" s="213"/>
      <c r="H639" s="99"/>
      <c r="I639" s="213"/>
      <c r="J639" s="211"/>
      <c r="K639" s="215"/>
      <c r="L639" s="215"/>
      <c r="M639" s="215"/>
      <c r="N639" s="216"/>
      <c r="O639" s="239"/>
      <c r="P639" s="343"/>
      <c r="Q639" s="154"/>
      <c r="R639" s="241"/>
      <c r="S639" s="344" t="s">
        <v>1200</v>
      </c>
      <c r="T639" s="345" t="s">
        <v>43</v>
      </c>
      <c r="U639" s="244"/>
      <c r="V639" s="245">
        <v>60</v>
      </c>
      <c r="W639" s="108"/>
      <c r="X639" s="109"/>
      <c r="Y639" s="20">
        <f t="shared" si="27"/>
        <v>0</v>
      </c>
      <c r="Z639" s="21"/>
      <c r="AA639" s="98">
        <f t="shared" si="28"/>
        <v>0</v>
      </c>
      <c r="AB639" s="98">
        <f t="shared" si="29"/>
        <v>0</v>
      </c>
      <c r="AC639" s="110"/>
      <c r="AD639" s="77"/>
      <c r="AE639" s="77"/>
      <c r="AM639" s="111"/>
    </row>
    <row r="640" spans="1:39" ht="22.15" customHeight="1" x14ac:dyDescent="0.25">
      <c r="H640" s="346"/>
      <c r="O640" s="347"/>
      <c r="Y640" s="20">
        <f t="shared" si="27"/>
        <v>0</v>
      </c>
      <c r="AA640" s="98">
        <f t="shared" si="28"/>
        <v>0</v>
      </c>
      <c r="AB640" s="98">
        <f t="shared" si="29"/>
        <v>0</v>
      </c>
    </row>
    <row r="641" spans="1:29" ht="22.15" customHeight="1" x14ac:dyDescent="0.25">
      <c r="H641" s="346"/>
      <c r="O641" s="347"/>
      <c r="Y641" s="20">
        <f t="shared" si="27"/>
        <v>0</v>
      </c>
      <c r="AA641" s="98">
        <f t="shared" si="28"/>
        <v>0</v>
      </c>
      <c r="AB641" s="98">
        <f t="shared" si="29"/>
        <v>0</v>
      </c>
    </row>
    <row r="642" spans="1:29" ht="22.15" customHeight="1" x14ac:dyDescent="0.25">
      <c r="H642" s="346"/>
      <c r="O642" s="347"/>
      <c r="Y642" s="20">
        <f t="shared" si="27"/>
        <v>0</v>
      </c>
      <c r="AA642" s="98">
        <f t="shared" si="28"/>
        <v>0</v>
      </c>
      <c r="AB642" s="98">
        <f t="shared" si="29"/>
        <v>0</v>
      </c>
    </row>
    <row r="643" spans="1:29" ht="22.15" customHeight="1" x14ac:dyDescent="0.25">
      <c r="A643" s="21" t="s">
        <v>224</v>
      </c>
      <c r="B643" s="80" t="s">
        <v>1201</v>
      </c>
      <c r="C643" s="81">
        <v>20</v>
      </c>
      <c r="D643" s="23" t="s">
        <v>226</v>
      </c>
      <c r="E643" s="23" t="s">
        <v>1202</v>
      </c>
      <c r="F643" s="82" t="s">
        <v>65</v>
      </c>
      <c r="H643" s="346">
        <v>10.9</v>
      </c>
      <c r="I643" s="21">
        <v>10.15056</v>
      </c>
      <c r="J643" s="23" t="s">
        <v>228</v>
      </c>
      <c r="K643" s="86" t="s">
        <v>1203</v>
      </c>
      <c r="L643" s="86"/>
      <c r="M643" s="86"/>
      <c r="O643" s="347"/>
      <c r="P643" s="87">
        <v>1</v>
      </c>
      <c r="Q643" s="87">
        <v>1</v>
      </c>
      <c r="R643" s="84">
        <v>11.9</v>
      </c>
      <c r="X643" s="147">
        <v>0</v>
      </c>
      <c r="Y643" s="20">
        <f t="shared" si="27"/>
        <v>1</v>
      </c>
      <c r="AA643" s="98">
        <f t="shared" si="28"/>
        <v>0.74943999999999988</v>
      </c>
      <c r="AB643" s="98">
        <f t="shared" si="29"/>
        <v>1</v>
      </c>
    </row>
    <row r="644" spans="1:29" ht="22.15" customHeight="1" x14ac:dyDescent="0.25">
      <c r="A644" s="21" t="s">
        <v>224</v>
      </c>
      <c r="B644" s="80" t="s">
        <v>1204</v>
      </c>
      <c r="C644" s="81">
        <v>20</v>
      </c>
      <c r="D644" s="23" t="s">
        <v>226</v>
      </c>
      <c r="E644" s="23" t="s">
        <v>1205</v>
      </c>
      <c r="F644" s="82" t="s">
        <v>65</v>
      </c>
      <c r="H644" s="346">
        <v>10.9</v>
      </c>
      <c r="I644" s="21">
        <v>10.15056</v>
      </c>
      <c r="J644" s="23" t="s">
        <v>228</v>
      </c>
      <c r="K644" s="86" t="s">
        <v>1206</v>
      </c>
      <c r="L644" s="86"/>
      <c r="M644" s="86"/>
      <c r="O644" s="347"/>
      <c r="P644" s="87">
        <v>1</v>
      </c>
      <c r="Q644" s="87">
        <v>1</v>
      </c>
      <c r="R644" s="84">
        <v>11.9</v>
      </c>
      <c r="X644" s="147">
        <v>0</v>
      </c>
      <c r="Y644" s="20">
        <f t="shared" si="27"/>
        <v>1</v>
      </c>
      <c r="AA644" s="98">
        <f t="shared" si="28"/>
        <v>0.74943999999999988</v>
      </c>
      <c r="AB644" s="98">
        <f t="shared" si="29"/>
        <v>1</v>
      </c>
    </row>
    <row r="645" spans="1:29" ht="22.15" customHeight="1" x14ac:dyDescent="0.25">
      <c r="A645" s="21" t="s">
        <v>224</v>
      </c>
      <c r="B645" s="80" t="s">
        <v>1207</v>
      </c>
      <c r="C645" s="81">
        <v>20</v>
      </c>
      <c r="D645" s="23" t="s">
        <v>226</v>
      </c>
      <c r="E645" s="23" t="s">
        <v>1208</v>
      </c>
      <c r="F645" s="82" t="s">
        <v>65</v>
      </c>
      <c r="H645" s="346">
        <v>10.9</v>
      </c>
      <c r="I645" s="21">
        <v>10.15056</v>
      </c>
      <c r="J645" s="23" t="s">
        <v>228</v>
      </c>
      <c r="K645" s="86" t="s">
        <v>1209</v>
      </c>
      <c r="L645" s="86"/>
      <c r="M645" s="86"/>
      <c r="O645" s="347"/>
      <c r="P645" s="87">
        <v>1</v>
      </c>
      <c r="Q645" s="87">
        <v>1</v>
      </c>
      <c r="R645" s="84">
        <v>11.9</v>
      </c>
      <c r="X645" s="147">
        <v>0</v>
      </c>
      <c r="Y645" s="20">
        <f t="shared" si="27"/>
        <v>1</v>
      </c>
      <c r="AA645" s="98">
        <f t="shared" si="28"/>
        <v>0.74943999999999988</v>
      </c>
      <c r="AB645" s="98">
        <f t="shared" si="29"/>
        <v>1</v>
      </c>
    </row>
    <row r="646" spans="1:29" ht="22.15" customHeight="1" x14ac:dyDescent="0.25">
      <c r="A646" s="21" t="s">
        <v>171</v>
      </c>
      <c r="B646" s="80" t="s">
        <v>1210</v>
      </c>
      <c r="C646" s="81">
        <v>10</v>
      </c>
      <c r="D646" s="23" t="s">
        <v>1211</v>
      </c>
      <c r="E646" s="23" t="s">
        <v>1212</v>
      </c>
      <c r="F646" s="82" t="s">
        <v>242</v>
      </c>
      <c r="H646" s="346">
        <v>9.5</v>
      </c>
      <c r="I646" s="21">
        <v>8.61</v>
      </c>
      <c r="J646" s="23" t="s">
        <v>237</v>
      </c>
      <c r="K646" s="86" t="s">
        <v>1213</v>
      </c>
      <c r="L646" s="86"/>
      <c r="M646" s="86"/>
      <c r="O646" s="347"/>
      <c r="P646" s="87">
        <v>0</v>
      </c>
      <c r="Q646" s="87">
        <v>1</v>
      </c>
      <c r="R646" s="84">
        <v>9.9</v>
      </c>
      <c r="X646" s="147">
        <v>0</v>
      </c>
      <c r="Y646" s="20">
        <f t="shared" si="27"/>
        <v>1</v>
      </c>
      <c r="AA646" s="98">
        <f t="shared" si="28"/>
        <v>0.89000000000000057</v>
      </c>
      <c r="AB646" s="98">
        <f t="shared" si="29"/>
        <v>0.40000000000000036</v>
      </c>
    </row>
    <row r="647" spans="1:29" ht="22.15" customHeight="1" x14ac:dyDescent="0.25">
      <c r="A647" s="21" t="s">
        <v>255</v>
      </c>
      <c r="B647" s="80" t="s">
        <v>1214</v>
      </c>
      <c r="C647" s="81">
        <v>12</v>
      </c>
      <c r="D647" s="23" t="s">
        <v>1215</v>
      </c>
      <c r="E647" s="23" t="s">
        <v>1216</v>
      </c>
      <c r="F647" s="82" t="s">
        <v>274</v>
      </c>
      <c r="H647" s="346">
        <v>33.9</v>
      </c>
      <c r="I647" s="21">
        <v>29.68</v>
      </c>
      <c r="J647" s="23" t="s">
        <v>275</v>
      </c>
      <c r="K647" s="86" t="s">
        <v>1217</v>
      </c>
      <c r="L647" s="86"/>
      <c r="M647" s="86"/>
      <c r="O647" s="347"/>
      <c r="P647" s="87">
        <v>1</v>
      </c>
      <c r="Q647" s="87">
        <v>1</v>
      </c>
      <c r="R647" s="84">
        <v>36.9</v>
      </c>
      <c r="X647" s="147">
        <v>0</v>
      </c>
      <c r="Y647" s="20">
        <f t="shared" ref="Y647:Y710" si="30">COUNTIF(K:K,K647)</f>
        <v>1</v>
      </c>
      <c r="AA647" s="98">
        <f t="shared" si="28"/>
        <v>4.2199999999999989</v>
      </c>
      <c r="AB647" s="98">
        <f t="shared" si="29"/>
        <v>3</v>
      </c>
    </row>
    <row r="648" spans="1:29" ht="22.15" customHeight="1" x14ac:dyDescent="0.25">
      <c r="A648" s="21" t="s">
        <v>255</v>
      </c>
      <c r="B648" s="80" t="s">
        <v>1218</v>
      </c>
      <c r="C648" s="81">
        <v>12</v>
      </c>
      <c r="D648" s="23" t="s">
        <v>1215</v>
      </c>
      <c r="E648" s="23" t="s">
        <v>1219</v>
      </c>
      <c r="F648" s="82" t="s">
        <v>274</v>
      </c>
      <c r="H648" s="346">
        <v>33.9</v>
      </c>
      <c r="I648" s="21">
        <v>29.12</v>
      </c>
      <c r="J648" s="23" t="s">
        <v>275</v>
      </c>
      <c r="K648" s="86" t="s">
        <v>1220</v>
      </c>
      <c r="L648" s="86"/>
      <c r="M648" s="86"/>
      <c r="O648" s="347"/>
      <c r="P648" s="87">
        <v>1</v>
      </c>
      <c r="Q648" s="87">
        <v>1</v>
      </c>
      <c r="R648" s="84">
        <v>36.9</v>
      </c>
      <c r="X648" s="147">
        <v>0</v>
      </c>
      <c r="Y648" s="20">
        <f t="shared" si="30"/>
        <v>1</v>
      </c>
      <c r="AA648" s="98">
        <f t="shared" si="28"/>
        <v>4.7799999999999976</v>
      </c>
      <c r="AB648" s="98">
        <f t="shared" si="29"/>
        <v>3</v>
      </c>
    </row>
    <row r="649" spans="1:29" ht="22.15" customHeight="1" x14ac:dyDescent="0.25">
      <c r="A649" s="21" t="s">
        <v>171</v>
      </c>
      <c r="B649" s="80" t="s">
        <v>1221</v>
      </c>
      <c r="C649" s="81">
        <v>12</v>
      </c>
      <c r="D649" s="23" t="s">
        <v>1222</v>
      </c>
      <c r="E649" s="23" t="s">
        <v>1202</v>
      </c>
      <c r="F649" s="82" t="s">
        <v>248</v>
      </c>
      <c r="H649" s="346">
        <v>12.5</v>
      </c>
      <c r="I649" s="21">
        <v>12.13968</v>
      </c>
      <c r="J649" s="23" t="s">
        <v>249</v>
      </c>
      <c r="K649" s="86" t="s">
        <v>1223</v>
      </c>
      <c r="L649" s="86"/>
      <c r="M649" s="86"/>
      <c r="O649" s="347"/>
      <c r="P649" s="87">
        <v>1</v>
      </c>
      <c r="Q649" s="87">
        <v>1</v>
      </c>
      <c r="R649" s="84">
        <v>13.9</v>
      </c>
      <c r="X649" s="147">
        <v>0</v>
      </c>
      <c r="Y649" s="20">
        <f t="shared" si="30"/>
        <v>1</v>
      </c>
      <c r="AA649" s="98">
        <f t="shared" si="28"/>
        <v>0.36031999999999975</v>
      </c>
      <c r="AB649" s="98">
        <f t="shared" si="29"/>
        <v>1.4000000000000004</v>
      </c>
    </row>
    <row r="650" spans="1:29" ht="22.15" customHeight="1" x14ac:dyDescent="0.25">
      <c r="A650" s="21" t="s">
        <v>171</v>
      </c>
      <c r="B650" s="80" t="s">
        <v>1224</v>
      </c>
      <c r="C650" s="81">
        <v>12</v>
      </c>
      <c r="D650" s="23" t="s">
        <v>1222</v>
      </c>
      <c r="E650" s="23" t="s">
        <v>1225</v>
      </c>
      <c r="F650" s="82" t="s">
        <v>248</v>
      </c>
      <c r="H650" s="346">
        <v>12.5</v>
      </c>
      <c r="I650" s="21">
        <v>12.13968</v>
      </c>
      <c r="J650" s="23" t="s">
        <v>249</v>
      </c>
      <c r="K650" s="86" t="s">
        <v>1226</v>
      </c>
      <c r="L650" s="86"/>
      <c r="M650" s="86"/>
      <c r="O650" s="347"/>
      <c r="P650" s="87">
        <v>1</v>
      </c>
      <c r="Q650" s="87">
        <v>1</v>
      </c>
      <c r="R650" s="84">
        <v>13.9</v>
      </c>
      <c r="X650" s="147">
        <v>0</v>
      </c>
      <c r="Y650" s="20">
        <f t="shared" si="30"/>
        <v>1</v>
      </c>
      <c r="AA650" s="98">
        <f t="shared" si="28"/>
        <v>0.36031999999999975</v>
      </c>
      <c r="AB650" s="98">
        <f t="shared" si="29"/>
        <v>1.4000000000000004</v>
      </c>
    </row>
    <row r="651" spans="1:29" ht="22.15" customHeight="1" x14ac:dyDescent="0.25">
      <c r="A651" s="21" t="s">
        <v>171</v>
      </c>
      <c r="B651" s="80" t="s">
        <v>1227</v>
      </c>
      <c r="C651" s="81">
        <v>12</v>
      </c>
      <c r="D651" s="23" t="s">
        <v>1222</v>
      </c>
      <c r="E651" s="23" t="s">
        <v>1228</v>
      </c>
      <c r="F651" s="82" t="s">
        <v>248</v>
      </c>
      <c r="H651" s="346">
        <v>12.5</v>
      </c>
      <c r="I651" s="21">
        <v>12.13968</v>
      </c>
      <c r="J651" s="23" t="s">
        <v>249</v>
      </c>
      <c r="K651" s="86" t="s">
        <v>1229</v>
      </c>
      <c r="L651" s="86"/>
      <c r="M651" s="86"/>
      <c r="O651" s="347"/>
      <c r="P651" s="87">
        <v>1</v>
      </c>
      <c r="Q651" s="87">
        <v>1</v>
      </c>
      <c r="R651" s="84">
        <v>13.9</v>
      </c>
      <c r="X651" s="147">
        <v>0</v>
      </c>
      <c r="Y651" s="20">
        <f t="shared" si="30"/>
        <v>1</v>
      </c>
      <c r="AA651" s="98">
        <f t="shared" si="28"/>
        <v>0.36031999999999975</v>
      </c>
      <c r="AB651" s="98">
        <f t="shared" si="29"/>
        <v>1.4000000000000004</v>
      </c>
    </row>
    <row r="652" spans="1:29" ht="22.15" customHeight="1" x14ac:dyDescent="0.25">
      <c r="A652" s="21" t="s">
        <v>171</v>
      </c>
      <c r="B652" s="80" t="s">
        <v>1230</v>
      </c>
      <c r="C652" s="81">
        <v>12</v>
      </c>
      <c r="D652" s="23" t="s">
        <v>1222</v>
      </c>
      <c r="E652" s="23" t="s">
        <v>1231</v>
      </c>
      <c r="F652" s="82" t="s">
        <v>248</v>
      </c>
      <c r="H652" s="346">
        <v>12.5</v>
      </c>
      <c r="I652" s="21">
        <v>12.13968</v>
      </c>
      <c r="J652" s="23" t="s">
        <v>249</v>
      </c>
      <c r="K652" s="86" t="s">
        <v>1232</v>
      </c>
      <c r="L652" s="86"/>
      <c r="M652" s="86"/>
      <c r="O652" s="347"/>
      <c r="P652" s="87">
        <v>1</v>
      </c>
      <c r="Q652" s="87">
        <v>1</v>
      </c>
      <c r="R652" s="84">
        <v>13.9</v>
      </c>
      <c r="X652" s="147">
        <v>0</v>
      </c>
      <c r="Y652" s="20">
        <f t="shared" si="30"/>
        <v>1</v>
      </c>
      <c r="AA652" s="98">
        <f t="shared" si="28"/>
        <v>0.36031999999999975</v>
      </c>
      <c r="AB652" s="98">
        <f t="shared" si="29"/>
        <v>1.4000000000000004</v>
      </c>
    </row>
    <row r="653" spans="1:29" ht="22.15" customHeight="1" x14ac:dyDescent="0.25">
      <c r="A653" s="21" t="s">
        <v>171</v>
      </c>
      <c r="B653" s="80" t="s">
        <v>1233</v>
      </c>
      <c r="C653" s="81">
        <v>12</v>
      </c>
      <c r="D653" s="23" t="s">
        <v>1222</v>
      </c>
      <c r="E653" s="23" t="s">
        <v>232</v>
      </c>
      <c r="F653" s="82" t="s">
        <v>248</v>
      </c>
      <c r="H653" s="346">
        <v>12.5</v>
      </c>
      <c r="I653" s="21">
        <v>12.13968</v>
      </c>
      <c r="J653" s="23" t="s">
        <v>249</v>
      </c>
      <c r="K653" s="86" t="s">
        <v>1234</v>
      </c>
      <c r="L653" s="86"/>
      <c r="M653" s="86"/>
      <c r="O653" s="347"/>
      <c r="P653" s="87">
        <v>1</v>
      </c>
      <c r="Q653" s="87">
        <v>1</v>
      </c>
      <c r="R653" s="84">
        <v>13.9</v>
      </c>
      <c r="X653" s="147">
        <v>0</v>
      </c>
      <c r="Y653" s="20">
        <f t="shared" si="30"/>
        <v>1</v>
      </c>
      <c r="AA653" s="98">
        <f t="shared" si="28"/>
        <v>0.36031999999999975</v>
      </c>
      <c r="AB653" s="98">
        <f t="shared" si="29"/>
        <v>1.4000000000000004</v>
      </c>
    </row>
    <row r="654" spans="1:29" ht="22.15" customHeight="1" x14ac:dyDescent="0.25">
      <c r="A654" s="21" t="s">
        <v>171</v>
      </c>
      <c r="B654" s="80" t="s">
        <v>1235</v>
      </c>
      <c r="C654" s="81">
        <v>12</v>
      </c>
      <c r="D654" s="23" t="s">
        <v>1222</v>
      </c>
      <c r="E654" s="23" t="s">
        <v>1236</v>
      </c>
      <c r="F654" s="82" t="s">
        <v>248</v>
      </c>
      <c r="H654" s="346">
        <v>12.5</v>
      </c>
      <c r="I654" s="21">
        <v>12.13968</v>
      </c>
      <c r="J654" s="23" t="s">
        <v>249</v>
      </c>
      <c r="K654" s="86" t="s">
        <v>1237</v>
      </c>
      <c r="L654" s="86"/>
      <c r="M654" s="86"/>
      <c r="O654" s="347"/>
      <c r="P654" s="87">
        <v>1</v>
      </c>
      <c r="Q654" s="87">
        <v>1</v>
      </c>
      <c r="R654" s="84">
        <v>13.9</v>
      </c>
      <c r="X654" s="147">
        <v>0</v>
      </c>
      <c r="Y654" s="20">
        <f t="shared" si="30"/>
        <v>1</v>
      </c>
      <c r="AA654" s="98">
        <f t="shared" si="28"/>
        <v>0.36031999999999975</v>
      </c>
      <c r="AB654" s="98">
        <f t="shared" si="29"/>
        <v>1.4000000000000004</v>
      </c>
    </row>
    <row r="655" spans="1:29" ht="22.15" customHeight="1" x14ac:dyDescent="0.25">
      <c r="A655" s="21" t="s">
        <v>171</v>
      </c>
      <c r="B655" s="80" t="s">
        <v>1238</v>
      </c>
      <c r="C655" s="81">
        <v>12</v>
      </c>
      <c r="D655" s="23" t="s">
        <v>1222</v>
      </c>
      <c r="E655" s="23" t="s">
        <v>1239</v>
      </c>
      <c r="F655" s="82" t="s">
        <v>248</v>
      </c>
      <c r="H655" s="346">
        <v>12.5</v>
      </c>
      <c r="I655" s="21">
        <v>12.13968</v>
      </c>
      <c r="J655" s="23" t="s">
        <v>249</v>
      </c>
      <c r="K655" s="86" t="s">
        <v>1240</v>
      </c>
      <c r="L655" s="86"/>
      <c r="M655" s="86"/>
      <c r="O655" s="347"/>
      <c r="P655" s="87">
        <v>1</v>
      </c>
      <c r="Q655" s="87">
        <v>1</v>
      </c>
      <c r="R655" s="84">
        <v>13.9</v>
      </c>
      <c r="X655" s="147">
        <v>0</v>
      </c>
      <c r="Y655" s="20">
        <f t="shared" si="30"/>
        <v>1</v>
      </c>
      <c r="AA655" s="98">
        <f t="shared" si="28"/>
        <v>0.36031999999999975</v>
      </c>
      <c r="AB655" s="98">
        <f t="shared" si="29"/>
        <v>1.4000000000000004</v>
      </c>
    </row>
    <row r="656" spans="1:29" ht="22.15" customHeight="1" x14ac:dyDescent="0.25">
      <c r="A656" s="21" t="s">
        <v>224</v>
      </c>
      <c r="B656" s="80" t="s">
        <v>1241</v>
      </c>
      <c r="C656" s="81">
        <v>12</v>
      </c>
      <c r="D656" s="23" t="s">
        <v>1242</v>
      </c>
      <c r="E656" s="23" t="s">
        <v>1243</v>
      </c>
      <c r="F656" s="82" t="s">
        <v>65</v>
      </c>
      <c r="H656" s="346">
        <v>11.9</v>
      </c>
      <c r="I656" s="21">
        <v>12.23</v>
      </c>
      <c r="J656" s="23" t="s">
        <v>249</v>
      </c>
      <c r="K656" s="86" t="s">
        <v>1244</v>
      </c>
      <c r="L656" s="86"/>
      <c r="M656" s="86"/>
      <c r="O656" s="347"/>
      <c r="P656" s="87">
        <v>1</v>
      </c>
      <c r="Q656" s="87">
        <v>1</v>
      </c>
      <c r="R656" s="84">
        <v>12.9</v>
      </c>
      <c r="X656" s="147">
        <v>0</v>
      </c>
      <c r="Y656" s="20">
        <f t="shared" si="30"/>
        <v>1</v>
      </c>
      <c r="AA656" s="98">
        <f t="shared" si="28"/>
        <v>-0.33000000000000007</v>
      </c>
      <c r="AB656" s="98">
        <f t="shared" si="29"/>
        <v>1</v>
      </c>
      <c r="AC656" s="23" t="s">
        <v>254</v>
      </c>
    </row>
    <row r="657" spans="1:29" ht="22.15" customHeight="1" x14ac:dyDescent="0.25">
      <c r="A657" s="21" t="s">
        <v>224</v>
      </c>
      <c r="B657" s="80" t="s">
        <v>1245</v>
      </c>
      <c r="C657" s="81">
        <v>8</v>
      </c>
      <c r="D657" s="23" t="s">
        <v>1246</v>
      </c>
      <c r="E657" s="23" t="s">
        <v>1247</v>
      </c>
      <c r="F657" s="82" t="s">
        <v>185</v>
      </c>
      <c r="H657" s="346">
        <v>30.9</v>
      </c>
      <c r="I657" s="21">
        <v>29.12</v>
      </c>
      <c r="J657" s="23" t="s">
        <v>176</v>
      </c>
      <c r="K657" s="86" t="s">
        <v>1248</v>
      </c>
      <c r="L657" s="86"/>
      <c r="M657" s="86"/>
      <c r="O657" s="347"/>
      <c r="P657" s="87">
        <v>1</v>
      </c>
      <c r="Q657" s="87">
        <v>1</v>
      </c>
      <c r="R657" s="84">
        <v>32.9</v>
      </c>
      <c r="Y657" s="20">
        <f t="shared" si="30"/>
        <v>1</v>
      </c>
      <c r="AA657" s="98">
        <f t="shared" si="28"/>
        <v>1.7799999999999976</v>
      </c>
      <c r="AB657" s="98">
        <f t="shared" si="29"/>
        <v>2</v>
      </c>
    </row>
    <row r="658" spans="1:29" ht="22.15" customHeight="1" x14ac:dyDescent="0.25">
      <c r="A658" s="21" t="s">
        <v>224</v>
      </c>
      <c r="B658" s="80" t="s">
        <v>1249</v>
      </c>
      <c r="C658" s="81">
        <v>8</v>
      </c>
      <c r="D658" s="23" t="s">
        <v>1250</v>
      </c>
      <c r="E658" s="23" t="s">
        <v>1251</v>
      </c>
      <c r="F658" s="82" t="s">
        <v>185</v>
      </c>
      <c r="H658" s="346">
        <v>30.9</v>
      </c>
      <c r="I658" s="21">
        <v>31.36</v>
      </c>
      <c r="J658" s="23" t="s">
        <v>176</v>
      </c>
      <c r="K658" s="86" t="s">
        <v>1252</v>
      </c>
      <c r="L658" s="86"/>
      <c r="M658" s="86"/>
      <c r="O658" s="347"/>
      <c r="P658" s="87">
        <v>1</v>
      </c>
      <c r="Q658" s="87">
        <v>1</v>
      </c>
      <c r="R658" s="84">
        <v>32.9</v>
      </c>
      <c r="Y658" s="20">
        <f t="shared" si="30"/>
        <v>1</v>
      </c>
      <c r="AA658" s="98">
        <f t="shared" si="28"/>
        <v>-0.46000000000000085</v>
      </c>
      <c r="AB658" s="98">
        <f t="shared" si="29"/>
        <v>2</v>
      </c>
      <c r="AC658" s="23" t="s">
        <v>1253</v>
      </c>
    </row>
    <row r="659" spans="1:29" ht="22.15" customHeight="1" x14ac:dyDescent="0.25">
      <c r="A659" s="21">
        <v>10</v>
      </c>
      <c r="B659" s="276">
        <v>8699444269245</v>
      </c>
      <c r="C659" s="81">
        <v>48</v>
      </c>
      <c r="D659" s="23" t="s">
        <v>1254</v>
      </c>
      <c r="H659" s="346">
        <v>27.9</v>
      </c>
      <c r="I659" s="21">
        <v>26.450600000000001</v>
      </c>
      <c r="J659" s="23" t="s">
        <v>1013</v>
      </c>
      <c r="K659" s="21" t="s">
        <v>1255</v>
      </c>
      <c r="O659" s="347"/>
      <c r="R659" s="84" t="s">
        <v>464</v>
      </c>
      <c r="Y659" s="20">
        <f t="shared" si="30"/>
        <v>1</v>
      </c>
      <c r="AA659" s="98">
        <f t="shared" si="28"/>
        <v>1.4493999999999971</v>
      </c>
      <c r="AB659" s="98" t="e">
        <f t="shared" si="29"/>
        <v>#VALUE!</v>
      </c>
    </row>
    <row r="660" spans="1:29" ht="22.15" customHeight="1" x14ac:dyDescent="0.25">
      <c r="A660" s="21">
        <v>10</v>
      </c>
      <c r="B660" s="276">
        <v>8699444269290</v>
      </c>
      <c r="C660" s="81">
        <v>48</v>
      </c>
      <c r="D660" s="23" t="s">
        <v>1256</v>
      </c>
      <c r="H660" s="346">
        <v>27.9</v>
      </c>
      <c r="I660" s="21">
        <v>26.450600000000001</v>
      </c>
      <c r="J660" s="23" t="s">
        <v>1013</v>
      </c>
      <c r="K660" s="21" t="s">
        <v>1257</v>
      </c>
      <c r="O660" s="347"/>
      <c r="R660" s="84" t="s">
        <v>464</v>
      </c>
      <c r="Y660" s="20">
        <f t="shared" si="30"/>
        <v>1</v>
      </c>
      <c r="AA660" s="98">
        <f t="shared" si="28"/>
        <v>1.4493999999999971</v>
      </c>
      <c r="AB660" s="98" t="e">
        <f t="shared" si="29"/>
        <v>#VALUE!</v>
      </c>
    </row>
    <row r="661" spans="1:29" ht="22.15" customHeight="1" x14ac:dyDescent="0.25">
      <c r="A661" s="21">
        <v>10</v>
      </c>
      <c r="B661" s="276">
        <v>8699444269283</v>
      </c>
      <c r="C661" s="81">
        <v>48</v>
      </c>
      <c r="D661" s="23" t="s">
        <v>1258</v>
      </c>
      <c r="H661" s="346">
        <v>27.9</v>
      </c>
      <c r="I661" s="21">
        <v>26.450600000000001</v>
      </c>
      <c r="J661" s="23" t="s">
        <v>1013</v>
      </c>
      <c r="K661" s="21" t="s">
        <v>1259</v>
      </c>
      <c r="O661" s="347"/>
      <c r="R661" s="84" t="s">
        <v>464</v>
      </c>
      <c r="Y661" s="20">
        <f t="shared" si="30"/>
        <v>1</v>
      </c>
      <c r="AA661" s="98">
        <f t="shared" si="28"/>
        <v>1.4493999999999971</v>
      </c>
      <c r="AB661" s="98" t="e">
        <f t="shared" si="29"/>
        <v>#VALUE!</v>
      </c>
    </row>
    <row r="662" spans="1:29" ht="22.15" customHeight="1" x14ac:dyDescent="0.25">
      <c r="A662" s="21">
        <v>10</v>
      </c>
      <c r="B662" s="276">
        <v>8699444269269</v>
      </c>
      <c r="C662" s="81">
        <v>48</v>
      </c>
      <c r="D662" s="23" t="s">
        <v>1260</v>
      </c>
      <c r="H662" s="346">
        <v>27.9</v>
      </c>
      <c r="I662" s="21">
        <v>26.450600000000001</v>
      </c>
      <c r="J662" s="23" t="s">
        <v>1013</v>
      </c>
      <c r="K662" s="21" t="s">
        <v>1261</v>
      </c>
      <c r="O662" s="347"/>
      <c r="R662" s="84" t="s">
        <v>464</v>
      </c>
      <c r="Y662" s="20">
        <f t="shared" si="30"/>
        <v>1</v>
      </c>
      <c r="AA662" s="98">
        <f t="shared" si="28"/>
        <v>1.4493999999999971</v>
      </c>
      <c r="AB662" s="98" t="e">
        <f t="shared" si="29"/>
        <v>#VALUE!</v>
      </c>
    </row>
    <row r="663" spans="1:29" ht="22.15" customHeight="1" x14ac:dyDescent="0.25">
      <c r="A663" s="21">
        <v>10</v>
      </c>
      <c r="B663" s="276">
        <v>8699444269252</v>
      </c>
      <c r="C663" s="81">
        <v>48</v>
      </c>
      <c r="D663" s="23" t="s">
        <v>1262</v>
      </c>
      <c r="H663" s="346">
        <v>27.9</v>
      </c>
      <c r="I663" s="21">
        <v>26.450600000000001</v>
      </c>
      <c r="J663" s="23" t="s">
        <v>1013</v>
      </c>
      <c r="K663" s="21" t="s">
        <v>1263</v>
      </c>
      <c r="O663" s="347"/>
      <c r="R663" s="84" t="s">
        <v>464</v>
      </c>
      <c r="Y663" s="20">
        <f t="shared" si="30"/>
        <v>1</v>
      </c>
      <c r="AA663" s="98">
        <f t="shared" si="28"/>
        <v>1.4493999999999971</v>
      </c>
      <c r="AB663" s="98" t="e">
        <f t="shared" si="29"/>
        <v>#VALUE!</v>
      </c>
    </row>
    <row r="664" spans="1:29" ht="22.15" customHeight="1" x14ac:dyDescent="0.25">
      <c r="A664" s="21">
        <v>10</v>
      </c>
      <c r="B664" s="276">
        <v>8699444269221</v>
      </c>
      <c r="C664" s="81">
        <v>48</v>
      </c>
      <c r="D664" s="23" t="s">
        <v>1264</v>
      </c>
      <c r="H664" s="346">
        <v>27.9</v>
      </c>
      <c r="I664" s="21">
        <v>26.450600000000001</v>
      </c>
      <c r="J664" s="23" t="s">
        <v>1013</v>
      </c>
      <c r="K664" s="21" t="s">
        <v>1265</v>
      </c>
      <c r="O664" s="347"/>
      <c r="R664" s="84" t="s">
        <v>464</v>
      </c>
      <c r="Y664" s="20">
        <f t="shared" si="30"/>
        <v>1</v>
      </c>
      <c r="AA664" s="98">
        <f t="shared" si="28"/>
        <v>1.4493999999999971</v>
      </c>
      <c r="AB664" s="98" t="e">
        <f t="shared" si="29"/>
        <v>#VALUE!</v>
      </c>
    </row>
    <row r="665" spans="1:29" ht="22.15" customHeight="1" x14ac:dyDescent="0.25">
      <c r="A665" s="21">
        <v>10</v>
      </c>
      <c r="B665" s="276">
        <v>8699444269238</v>
      </c>
      <c r="C665" s="81">
        <v>48</v>
      </c>
      <c r="D665" s="23" t="s">
        <v>1266</v>
      </c>
      <c r="H665" s="346">
        <v>27.9</v>
      </c>
      <c r="I665" s="21">
        <v>26.450600000000001</v>
      </c>
      <c r="J665" s="23" t="s">
        <v>1013</v>
      </c>
      <c r="K665" s="21" t="s">
        <v>1267</v>
      </c>
      <c r="O665" s="347"/>
      <c r="R665" s="84" t="s">
        <v>464</v>
      </c>
      <c r="Y665" s="20">
        <f t="shared" si="30"/>
        <v>1</v>
      </c>
      <c r="AA665" s="98">
        <f t="shared" si="28"/>
        <v>1.4493999999999971</v>
      </c>
      <c r="AB665" s="98" t="e">
        <f t="shared" si="29"/>
        <v>#VALUE!</v>
      </c>
    </row>
    <row r="666" spans="1:29" ht="22.15" customHeight="1" x14ac:dyDescent="0.25">
      <c r="A666" s="21">
        <v>10</v>
      </c>
      <c r="B666" s="276">
        <v>8699444269276</v>
      </c>
      <c r="C666" s="81">
        <v>48</v>
      </c>
      <c r="D666" s="23" t="s">
        <v>1268</v>
      </c>
      <c r="H666" s="346">
        <v>27.9</v>
      </c>
      <c r="I666" s="21">
        <v>26.450600000000001</v>
      </c>
      <c r="J666" s="23" t="s">
        <v>1013</v>
      </c>
      <c r="K666" s="21" t="s">
        <v>1269</v>
      </c>
      <c r="O666" s="347"/>
      <c r="R666" s="84" t="s">
        <v>464</v>
      </c>
      <c r="Y666" s="20">
        <f t="shared" si="30"/>
        <v>1</v>
      </c>
      <c r="AA666" s="98">
        <f t="shared" si="28"/>
        <v>1.4493999999999971</v>
      </c>
      <c r="AB666" s="98" t="e">
        <f t="shared" si="29"/>
        <v>#VALUE!</v>
      </c>
    </row>
    <row r="667" spans="1:29" ht="22.15" customHeight="1" x14ac:dyDescent="0.25">
      <c r="A667" s="21" t="s">
        <v>103</v>
      </c>
      <c r="B667" s="276" t="s">
        <v>1270</v>
      </c>
      <c r="C667" s="81">
        <v>12</v>
      </c>
      <c r="D667" s="23" t="s">
        <v>1271</v>
      </c>
      <c r="H667" s="346">
        <v>53.5</v>
      </c>
      <c r="I667" s="21">
        <v>50.700209999999998</v>
      </c>
      <c r="J667" s="23" t="s">
        <v>907</v>
      </c>
      <c r="K667" s="21" t="s">
        <v>1272</v>
      </c>
      <c r="O667" s="347"/>
      <c r="R667" s="84" t="s">
        <v>909</v>
      </c>
      <c r="Y667" s="20">
        <f t="shared" si="30"/>
        <v>1</v>
      </c>
      <c r="AA667" s="98">
        <f t="shared" si="28"/>
        <v>2.7997900000000016</v>
      </c>
      <c r="AB667" s="98" t="e">
        <f t="shared" si="29"/>
        <v>#VALUE!</v>
      </c>
    </row>
    <row r="668" spans="1:29" ht="22.15" customHeight="1" x14ac:dyDescent="0.25">
      <c r="A668" s="21" t="s">
        <v>103</v>
      </c>
      <c r="B668" s="276" t="s">
        <v>1273</v>
      </c>
      <c r="C668" s="81">
        <v>12</v>
      </c>
      <c r="D668" s="23" t="s">
        <v>1274</v>
      </c>
      <c r="H668" s="346">
        <v>53.5</v>
      </c>
      <c r="I668" s="21">
        <v>50.698999999999998</v>
      </c>
      <c r="J668" s="23" t="s">
        <v>907</v>
      </c>
      <c r="K668" s="21" t="s">
        <v>1275</v>
      </c>
      <c r="O668" s="347"/>
      <c r="R668" s="84" t="s">
        <v>909</v>
      </c>
      <c r="Y668" s="20">
        <f t="shared" si="30"/>
        <v>1</v>
      </c>
      <c r="AA668" s="98">
        <f t="shared" si="28"/>
        <v>2.8010000000000019</v>
      </c>
      <c r="AB668" s="98" t="e">
        <f t="shared" si="29"/>
        <v>#VALUE!</v>
      </c>
    </row>
    <row r="669" spans="1:29" ht="22.15" customHeight="1" x14ac:dyDescent="0.25">
      <c r="A669" s="21" t="s">
        <v>103</v>
      </c>
      <c r="B669" s="276" t="s">
        <v>1276</v>
      </c>
      <c r="C669" s="81">
        <v>12</v>
      </c>
      <c r="D669" s="23" t="s">
        <v>1277</v>
      </c>
      <c r="H669" s="346">
        <v>53.5</v>
      </c>
      <c r="I669" s="21">
        <v>50.700209999999998</v>
      </c>
      <c r="J669" s="23" t="s">
        <v>907</v>
      </c>
      <c r="K669" s="21" t="s">
        <v>1278</v>
      </c>
      <c r="O669" s="347"/>
      <c r="R669" s="84" t="s">
        <v>909</v>
      </c>
      <c r="Y669" s="20">
        <f t="shared" si="30"/>
        <v>1</v>
      </c>
      <c r="AA669" s="98">
        <f t="shared" si="28"/>
        <v>2.7997900000000016</v>
      </c>
      <c r="AB669" s="98" t="e">
        <f t="shared" si="29"/>
        <v>#VALUE!</v>
      </c>
    </row>
    <row r="670" spans="1:29" ht="22.15" customHeight="1" x14ac:dyDescent="0.25">
      <c r="A670" s="21" t="s">
        <v>103</v>
      </c>
      <c r="B670" s="276" t="s">
        <v>1279</v>
      </c>
      <c r="C670" s="81">
        <v>12</v>
      </c>
      <c r="D670" s="23" t="s">
        <v>1280</v>
      </c>
      <c r="H670" s="346">
        <v>53.5</v>
      </c>
      <c r="I670" s="21">
        <v>50.698999999999998</v>
      </c>
      <c r="J670" s="23" t="s">
        <v>907</v>
      </c>
      <c r="K670" s="21" t="s">
        <v>1281</v>
      </c>
      <c r="O670" s="347"/>
      <c r="R670" s="84" t="s">
        <v>909</v>
      </c>
      <c r="Y670" s="20">
        <f t="shared" si="30"/>
        <v>1</v>
      </c>
      <c r="AA670" s="98">
        <f t="shared" si="28"/>
        <v>2.8010000000000019</v>
      </c>
      <c r="AB670" s="98" t="e">
        <f t="shared" si="29"/>
        <v>#VALUE!</v>
      </c>
    </row>
    <row r="671" spans="1:29" ht="22.15" customHeight="1" x14ac:dyDescent="0.25">
      <c r="A671" s="21" t="s">
        <v>103</v>
      </c>
      <c r="B671" s="276" t="s">
        <v>1282</v>
      </c>
      <c r="C671" s="81">
        <v>10</v>
      </c>
      <c r="D671" s="23" t="s">
        <v>1283</v>
      </c>
      <c r="H671" s="346">
        <v>24.9</v>
      </c>
      <c r="I671" s="21">
        <v>23.594999999999999</v>
      </c>
      <c r="J671" s="23" t="s">
        <v>936</v>
      </c>
      <c r="K671" s="21" t="s">
        <v>1284</v>
      </c>
      <c r="O671" s="347"/>
      <c r="R671" s="84" t="s">
        <v>938</v>
      </c>
      <c r="Y671" s="20">
        <f t="shared" si="30"/>
        <v>1</v>
      </c>
      <c r="AA671" s="98">
        <f t="shared" si="28"/>
        <v>1.3049999999999997</v>
      </c>
      <c r="AB671" s="98" t="e">
        <f t="shared" si="29"/>
        <v>#VALUE!</v>
      </c>
    </row>
    <row r="672" spans="1:29" ht="22.15" customHeight="1" x14ac:dyDescent="0.25">
      <c r="A672" s="21" t="s">
        <v>103</v>
      </c>
      <c r="B672" s="276" t="s">
        <v>1285</v>
      </c>
      <c r="C672" s="81">
        <v>10</v>
      </c>
      <c r="D672" s="23" t="s">
        <v>1286</v>
      </c>
      <c r="H672" s="346">
        <v>24.9</v>
      </c>
      <c r="I672" s="21">
        <v>23.594999999999999</v>
      </c>
      <c r="J672" s="23" t="s">
        <v>936</v>
      </c>
      <c r="K672" s="21" t="s">
        <v>1287</v>
      </c>
      <c r="O672" s="347"/>
      <c r="R672" s="84" t="s">
        <v>938</v>
      </c>
      <c r="Y672" s="20">
        <f t="shared" si="30"/>
        <v>1</v>
      </c>
      <c r="AA672" s="98">
        <f t="shared" si="28"/>
        <v>1.3049999999999997</v>
      </c>
      <c r="AB672" s="98" t="e">
        <f t="shared" si="29"/>
        <v>#VALUE!</v>
      </c>
    </row>
    <row r="673" spans="1:28" ht="22.15" customHeight="1" x14ac:dyDescent="0.25">
      <c r="A673" s="21" t="s">
        <v>103</v>
      </c>
      <c r="B673" s="276" t="s">
        <v>1288</v>
      </c>
      <c r="C673" s="81">
        <v>10</v>
      </c>
      <c r="D673" s="23" t="s">
        <v>1289</v>
      </c>
      <c r="H673" s="346">
        <v>24.9</v>
      </c>
      <c r="I673" s="21">
        <v>23.594999999999999</v>
      </c>
      <c r="J673" s="23" t="s">
        <v>936</v>
      </c>
      <c r="K673" s="21" t="s">
        <v>1290</v>
      </c>
      <c r="O673" s="347"/>
      <c r="R673" s="84" t="s">
        <v>938</v>
      </c>
      <c r="Y673" s="20">
        <f t="shared" si="30"/>
        <v>1</v>
      </c>
      <c r="AA673" s="98">
        <f t="shared" si="28"/>
        <v>1.3049999999999997</v>
      </c>
      <c r="AB673" s="98" t="e">
        <f t="shared" si="29"/>
        <v>#VALUE!</v>
      </c>
    </row>
    <row r="674" spans="1:28" ht="22.15" customHeight="1" x14ac:dyDescent="0.25">
      <c r="A674" s="21" t="s">
        <v>103</v>
      </c>
      <c r="B674" s="276" t="s">
        <v>1291</v>
      </c>
      <c r="C674" s="81">
        <v>10</v>
      </c>
      <c r="D674" s="23" t="s">
        <v>1292</v>
      </c>
      <c r="H674" s="346">
        <v>24.9</v>
      </c>
      <c r="I674" s="21">
        <v>23.594999999999999</v>
      </c>
      <c r="J674" s="23" t="s">
        <v>936</v>
      </c>
      <c r="K674" s="21" t="s">
        <v>1293</v>
      </c>
      <c r="O674" s="347"/>
      <c r="R674" s="84" t="s">
        <v>938</v>
      </c>
      <c r="Y674" s="20">
        <f t="shared" si="30"/>
        <v>1</v>
      </c>
      <c r="AA674" s="98">
        <f t="shared" si="28"/>
        <v>1.3049999999999997</v>
      </c>
      <c r="AB674" s="98" t="e">
        <f t="shared" si="29"/>
        <v>#VALUE!</v>
      </c>
    </row>
    <row r="675" spans="1:28" ht="22.15" customHeight="1" x14ac:dyDescent="0.25">
      <c r="A675" s="21" t="s">
        <v>103</v>
      </c>
      <c r="B675" s="276" t="s">
        <v>1294</v>
      </c>
      <c r="C675" s="81">
        <v>16</v>
      </c>
      <c r="D675" s="23" t="s">
        <v>1295</v>
      </c>
      <c r="H675" s="346">
        <v>29.9</v>
      </c>
      <c r="I675" s="21">
        <v>27.71</v>
      </c>
      <c r="J675" s="23" t="s">
        <v>743</v>
      </c>
      <c r="K675" s="21" t="s">
        <v>1296</v>
      </c>
      <c r="O675" s="347"/>
      <c r="R675" s="84" t="s">
        <v>791</v>
      </c>
      <c r="Y675" s="20">
        <f t="shared" si="30"/>
        <v>1</v>
      </c>
      <c r="AA675" s="98">
        <f t="shared" si="28"/>
        <v>2.1899999999999977</v>
      </c>
      <c r="AB675" s="98" t="e">
        <f t="shared" si="29"/>
        <v>#VALUE!</v>
      </c>
    </row>
    <row r="676" spans="1:28" ht="22.15" customHeight="1" x14ac:dyDescent="0.25">
      <c r="A676" s="21" t="s">
        <v>103</v>
      </c>
      <c r="B676" s="276" t="s">
        <v>1297</v>
      </c>
      <c r="C676" s="81">
        <v>10</v>
      </c>
      <c r="D676" s="23" t="s">
        <v>1298</v>
      </c>
      <c r="H676" s="346">
        <v>21.9</v>
      </c>
      <c r="I676" s="21">
        <v>21.02</v>
      </c>
      <c r="J676" s="23" t="s">
        <v>936</v>
      </c>
      <c r="K676" s="21" t="s">
        <v>1299</v>
      </c>
      <c r="O676" s="347"/>
      <c r="R676" s="84" t="s">
        <v>970</v>
      </c>
      <c r="Y676" s="20">
        <f t="shared" si="30"/>
        <v>1</v>
      </c>
      <c r="AA676" s="98">
        <f t="shared" si="28"/>
        <v>0.87999999999999901</v>
      </c>
      <c r="AB676" s="98" t="e">
        <f t="shared" si="29"/>
        <v>#VALUE!</v>
      </c>
    </row>
    <row r="677" spans="1:28" ht="22.15" customHeight="1" x14ac:dyDescent="0.25">
      <c r="A677" s="21" t="s">
        <v>965</v>
      </c>
      <c r="B677" s="276" t="s">
        <v>1300</v>
      </c>
      <c r="C677" s="81">
        <v>10</v>
      </c>
      <c r="D677" s="23" t="s">
        <v>1301</v>
      </c>
      <c r="H677" s="346">
        <v>21.9</v>
      </c>
      <c r="I677" s="21">
        <v>21.02</v>
      </c>
      <c r="J677" s="23" t="s">
        <v>936</v>
      </c>
      <c r="K677" s="21" t="s">
        <v>1302</v>
      </c>
      <c r="O677" s="347"/>
      <c r="R677" s="84" t="s">
        <v>970</v>
      </c>
      <c r="Y677" s="20">
        <f t="shared" si="30"/>
        <v>1</v>
      </c>
      <c r="AA677" s="98">
        <f t="shared" si="28"/>
        <v>0.87999999999999901</v>
      </c>
      <c r="AB677" s="98" t="e">
        <f t="shared" si="29"/>
        <v>#VALUE!</v>
      </c>
    </row>
    <row r="678" spans="1:28" ht="22.15" customHeight="1" x14ac:dyDescent="0.25">
      <c r="A678" s="21" t="s">
        <v>103</v>
      </c>
      <c r="B678" s="276" t="s">
        <v>1303</v>
      </c>
      <c r="C678" s="81">
        <v>10</v>
      </c>
      <c r="D678" s="23" t="s">
        <v>1304</v>
      </c>
      <c r="H678" s="346">
        <v>21.9</v>
      </c>
      <c r="I678" s="21">
        <v>21.02</v>
      </c>
      <c r="J678" s="23" t="s">
        <v>936</v>
      </c>
      <c r="K678" s="21" t="s">
        <v>1305</v>
      </c>
      <c r="O678" s="347"/>
      <c r="R678" s="84" t="s">
        <v>970</v>
      </c>
      <c r="Y678" s="20">
        <f t="shared" si="30"/>
        <v>1</v>
      </c>
      <c r="AA678" s="98">
        <f t="shared" si="28"/>
        <v>0.87999999999999901</v>
      </c>
      <c r="AB678" s="98" t="e">
        <f t="shared" si="29"/>
        <v>#VALUE!</v>
      </c>
    </row>
    <row r="679" spans="1:28" ht="22.15" customHeight="1" x14ac:dyDescent="0.25">
      <c r="A679" s="21" t="s">
        <v>103</v>
      </c>
      <c r="B679" s="276" t="s">
        <v>1306</v>
      </c>
      <c r="C679" s="81">
        <v>12</v>
      </c>
      <c r="D679" s="23" t="s">
        <v>1307</v>
      </c>
      <c r="H679" s="346">
        <v>69.900000000000006</v>
      </c>
      <c r="I679" s="21">
        <v>65.91</v>
      </c>
      <c r="J679" s="23" t="s">
        <v>830</v>
      </c>
      <c r="K679" s="21" t="s">
        <v>1308</v>
      </c>
      <c r="O679" s="347"/>
      <c r="R679" s="84" t="s">
        <v>932</v>
      </c>
      <c r="Y679" s="20">
        <f t="shared" si="30"/>
        <v>1</v>
      </c>
      <c r="AA679" s="98">
        <f t="shared" si="28"/>
        <v>3.9900000000000091</v>
      </c>
      <c r="AB679" s="98" t="e">
        <f t="shared" si="29"/>
        <v>#VALUE!</v>
      </c>
    </row>
    <row r="680" spans="1:28" ht="22.15" customHeight="1" x14ac:dyDescent="0.25">
      <c r="A680" s="21" t="s">
        <v>255</v>
      </c>
      <c r="B680" s="276" t="s">
        <v>1309</v>
      </c>
      <c r="C680" s="81">
        <v>4</v>
      </c>
      <c r="D680" s="23" t="s">
        <v>1310</v>
      </c>
      <c r="H680" s="346">
        <v>194.9</v>
      </c>
      <c r="I680" s="21">
        <v>175.45</v>
      </c>
      <c r="J680" s="23" t="s">
        <v>1050</v>
      </c>
      <c r="K680" s="21" t="s">
        <v>1311</v>
      </c>
      <c r="O680" s="347"/>
      <c r="R680" s="84" t="s">
        <v>1052</v>
      </c>
      <c r="Y680" s="20">
        <f t="shared" si="30"/>
        <v>1</v>
      </c>
      <c r="AA680" s="98">
        <f t="shared" si="28"/>
        <v>19.450000000000017</v>
      </c>
      <c r="AB680" s="98" t="e">
        <f t="shared" si="29"/>
        <v>#VALUE!</v>
      </c>
    </row>
    <row r="681" spans="1:28" ht="22.15" customHeight="1" x14ac:dyDescent="0.25">
      <c r="A681" s="21" t="s">
        <v>255</v>
      </c>
      <c r="B681" s="276" t="s">
        <v>1312</v>
      </c>
      <c r="C681" s="81">
        <v>4</v>
      </c>
      <c r="D681" s="23" t="s">
        <v>1313</v>
      </c>
      <c r="H681" s="346">
        <v>194.9</v>
      </c>
      <c r="I681" s="21">
        <v>175.45</v>
      </c>
      <c r="J681" s="23" t="s">
        <v>1050</v>
      </c>
      <c r="K681" s="21" t="s">
        <v>1314</v>
      </c>
      <c r="O681" s="347"/>
      <c r="R681" s="84" t="s">
        <v>1052</v>
      </c>
      <c r="Y681" s="20">
        <f t="shared" si="30"/>
        <v>1</v>
      </c>
      <c r="AA681" s="98">
        <f t="shared" si="28"/>
        <v>19.450000000000017</v>
      </c>
      <c r="AB681" s="98" t="e">
        <f t="shared" si="29"/>
        <v>#VALUE!</v>
      </c>
    </row>
    <row r="682" spans="1:28" ht="22.15" customHeight="1" x14ac:dyDescent="0.25">
      <c r="A682" s="21" t="s">
        <v>103</v>
      </c>
      <c r="B682" s="276" t="s">
        <v>1315</v>
      </c>
      <c r="C682" s="81">
        <v>4</v>
      </c>
      <c r="D682" s="23" t="s">
        <v>1316</v>
      </c>
      <c r="H682" s="346">
        <v>169.9</v>
      </c>
      <c r="I682" s="21">
        <v>160.93</v>
      </c>
      <c r="J682" s="23" t="s">
        <v>981</v>
      </c>
      <c r="K682" s="21" t="s">
        <v>1317</v>
      </c>
      <c r="O682" s="347"/>
      <c r="R682" s="84" t="s">
        <v>983</v>
      </c>
      <c r="Y682" s="20">
        <f t="shared" si="30"/>
        <v>1</v>
      </c>
      <c r="AA682" s="98">
        <f t="shared" si="28"/>
        <v>8.9699999999999989</v>
      </c>
      <c r="AB682" s="98" t="e">
        <f t="shared" si="29"/>
        <v>#VALUE!</v>
      </c>
    </row>
    <row r="683" spans="1:28" ht="22.15" customHeight="1" x14ac:dyDescent="0.25">
      <c r="A683" s="21" t="s">
        <v>103</v>
      </c>
      <c r="B683" s="276" t="s">
        <v>1318</v>
      </c>
      <c r="C683" s="81">
        <v>4</v>
      </c>
      <c r="D683" s="23" t="s">
        <v>1319</v>
      </c>
      <c r="H683" s="346">
        <v>169.9</v>
      </c>
      <c r="I683" s="21">
        <v>160.93</v>
      </c>
      <c r="J683" s="23" t="s">
        <v>981</v>
      </c>
      <c r="K683" s="21" t="s">
        <v>1320</v>
      </c>
      <c r="O683" s="347"/>
      <c r="R683" s="84" t="s">
        <v>983</v>
      </c>
      <c r="Y683" s="20">
        <f t="shared" si="30"/>
        <v>1</v>
      </c>
      <c r="AA683" s="98">
        <f t="shared" si="28"/>
        <v>8.9699999999999989</v>
      </c>
      <c r="AB683" s="98" t="e">
        <f t="shared" si="29"/>
        <v>#VALUE!</v>
      </c>
    </row>
    <row r="684" spans="1:28" ht="22.15" customHeight="1" x14ac:dyDescent="0.25">
      <c r="A684" s="21" t="s">
        <v>103</v>
      </c>
      <c r="B684" s="276" t="s">
        <v>1321</v>
      </c>
      <c r="C684" s="81">
        <v>8</v>
      </c>
      <c r="D684" s="23" t="s">
        <v>1322</v>
      </c>
      <c r="H684" s="346">
        <v>55.9</v>
      </c>
      <c r="I684" s="21">
        <v>53.12</v>
      </c>
      <c r="J684" s="23" t="s">
        <v>988</v>
      </c>
      <c r="K684" s="21" t="s">
        <v>1323</v>
      </c>
      <c r="O684" s="347"/>
      <c r="R684" s="84" t="s">
        <v>909</v>
      </c>
      <c r="Y684" s="20">
        <f t="shared" si="30"/>
        <v>1</v>
      </c>
      <c r="AA684" s="98">
        <f t="shared" si="28"/>
        <v>2.7800000000000011</v>
      </c>
      <c r="AB684" s="98" t="e">
        <f t="shared" si="29"/>
        <v>#VALUE!</v>
      </c>
    </row>
    <row r="685" spans="1:28" ht="22.15" customHeight="1" x14ac:dyDescent="0.25">
      <c r="A685" s="21" t="s">
        <v>103</v>
      </c>
      <c r="B685" s="276" t="s">
        <v>1324</v>
      </c>
      <c r="C685" s="81">
        <v>8</v>
      </c>
      <c r="D685" s="23" t="s">
        <v>1325</v>
      </c>
      <c r="H685" s="346">
        <v>55.9</v>
      </c>
      <c r="I685" s="21">
        <v>53.12</v>
      </c>
      <c r="J685" s="23" t="s">
        <v>988</v>
      </c>
      <c r="K685" s="21" t="s">
        <v>1326</v>
      </c>
      <c r="O685" s="347"/>
      <c r="R685" s="84" t="s">
        <v>909</v>
      </c>
      <c r="Y685" s="20">
        <f t="shared" si="30"/>
        <v>1</v>
      </c>
      <c r="AA685" s="98">
        <f t="shared" si="28"/>
        <v>2.7800000000000011</v>
      </c>
      <c r="AB685" s="98" t="e">
        <f t="shared" si="29"/>
        <v>#VALUE!</v>
      </c>
    </row>
    <row r="686" spans="1:28" ht="22.15" customHeight="1" x14ac:dyDescent="0.25">
      <c r="A686" s="21" t="s">
        <v>103</v>
      </c>
      <c r="B686" s="276" t="s">
        <v>1327</v>
      </c>
      <c r="C686" s="81">
        <v>6</v>
      </c>
      <c r="D686" s="23" t="s">
        <v>1328</v>
      </c>
      <c r="H686" s="346">
        <v>16.5</v>
      </c>
      <c r="I686" s="21">
        <v>15.79</v>
      </c>
      <c r="J686" s="23" t="s">
        <v>993</v>
      </c>
      <c r="K686" s="21" t="s">
        <v>1329</v>
      </c>
      <c r="O686" s="347"/>
      <c r="R686" s="84" t="s">
        <v>995</v>
      </c>
      <c r="Y686" s="20">
        <f t="shared" si="30"/>
        <v>1</v>
      </c>
      <c r="AA686" s="98">
        <f t="shared" ref="AA686:AA749" si="31">H686-I686</f>
        <v>0.71000000000000085</v>
      </c>
      <c r="AB686" s="98" t="e">
        <f t="shared" ref="AB686:AB749" si="32">R686-H686</f>
        <v>#VALUE!</v>
      </c>
    </row>
    <row r="687" spans="1:28" ht="22.15" customHeight="1" x14ac:dyDescent="0.25">
      <c r="A687" s="21" t="s">
        <v>103</v>
      </c>
      <c r="B687" s="276" t="s">
        <v>1330</v>
      </c>
      <c r="C687" s="81">
        <v>6</v>
      </c>
      <c r="D687" s="23" t="s">
        <v>1331</v>
      </c>
      <c r="H687" s="346">
        <v>16.5</v>
      </c>
      <c r="I687" s="21">
        <v>15.79</v>
      </c>
      <c r="J687" s="23" t="s">
        <v>993</v>
      </c>
      <c r="K687" s="21" t="s">
        <v>1332</v>
      </c>
      <c r="O687" s="347"/>
      <c r="R687" s="84" t="s">
        <v>995</v>
      </c>
      <c r="Y687" s="20">
        <f t="shared" si="30"/>
        <v>1</v>
      </c>
      <c r="AA687" s="98">
        <f t="shared" si="31"/>
        <v>0.71000000000000085</v>
      </c>
      <c r="AB687" s="98" t="e">
        <f t="shared" si="32"/>
        <v>#VALUE!</v>
      </c>
    </row>
    <row r="688" spans="1:28" ht="22.15" customHeight="1" x14ac:dyDescent="0.25">
      <c r="A688" s="21" t="s">
        <v>103</v>
      </c>
      <c r="B688" s="276" t="s">
        <v>1333</v>
      </c>
      <c r="C688" s="81">
        <v>6</v>
      </c>
      <c r="D688" s="23" t="s">
        <v>1334</v>
      </c>
      <c r="H688" s="346">
        <v>16.5</v>
      </c>
      <c r="I688" s="21">
        <v>15.79</v>
      </c>
      <c r="J688" s="23" t="s">
        <v>993</v>
      </c>
      <c r="K688" s="21" t="s">
        <v>1335</v>
      </c>
      <c r="O688" s="347"/>
      <c r="R688" s="84" t="s">
        <v>995</v>
      </c>
      <c r="Y688" s="20">
        <f t="shared" si="30"/>
        <v>1</v>
      </c>
      <c r="AA688" s="98">
        <f t="shared" si="31"/>
        <v>0.71000000000000085</v>
      </c>
      <c r="AB688" s="98" t="e">
        <f t="shared" si="32"/>
        <v>#VALUE!</v>
      </c>
    </row>
    <row r="689" spans="1:28" ht="22.15" customHeight="1" x14ac:dyDescent="0.25">
      <c r="A689" s="21" t="s">
        <v>103</v>
      </c>
      <c r="B689" s="276" t="s">
        <v>1336</v>
      </c>
      <c r="C689" s="81">
        <v>6</v>
      </c>
      <c r="D689" s="23" t="s">
        <v>1337</v>
      </c>
      <c r="H689" s="346">
        <v>16.5</v>
      </c>
      <c r="I689" s="21">
        <v>15.79</v>
      </c>
      <c r="J689" s="23" t="s">
        <v>993</v>
      </c>
      <c r="K689" s="21" t="s">
        <v>1338</v>
      </c>
      <c r="O689" s="347"/>
      <c r="R689" s="84" t="s">
        <v>995</v>
      </c>
      <c r="Y689" s="20">
        <f t="shared" si="30"/>
        <v>1</v>
      </c>
      <c r="AA689" s="98">
        <f t="shared" si="31"/>
        <v>0.71000000000000085</v>
      </c>
      <c r="AB689" s="98" t="e">
        <f t="shared" si="32"/>
        <v>#VALUE!</v>
      </c>
    </row>
    <row r="690" spans="1:28" ht="22.15" customHeight="1" x14ac:dyDescent="0.25">
      <c r="A690" s="21" t="s">
        <v>103</v>
      </c>
      <c r="B690" s="276" t="s">
        <v>1339</v>
      </c>
      <c r="C690" s="81">
        <v>12</v>
      </c>
      <c r="D690" s="23" t="s">
        <v>1340</v>
      </c>
      <c r="H690" s="346">
        <v>71.900000000000006</v>
      </c>
      <c r="I690" s="21">
        <v>67.91</v>
      </c>
      <c r="J690" s="23" t="s">
        <v>899</v>
      </c>
      <c r="K690" s="21" t="s">
        <v>1341</v>
      </c>
      <c r="O690" s="347"/>
      <c r="R690" s="84" t="s">
        <v>1000</v>
      </c>
      <c r="Y690" s="20">
        <f t="shared" si="30"/>
        <v>1</v>
      </c>
      <c r="AA690" s="98">
        <f t="shared" si="31"/>
        <v>3.9900000000000091</v>
      </c>
      <c r="AB690" s="98" t="e">
        <f t="shared" si="32"/>
        <v>#VALUE!</v>
      </c>
    </row>
    <row r="691" spans="1:28" ht="22.15" customHeight="1" x14ac:dyDescent="0.25">
      <c r="A691" s="21" t="s">
        <v>297</v>
      </c>
      <c r="B691" s="276" t="s">
        <v>1342</v>
      </c>
      <c r="C691" s="81">
        <v>8</v>
      </c>
      <c r="D691" s="23" t="s">
        <v>1343</v>
      </c>
      <c r="H691" s="346">
        <v>119.9</v>
      </c>
      <c r="I691" s="21">
        <v>92.17</v>
      </c>
      <c r="J691" s="23" t="s">
        <v>916</v>
      </c>
      <c r="K691" s="21" t="s">
        <v>1344</v>
      </c>
      <c r="O691" s="347"/>
      <c r="R691" s="84" t="s">
        <v>1007</v>
      </c>
      <c r="Y691" s="20">
        <f t="shared" si="30"/>
        <v>1</v>
      </c>
      <c r="AA691" s="98">
        <f t="shared" si="31"/>
        <v>27.730000000000004</v>
      </c>
      <c r="AB691" s="98" t="e">
        <f t="shared" si="32"/>
        <v>#VALUE!</v>
      </c>
    </row>
    <row r="692" spans="1:28" ht="22.15" customHeight="1" x14ac:dyDescent="0.25">
      <c r="A692" s="21" t="s">
        <v>965</v>
      </c>
      <c r="B692" s="276" t="s">
        <v>1345</v>
      </c>
      <c r="C692" s="81">
        <v>24</v>
      </c>
      <c r="D692" s="23" t="s">
        <v>1346</v>
      </c>
      <c r="H692" s="346">
        <v>15.9</v>
      </c>
      <c r="I692" s="21">
        <v>14.88058</v>
      </c>
      <c r="J692" s="23" t="s">
        <v>1058</v>
      </c>
      <c r="K692" s="21" t="s">
        <v>1347</v>
      </c>
      <c r="O692" s="347"/>
      <c r="R692" s="84" t="s">
        <v>826</v>
      </c>
      <c r="Y692" s="20">
        <f t="shared" si="30"/>
        <v>1</v>
      </c>
      <c r="AA692" s="98">
        <f t="shared" si="31"/>
        <v>1.0194200000000002</v>
      </c>
      <c r="AB692" s="98" t="e">
        <f t="shared" si="32"/>
        <v>#VALUE!</v>
      </c>
    </row>
    <row r="693" spans="1:28" ht="22.15" customHeight="1" x14ac:dyDescent="0.25">
      <c r="A693" s="21" t="s">
        <v>965</v>
      </c>
      <c r="B693" s="276" t="s">
        <v>1348</v>
      </c>
      <c r="C693" s="81">
        <v>6</v>
      </c>
      <c r="D693" s="23" t="s">
        <v>1349</v>
      </c>
      <c r="H693" s="346">
        <v>36.9</v>
      </c>
      <c r="I693" s="21">
        <v>30.400040000000001</v>
      </c>
      <c r="J693" s="23" t="s">
        <v>1058</v>
      </c>
      <c r="K693" s="21" t="s">
        <v>1350</v>
      </c>
      <c r="O693" s="347"/>
      <c r="R693" s="84" t="s">
        <v>111</v>
      </c>
      <c r="Y693" s="20">
        <f t="shared" si="30"/>
        <v>1</v>
      </c>
      <c r="AA693" s="98">
        <f t="shared" si="31"/>
        <v>6.499959999999998</v>
      </c>
      <c r="AB693" s="98" t="e">
        <f t="shared" si="32"/>
        <v>#VALUE!</v>
      </c>
    </row>
    <row r="694" spans="1:28" ht="22.15" customHeight="1" x14ac:dyDescent="0.25">
      <c r="A694" s="21" t="s">
        <v>965</v>
      </c>
      <c r="B694" s="276" t="s">
        <v>1351</v>
      </c>
      <c r="C694" s="81">
        <v>6</v>
      </c>
      <c r="D694" s="23" t="s">
        <v>1352</v>
      </c>
      <c r="H694" s="346">
        <v>34.9</v>
      </c>
      <c r="I694" s="21">
        <v>32.67</v>
      </c>
      <c r="J694" s="23" t="s">
        <v>1058</v>
      </c>
      <c r="K694" s="21" t="s">
        <v>1353</v>
      </c>
      <c r="O694" s="347"/>
      <c r="R694" s="84" t="s">
        <v>797</v>
      </c>
      <c r="Y694" s="20">
        <f t="shared" si="30"/>
        <v>1</v>
      </c>
      <c r="AA694" s="98">
        <f t="shared" si="31"/>
        <v>2.2299999999999969</v>
      </c>
      <c r="AB694" s="98" t="e">
        <f t="shared" si="32"/>
        <v>#VALUE!</v>
      </c>
    </row>
    <row r="695" spans="1:28" ht="22.15" customHeight="1" x14ac:dyDescent="0.25">
      <c r="A695" s="21" t="s">
        <v>103</v>
      </c>
      <c r="B695" s="276" t="s">
        <v>1354</v>
      </c>
      <c r="C695" s="81">
        <v>12</v>
      </c>
      <c r="D695" s="23" t="s">
        <v>1355</v>
      </c>
      <c r="H695" s="346">
        <v>36.9</v>
      </c>
      <c r="I695" s="21">
        <v>32.26</v>
      </c>
      <c r="J695" s="23" t="s">
        <v>1050</v>
      </c>
      <c r="K695" s="21" t="s">
        <v>1356</v>
      </c>
      <c r="O695" s="347"/>
      <c r="R695" s="84" t="s">
        <v>111</v>
      </c>
      <c r="Y695" s="20">
        <f t="shared" si="30"/>
        <v>1</v>
      </c>
      <c r="AA695" s="98">
        <f t="shared" si="31"/>
        <v>4.6400000000000006</v>
      </c>
      <c r="AB695" s="98" t="e">
        <f t="shared" si="32"/>
        <v>#VALUE!</v>
      </c>
    </row>
    <row r="696" spans="1:28" ht="22.15" customHeight="1" x14ac:dyDescent="0.25">
      <c r="A696" s="21" t="s">
        <v>103</v>
      </c>
      <c r="B696" s="276" t="s">
        <v>1357</v>
      </c>
      <c r="C696" s="81">
        <v>48</v>
      </c>
      <c r="D696" s="23" t="s">
        <v>1358</v>
      </c>
      <c r="H696" s="346">
        <v>10.9</v>
      </c>
      <c r="I696" s="21">
        <v>10.53</v>
      </c>
      <c r="J696" s="23" t="s">
        <v>1114</v>
      </c>
      <c r="K696" s="21" t="s">
        <v>1359</v>
      </c>
      <c r="O696" s="347"/>
      <c r="R696" s="84" t="s">
        <v>1116</v>
      </c>
      <c r="Y696" s="20">
        <f t="shared" si="30"/>
        <v>1</v>
      </c>
      <c r="AA696" s="98">
        <f t="shared" si="31"/>
        <v>0.37000000000000099</v>
      </c>
      <c r="AB696" s="98" t="e">
        <f t="shared" si="32"/>
        <v>#VALUE!</v>
      </c>
    </row>
    <row r="697" spans="1:28" ht="22.15" customHeight="1" x14ac:dyDescent="0.25">
      <c r="A697" s="21" t="s">
        <v>103</v>
      </c>
      <c r="B697" s="276" t="s">
        <v>1360</v>
      </c>
      <c r="C697" s="81">
        <v>48</v>
      </c>
      <c r="D697" s="23" t="s">
        <v>1361</v>
      </c>
      <c r="H697" s="346">
        <v>10.9</v>
      </c>
      <c r="I697" s="21">
        <v>10.53</v>
      </c>
      <c r="J697" s="23" t="s">
        <v>1114</v>
      </c>
      <c r="K697" s="21" t="s">
        <v>1362</v>
      </c>
      <c r="O697" s="347"/>
      <c r="R697" s="84" t="s">
        <v>1116</v>
      </c>
      <c r="Y697" s="20">
        <f t="shared" si="30"/>
        <v>1</v>
      </c>
      <c r="AA697" s="98">
        <f t="shared" si="31"/>
        <v>0.37000000000000099</v>
      </c>
      <c r="AB697" s="98" t="e">
        <f t="shared" si="32"/>
        <v>#VALUE!</v>
      </c>
    </row>
    <row r="698" spans="1:28" ht="22.15" customHeight="1" x14ac:dyDescent="0.25">
      <c r="A698" s="21" t="s">
        <v>103</v>
      </c>
      <c r="B698" s="276" t="s">
        <v>1363</v>
      </c>
      <c r="C698" s="81">
        <v>48</v>
      </c>
      <c r="D698" s="23" t="s">
        <v>1364</v>
      </c>
      <c r="H698" s="346">
        <v>10.9</v>
      </c>
      <c r="I698" s="21">
        <v>10.53</v>
      </c>
      <c r="J698" s="23" t="s">
        <v>1114</v>
      </c>
      <c r="K698" s="21" t="s">
        <v>1365</v>
      </c>
      <c r="O698" s="347"/>
      <c r="R698" s="84" t="s">
        <v>1116</v>
      </c>
      <c r="Y698" s="20">
        <f t="shared" si="30"/>
        <v>1</v>
      </c>
      <c r="AA698" s="98">
        <f t="shared" si="31"/>
        <v>0.37000000000000099</v>
      </c>
      <c r="AB698" s="98" t="e">
        <f t="shared" si="32"/>
        <v>#VALUE!</v>
      </c>
    </row>
    <row r="699" spans="1:28" ht="22.15" customHeight="1" x14ac:dyDescent="0.25">
      <c r="A699" s="21" t="s">
        <v>103</v>
      </c>
      <c r="B699" s="276" t="s">
        <v>1366</v>
      </c>
      <c r="C699" s="81">
        <v>24</v>
      </c>
      <c r="D699" s="23" t="s">
        <v>1367</v>
      </c>
      <c r="H699" s="346">
        <v>24.9</v>
      </c>
      <c r="I699" s="21">
        <v>23.10979</v>
      </c>
      <c r="J699" s="23" t="s">
        <v>1128</v>
      </c>
      <c r="K699" s="21" t="s">
        <v>1368</v>
      </c>
      <c r="O699" s="347"/>
      <c r="R699" s="84" t="s">
        <v>448</v>
      </c>
      <c r="Y699" s="20">
        <f t="shared" si="30"/>
        <v>1</v>
      </c>
      <c r="AA699" s="98">
        <f t="shared" si="31"/>
        <v>1.7902099999999983</v>
      </c>
      <c r="AB699" s="98" t="e">
        <f t="shared" si="32"/>
        <v>#VALUE!</v>
      </c>
    </row>
    <row r="700" spans="1:28" ht="22.15" customHeight="1" x14ac:dyDescent="0.25">
      <c r="A700" s="21" t="s">
        <v>103</v>
      </c>
      <c r="B700" s="276" t="s">
        <v>1369</v>
      </c>
      <c r="C700" s="81">
        <v>10</v>
      </c>
      <c r="D700" s="23" t="s">
        <v>1370</v>
      </c>
      <c r="H700" s="346">
        <v>30.9</v>
      </c>
      <c r="I700" s="21">
        <v>29.16947</v>
      </c>
      <c r="J700" s="23" t="s">
        <v>1128</v>
      </c>
      <c r="K700" s="21" t="s">
        <v>1371</v>
      </c>
      <c r="O700" s="347"/>
      <c r="R700" s="84" t="s">
        <v>327</v>
      </c>
      <c r="Y700" s="20">
        <f t="shared" si="30"/>
        <v>1</v>
      </c>
      <c r="AA700" s="98">
        <f t="shared" si="31"/>
        <v>1.7305299999999981</v>
      </c>
      <c r="AB700" s="98" t="e">
        <f t="shared" si="32"/>
        <v>#VALUE!</v>
      </c>
    </row>
    <row r="701" spans="1:28" ht="22.15" customHeight="1" x14ac:dyDescent="0.25">
      <c r="A701" s="21" t="s">
        <v>103</v>
      </c>
      <c r="B701" s="276" t="s">
        <v>1372</v>
      </c>
      <c r="C701" s="81">
        <v>10</v>
      </c>
      <c r="D701" s="23" t="s">
        <v>1373</v>
      </c>
      <c r="H701" s="346">
        <v>30.9</v>
      </c>
      <c r="I701" s="21">
        <v>29.16947</v>
      </c>
      <c r="J701" s="23" t="s">
        <v>1128</v>
      </c>
      <c r="K701" s="21" t="s">
        <v>1374</v>
      </c>
      <c r="O701" s="347"/>
      <c r="R701" s="84" t="s">
        <v>327</v>
      </c>
      <c r="Y701" s="20">
        <f t="shared" si="30"/>
        <v>1</v>
      </c>
      <c r="AA701" s="98">
        <f t="shared" si="31"/>
        <v>1.7305299999999981</v>
      </c>
      <c r="AB701" s="98" t="e">
        <f t="shared" si="32"/>
        <v>#VALUE!</v>
      </c>
    </row>
    <row r="702" spans="1:28" ht="22.15" customHeight="1" x14ac:dyDescent="0.25">
      <c r="A702" s="21" t="s">
        <v>103</v>
      </c>
      <c r="B702" s="276" t="s">
        <v>1375</v>
      </c>
      <c r="C702" s="81">
        <v>10</v>
      </c>
      <c r="D702" s="23" t="s">
        <v>1376</v>
      </c>
      <c r="H702" s="346">
        <v>30.9</v>
      </c>
      <c r="I702" s="21">
        <v>29.16947</v>
      </c>
      <c r="J702" s="23" t="s">
        <v>1128</v>
      </c>
      <c r="K702" s="21" t="s">
        <v>1377</v>
      </c>
      <c r="O702" s="347"/>
      <c r="R702" s="84" t="s">
        <v>327</v>
      </c>
      <c r="Y702" s="20">
        <f t="shared" si="30"/>
        <v>1</v>
      </c>
      <c r="AA702" s="98">
        <f t="shared" si="31"/>
        <v>1.7305299999999981</v>
      </c>
      <c r="AB702" s="98" t="e">
        <f t="shared" si="32"/>
        <v>#VALUE!</v>
      </c>
    </row>
    <row r="703" spans="1:28" ht="22.15" customHeight="1" x14ac:dyDescent="0.25">
      <c r="A703" s="21" t="s">
        <v>103</v>
      </c>
      <c r="B703" s="276" t="s">
        <v>1378</v>
      </c>
      <c r="C703" s="81">
        <v>10</v>
      </c>
      <c r="D703" s="23" t="s">
        <v>1379</v>
      </c>
      <c r="H703" s="346">
        <v>30.9</v>
      </c>
      <c r="I703" s="21">
        <v>29.16947</v>
      </c>
      <c r="J703" s="23" t="s">
        <v>1128</v>
      </c>
      <c r="K703" s="21" t="s">
        <v>1380</v>
      </c>
      <c r="O703" s="347"/>
      <c r="R703" s="84" t="s">
        <v>327</v>
      </c>
      <c r="Y703" s="20">
        <f t="shared" si="30"/>
        <v>1</v>
      </c>
      <c r="AA703" s="98">
        <f t="shared" si="31"/>
        <v>1.7305299999999981</v>
      </c>
      <c r="AB703" s="98" t="e">
        <f t="shared" si="32"/>
        <v>#VALUE!</v>
      </c>
    </row>
    <row r="704" spans="1:28" ht="22.15" customHeight="1" x14ac:dyDescent="0.25">
      <c r="A704" s="21" t="s">
        <v>103</v>
      </c>
      <c r="B704" s="276" t="s">
        <v>1381</v>
      </c>
      <c r="C704" s="81">
        <v>10</v>
      </c>
      <c r="D704" s="23" t="s">
        <v>1382</v>
      </c>
      <c r="H704" s="346">
        <v>30.9</v>
      </c>
      <c r="I704" s="21">
        <v>29.16947</v>
      </c>
      <c r="J704" s="23" t="s">
        <v>1128</v>
      </c>
      <c r="K704" s="21" t="s">
        <v>1383</v>
      </c>
      <c r="O704" s="347"/>
      <c r="R704" s="84" t="s">
        <v>327</v>
      </c>
      <c r="Y704" s="20">
        <f t="shared" si="30"/>
        <v>1</v>
      </c>
      <c r="AA704" s="98">
        <f t="shared" si="31"/>
        <v>1.7305299999999981</v>
      </c>
      <c r="AB704" s="98" t="e">
        <f t="shared" si="32"/>
        <v>#VALUE!</v>
      </c>
    </row>
    <row r="705" spans="1:29" ht="22.15" customHeight="1" x14ac:dyDescent="0.25">
      <c r="A705" s="21" t="s">
        <v>103</v>
      </c>
      <c r="B705" s="276" t="s">
        <v>1384</v>
      </c>
      <c r="C705" s="81">
        <v>10</v>
      </c>
      <c r="D705" s="23" t="s">
        <v>1385</v>
      </c>
      <c r="H705" s="346">
        <v>30.9</v>
      </c>
      <c r="I705" s="21">
        <v>29.16947</v>
      </c>
      <c r="J705" s="23" t="s">
        <v>1128</v>
      </c>
      <c r="K705" s="21" t="s">
        <v>1386</v>
      </c>
      <c r="O705" s="347"/>
      <c r="R705" s="84" t="s">
        <v>327</v>
      </c>
      <c r="Y705" s="20">
        <f t="shared" si="30"/>
        <v>1</v>
      </c>
      <c r="AA705" s="98">
        <f t="shared" si="31"/>
        <v>1.7305299999999981</v>
      </c>
      <c r="AB705" s="98" t="e">
        <f t="shared" si="32"/>
        <v>#VALUE!</v>
      </c>
    </row>
    <row r="706" spans="1:29" ht="22.15" customHeight="1" x14ac:dyDescent="0.25">
      <c r="A706" s="21" t="s">
        <v>103</v>
      </c>
      <c r="B706" s="276" t="s">
        <v>1387</v>
      </c>
      <c r="C706" s="81">
        <v>30</v>
      </c>
      <c r="D706" s="23" t="s">
        <v>1388</v>
      </c>
      <c r="H706" s="346">
        <v>18.5</v>
      </c>
      <c r="I706" s="21">
        <v>17.55</v>
      </c>
      <c r="J706" s="23" t="s">
        <v>1122</v>
      </c>
      <c r="K706" s="21" t="s">
        <v>1389</v>
      </c>
      <c r="O706" s="347"/>
      <c r="R706" s="84" t="s">
        <v>340</v>
      </c>
      <c r="Y706" s="20">
        <f t="shared" si="30"/>
        <v>1</v>
      </c>
      <c r="AA706" s="98">
        <f t="shared" si="31"/>
        <v>0.94999999999999929</v>
      </c>
      <c r="AB706" s="98" t="e">
        <f t="shared" si="32"/>
        <v>#VALUE!</v>
      </c>
    </row>
    <row r="707" spans="1:29" ht="22.15" customHeight="1" x14ac:dyDescent="0.25">
      <c r="A707" s="21" t="s">
        <v>103</v>
      </c>
      <c r="B707" s="276" t="s">
        <v>1390</v>
      </c>
      <c r="C707" s="81">
        <v>30</v>
      </c>
      <c r="D707" s="23" t="s">
        <v>1391</v>
      </c>
      <c r="H707" s="346">
        <v>18.5</v>
      </c>
      <c r="I707" s="21">
        <v>17.55</v>
      </c>
      <c r="J707" s="23" t="s">
        <v>1122</v>
      </c>
      <c r="K707" s="21" t="s">
        <v>1392</v>
      </c>
      <c r="O707" s="347"/>
      <c r="R707" s="84" t="s">
        <v>340</v>
      </c>
      <c r="Y707" s="20">
        <f t="shared" si="30"/>
        <v>1</v>
      </c>
      <c r="AA707" s="98">
        <f t="shared" si="31"/>
        <v>0.94999999999999929</v>
      </c>
      <c r="AB707" s="98" t="e">
        <f t="shared" si="32"/>
        <v>#VALUE!</v>
      </c>
    </row>
    <row r="708" spans="1:29" ht="22.15" customHeight="1" x14ac:dyDescent="0.25">
      <c r="A708" s="21" t="s">
        <v>103</v>
      </c>
      <c r="B708" s="276" t="s">
        <v>1393</v>
      </c>
      <c r="C708" s="81">
        <v>30</v>
      </c>
      <c r="D708" s="23" t="s">
        <v>1394</v>
      </c>
      <c r="H708" s="346">
        <v>18.5</v>
      </c>
      <c r="I708" s="21">
        <v>17.55</v>
      </c>
      <c r="J708" s="23" t="s">
        <v>1122</v>
      </c>
      <c r="K708" s="21" t="s">
        <v>1395</v>
      </c>
      <c r="O708" s="347"/>
      <c r="R708" s="84" t="s">
        <v>340</v>
      </c>
      <c r="Y708" s="20">
        <f t="shared" si="30"/>
        <v>1</v>
      </c>
      <c r="AA708" s="98">
        <f t="shared" si="31"/>
        <v>0.94999999999999929</v>
      </c>
      <c r="AB708" s="98" t="e">
        <f t="shared" si="32"/>
        <v>#VALUE!</v>
      </c>
    </row>
    <row r="709" spans="1:29" ht="22.15" customHeight="1" x14ac:dyDescent="0.25">
      <c r="A709" s="21" t="s">
        <v>103</v>
      </c>
      <c r="B709" s="276" t="s">
        <v>1396</v>
      </c>
      <c r="C709" s="81">
        <v>30</v>
      </c>
      <c r="D709" s="23" t="s">
        <v>1397</v>
      </c>
      <c r="H709" s="346">
        <v>18.5</v>
      </c>
      <c r="I709" s="21">
        <v>17.55</v>
      </c>
      <c r="J709" s="23" t="s">
        <v>1122</v>
      </c>
      <c r="K709" s="21" t="s">
        <v>1398</v>
      </c>
      <c r="O709" s="347"/>
      <c r="R709" s="84" t="s">
        <v>340</v>
      </c>
      <c r="Y709" s="20">
        <f t="shared" si="30"/>
        <v>1</v>
      </c>
      <c r="AA709" s="98">
        <f t="shared" si="31"/>
        <v>0.94999999999999929</v>
      </c>
      <c r="AB709" s="98" t="e">
        <f t="shared" si="32"/>
        <v>#VALUE!</v>
      </c>
    </row>
    <row r="710" spans="1:29" ht="22.15" customHeight="1" x14ac:dyDescent="0.25">
      <c r="A710" s="21" t="s">
        <v>103</v>
      </c>
      <c r="B710" s="276" t="s">
        <v>1399</v>
      </c>
      <c r="C710" s="81">
        <v>30</v>
      </c>
      <c r="D710" s="23" t="s">
        <v>1400</v>
      </c>
      <c r="H710" s="346">
        <v>18.5</v>
      </c>
      <c r="I710" s="21">
        <v>17.55</v>
      </c>
      <c r="J710" s="23" t="s">
        <v>1122</v>
      </c>
      <c r="K710" s="21" t="s">
        <v>1401</v>
      </c>
      <c r="O710" s="347"/>
      <c r="R710" s="84" t="s">
        <v>340</v>
      </c>
      <c r="Y710" s="20">
        <f t="shared" si="30"/>
        <v>1</v>
      </c>
      <c r="AA710" s="98">
        <f t="shared" si="31"/>
        <v>0.94999999999999929</v>
      </c>
      <c r="AB710" s="98" t="e">
        <f t="shared" si="32"/>
        <v>#VALUE!</v>
      </c>
    </row>
    <row r="711" spans="1:29" ht="22.15" customHeight="1" x14ac:dyDescent="0.25">
      <c r="A711" s="21" t="s">
        <v>103</v>
      </c>
      <c r="B711" s="276" t="s">
        <v>1402</v>
      </c>
      <c r="C711" s="81">
        <v>24</v>
      </c>
      <c r="D711" s="23" t="s">
        <v>1403</v>
      </c>
      <c r="H711" s="346">
        <v>19.5</v>
      </c>
      <c r="I711" s="21">
        <v>18.149999999999999</v>
      </c>
      <c r="J711" s="23" t="s">
        <v>1058</v>
      </c>
      <c r="K711" s="21" t="s">
        <v>1404</v>
      </c>
      <c r="O711" s="347"/>
      <c r="R711" s="84" t="s">
        <v>645</v>
      </c>
      <c r="Y711" s="20">
        <f t="shared" ref="Y711:Y774" si="33">COUNTIF(K:K,K711)</f>
        <v>1</v>
      </c>
      <c r="AA711" s="98">
        <f t="shared" si="31"/>
        <v>1.3500000000000014</v>
      </c>
      <c r="AB711" s="98" t="e">
        <f t="shared" si="32"/>
        <v>#VALUE!</v>
      </c>
    </row>
    <row r="712" spans="1:29" ht="22.15" customHeight="1" x14ac:dyDescent="0.25">
      <c r="A712" s="21" t="s">
        <v>103</v>
      </c>
      <c r="B712" s="276" t="s">
        <v>1405</v>
      </c>
      <c r="C712" s="81">
        <v>3</v>
      </c>
      <c r="D712" s="23" t="s">
        <v>1406</v>
      </c>
      <c r="H712" s="346">
        <v>119.9</v>
      </c>
      <c r="I712" s="21">
        <v>113.40967000000001</v>
      </c>
      <c r="J712" s="23" t="s">
        <v>1096</v>
      </c>
      <c r="K712" s="21" t="s">
        <v>1407</v>
      </c>
      <c r="O712" s="347"/>
      <c r="R712" s="84" t="s">
        <v>1007</v>
      </c>
      <c r="Y712" s="20">
        <f t="shared" si="33"/>
        <v>1</v>
      </c>
      <c r="AA712" s="98">
        <f t="shared" si="31"/>
        <v>6.4903300000000002</v>
      </c>
      <c r="AB712" s="98" t="e">
        <f t="shared" si="32"/>
        <v>#VALUE!</v>
      </c>
    </row>
    <row r="713" spans="1:29" ht="22.15" customHeight="1" x14ac:dyDescent="0.25">
      <c r="A713" s="21" t="s">
        <v>103</v>
      </c>
      <c r="B713" s="276" t="s">
        <v>1408</v>
      </c>
      <c r="C713" s="81">
        <v>3</v>
      </c>
      <c r="D713" s="23" t="s">
        <v>1409</v>
      </c>
      <c r="H713" s="346">
        <v>119.9</v>
      </c>
      <c r="I713" s="21">
        <v>110.00957</v>
      </c>
      <c r="J713" s="23" t="s">
        <v>1096</v>
      </c>
      <c r="K713" s="21" t="s">
        <v>1410</v>
      </c>
      <c r="O713" s="347"/>
      <c r="R713" s="84" t="s">
        <v>1007</v>
      </c>
      <c r="Y713" s="20">
        <f t="shared" si="33"/>
        <v>1</v>
      </c>
      <c r="AA713" s="98">
        <f t="shared" si="31"/>
        <v>9.8904300000000092</v>
      </c>
      <c r="AB713" s="98" t="e">
        <f t="shared" si="32"/>
        <v>#VALUE!</v>
      </c>
    </row>
    <row r="714" spans="1:29" ht="22.15" customHeight="1" x14ac:dyDescent="0.25">
      <c r="A714" s="21" t="s">
        <v>965</v>
      </c>
      <c r="B714" s="276" t="s">
        <v>1411</v>
      </c>
      <c r="C714" s="81">
        <v>24</v>
      </c>
      <c r="D714" s="23" t="s">
        <v>1412</v>
      </c>
      <c r="H714" s="346">
        <v>25.5</v>
      </c>
      <c r="I714" s="21">
        <v>24.139500000000002</v>
      </c>
      <c r="J714" s="23" t="s">
        <v>1087</v>
      </c>
      <c r="K714" s="21" t="s">
        <v>1413</v>
      </c>
      <c r="O714" s="347"/>
      <c r="R714" s="84" t="s">
        <v>938</v>
      </c>
      <c r="Y714" s="20">
        <f t="shared" si="33"/>
        <v>1</v>
      </c>
      <c r="AA714" s="98">
        <f t="shared" si="31"/>
        <v>1.3604999999999983</v>
      </c>
      <c r="AB714" s="98" t="e">
        <f t="shared" si="32"/>
        <v>#VALUE!</v>
      </c>
    </row>
    <row r="715" spans="1:29" ht="22.15" customHeight="1" x14ac:dyDescent="0.25">
      <c r="A715" s="21" t="s">
        <v>965</v>
      </c>
      <c r="B715" s="276" t="s">
        <v>1414</v>
      </c>
      <c r="C715" s="81">
        <v>24</v>
      </c>
      <c r="D715" s="23" t="s">
        <v>1415</v>
      </c>
      <c r="H715" s="346">
        <v>23.9</v>
      </c>
      <c r="I715" s="21">
        <v>22.830280000000002</v>
      </c>
      <c r="J715" s="23" t="s">
        <v>1087</v>
      </c>
      <c r="K715" s="21" t="s">
        <v>1416</v>
      </c>
      <c r="O715" s="347"/>
      <c r="R715" s="84" t="s">
        <v>448</v>
      </c>
      <c r="Y715" s="20">
        <f t="shared" si="33"/>
        <v>1</v>
      </c>
      <c r="AA715" s="98">
        <f t="shared" si="31"/>
        <v>1.0697199999999967</v>
      </c>
      <c r="AB715" s="98" t="e">
        <f t="shared" si="32"/>
        <v>#VALUE!</v>
      </c>
    </row>
    <row r="716" spans="1:29" ht="22.15" customHeight="1" x14ac:dyDescent="0.25">
      <c r="A716" s="21" t="s">
        <v>210</v>
      </c>
      <c r="B716" s="80" t="s">
        <v>1417</v>
      </c>
      <c r="C716" s="81">
        <v>36</v>
      </c>
      <c r="D716" s="23" t="s">
        <v>1418</v>
      </c>
      <c r="F716" s="82" t="s">
        <v>65</v>
      </c>
      <c r="H716" s="346">
        <v>29.9</v>
      </c>
      <c r="I716" s="21">
        <v>24.26032</v>
      </c>
      <c r="J716" s="23" t="s">
        <v>215</v>
      </c>
      <c r="K716" s="86" t="s">
        <v>1419</v>
      </c>
      <c r="L716" s="86"/>
      <c r="M716" s="86"/>
      <c r="O716" s="347"/>
      <c r="P716" s="87">
        <v>1</v>
      </c>
      <c r="Q716" s="87">
        <v>1</v>
      </c>
      <c r="R716" s="84">
        <v>32.9</v>
      </c>
      <c r="Y716" s="20">
        <f t="shared" si="33"/>
        <v>1</v>
      </c>
      <c r="AA716" s="98">
        <f t="shared" si="31"/>
        <v>5.6396799999999985</v>
      </c>
      <c r="AB716" s="98">
        <f t="shared" si="32"/>
        <v>3</v>
      </c>
    </row>
    <row r="717" spans="1:29" ht="22.15" customHeight="1" x14ac:dyDescent="0.25">
      <c r="A717" s="21" t="s">
        <v>210</v>
      </c>
      <c r="B717" s="80" t="s">
        <v>1420</v>
      </c>
      <c r="C717" s="81">
        <v>36</v>
      </c>
      <c r="D717" s="23" t="s">
        <v>1421</v>
      </c>
      <c r="F717" s="82" t="s">
        <v>65</v>
      </c>
      <c r="H717" s="346">
        <v>29.9</v>
      </c>
      <c r="I717" s="21">
        <v>29.570240000000002</v>
      </c>
      <c r="J717" s="23" t="s">
        <v>215</v>
      </c>
      <c r="K717" s="86" t="s">
        <v>1422</v>
      </c>
      <c r="L717" s="86"/>
      <c r="M717" s="86"/>
      <c r="O717" s="347"/>
      <c r="P717" s="87">
        <v>1</v>
      </c>
      <c r="Q717" s="87">
        <v>1</v>
      </c>
      <c r="R717" s="84">
        <v>32.9</v>
      </c>
      <c r="Y717" s="20">
        <f t="shared" si="33"/>
        <v>1</v>
      </c>
      <c r="AA717" s="98">
        <f t="shared" si="31"/>
        <v>0.32975999999999672</v>
      </c>
      <c r="AB717" s="98">
        <f t="shared" si="32"/>
        <v>3</v>
      </c>
    </row>
    <row r="718" spans="1:29" ht="22.15" customHeight="1" x14ac:dyDescent="0.25">
      <c r="A718" s="21" t="s">
        <v>210</v>
      </c>
      <c r="B718" s="80" t="s">
        <v>1423</v>
      </c>
      <c r="C718" s="81">
        <v>36</v>
      </c>
      <c r="D718" s="23" t="s">
        <v>1424</v>
      </c>
      <c r="F718" s="82" t="s">
        <v>65</v>
      </c>
      <c r="H718" s="346">
        <v>29.9</v>
      </c>
      <c r="I718" s="21">
        <v>34.360480000000003</v>
      </c>
      <c r="J718" s="23" t="s">
        <v>215</v>
      </c>
      <c r="K718" s="86" t="s">
        <v>1425</v>
      </c>
      <c r="L718" s="86"/>
      <c r="M718" s="86"/>
      <c r="O718" s="347"/>
      <c r="P718" s="87">
        <v>1</v>
      </c>
      <c r="Q718" s="87">
        <v>1</v>
      </c>
      <c r="R718" s="84">
        <v>32.9</v>
      </c>
      <c r="Y718" s="20">
        <f t="shared" si="33"/>
        <v>1</v>
      </c>
      <c r="AA718" s="98">
        <f t="shared" si="31"/>
        <v>-4.460480000000004</v>
      </c>
      <c r="AB718" s="98">
        <f t="shared" si="32"/>
        <v>3</v>
      </c>
      <c r="AC718" s="23" t="s">
        <v>1426</v>
      </c>
    </row>
    <row r="719" spans="1:29" ht="22.15" customHeight="1" x14ac:dyDescent="0.25">
      <c r="A719" s="21" t="s">
        <v>210</v>
      </c>
      <c r="B719" s="80" t="s">
        <v>1427</v>
      </c>
      <c r="C719" s="81">
        <v>36</v>
      </c>
      <c r="D719" s="23" t="s">
        <v>1428</v>
      </c>
      <c r="F719" s="82" t="s">
        <v>65</v>
      </c>
      <c r="H719" s="346">
        <v>29.9</v>
      </c>
      <c r="I719" s="21">
        <v>29.570240000000002</v>
      </c>
      <c r="J719" s="23" t="s">
        <v>215</v>
      </c>
      <c r="K719" s="86" t="s">
        <v>1429</v>
      </c>
      <c r="L719" s="86"/>
      <c r="M719" s="86"/>
      <c r="O719" s="347"/>
      <c r="P719" s="87">
        <v>1</v>
      </c>
      <c r="Q719" s="87">
        <v>1</v>
      </c>
      <c r="R719" s="84">
        <v>32.9</v>
      </c>
      <c r="Y719" s="20">
        <f t="shared" si="33"/>
        <v>1</v>
      </c>
      <c r="AA719" s="98">
        <f t="shared" si="31"/>
        <v>0.32975999999999672</v>
      </c>
      <c r="AB719" s="98">
        <f t="shared" si="32"/>
        <v>3</v>
      </c>
    </row>
    <row r="720" spans="1:29" ht="22.15" customHeight="1" x14ac:dyDescent="0.25">
      <c r="A720" s="21" t="s">
        <v>210</v>
      </c>
      <c r="B720" s="80" t="s">
        <v>1430</v>
      </c>
      <c r="C720" s="81">
        <v>36</v>
      </c>
      <c r="D720" s="23" t="s">
        <v>1431</v>
      </c>
      <c r="F720" s="82" t="s">
        <v>65</v>
      </c>
      <c r="H720" s="346">
        <v>29.9</v>
      </c>
      <c r="I720" s="21">
        <v>29.570240000000002</v>
      </c>
      <c r="J720" s="23" t="s">
        <v>215</v>
      </c>
      <c r="K720" s="86" t="s">
        <v>1432</v>
      </c>
      <c r="L720" s="86"/>
      <c r="M720" s="86"/>
      <c r="O720" s="347"/>
      <c r="P720" s="87">
        <v>1</v>
      </c>
      <c r="Q720" s="87">
        <v>1</v>
      </c>
      <c r="R720" s="84">
        <v>32.9</v>
      </c>
      <c r="Y720" s="20">
        <f t="shared" si="33"/>
        <v>1</v>
      </c>
      <c r="AA720" s="98">
        <f t="shared" si="31"/>
        <v>0.32975999999999672</v>
      </c>
      <c r="AB720" s="98">
        <f t="shared" si="32"/>
        <v>3</v>
      </c>
    </row>
    <row r="721" spans="1:28" ht="22.15" customHeight="1" x14ac:dyDescent="0.25">
      <c r="A721" s="21" t="s">
        <v>965</v>
      </c>
      <c r="B721" s="80" t="s">
        <v>1433</v>
      </c>
      <c r="C721" s="81">
        <v>30</v>
      </c>
      <c r="D721" s="23" t="s">
        <v>1434</v>
      </c>
      <c r="H721" s="346">
        <v>21.9</v>
      </c>
      <c r="I721" s="21">
        <v>21.419419999999999</v>
      </c>
      <c r="J721" s="23" t="s">
        <v>1081</v>
      </c>
      <c r="K721" s="86" t="s">
        <v>1435</v>
      </c>
      <c r="L721" s="86"/>
      <c r="M721" s="86"/>
      <c r="O721" s="347"/>
      <c r="R721" s="84" t="s">
        <v>970</v>
      </c>
      <c r="Y721" s="20">
        <f t="shared" si="33"/>
        <v>1</v>
      </c>
      <c r="AA721" s="98">
        <f t="shared" si="31"/>
        <v>0.48057999999999979</v>
      </c>
      <c r="AB721" s="98" t="e">
        <f t="shared" si="32"/>
        <v>#VALUE!</v>
      </c>
    </row>
    <row r="722" spans="1:28" ht="22.15" customHeight="1" x14ac:dyDescent="0.25">
      <c r="A722" s="21" t="s">
        <v>965</v>
      </c>
      <c r="B722" s="80" t="s">
        <v>1436</v>
      </c>
      <c r="C722" s="81">
        <v>30</v>
      </c>
      <c r="D722" s="23" t="s">
        <v>1437</v>
      </c>
      <c r="H722" s="346">
        <v>21.9</v>
      </c>
      <c r="I722" s="21">
        <v>21.419419999999999</v>
      </c>
      <c r="J722" s="23" t="s">
        <v>1081</v>
      </c>
      <c r="K722" s="86" t="s">
        <v>1438</v>
      </c>
      <c r="L722" s="86"/>
      <c r="M722" s="86"/>
      <c r="O722" s="347"/>
      <c r="R722" s="84" t="s">
        <v>970</v>
      </c>
      <c r="Y722" s="20">
        <f t="shared" si="33"/>
        <v>1</v>
      </c>
      <c r="AA722" s="98">
        <f t="shared" si="31"/>
        <v>0.48057999999999979</v>
      </c>
      <c r="AB722" s="98" t="e">
        <f t="shared" si="32"/>
        <v>#VALUE!</v>
      </c>
    </row>
    <row r="723" spans="1:28" ht="22.15" customHeight="1" x14ac:dyDescent="0.25">
      <c r="A723" s="21" t="s">
        <v>297</v>
      </c>
      <c r="B723" s="276" t="s">
        <v>1439</v>
      </c>
      <c r="C723" s="81">
        <v>6</v>
      </c>
      <c r="D723" s="23" t="s">
        <v>1440</v>
      </c>
      <c r="H723" s="346">
        <v>49.9</v>
      </c>
      <c r="I723" s="21">
        <v>49.089599999999997</v>
      </c>
      <c r="J723" s="23" t="s">
        <v>302</v>
      </c>
      <c r="K723" s="21" t="s">
        <v>1441</v>
      </c>
      <c r="O723" s="347"/>
      <c r="R723" s="84" t="s">
        <v>304</v>
      </c>
      <c r="Y723" s="20">
        <f t="shared" si="33"/>
        <v>1</v>
      </c>
      <c r="AA723" s="98">
        <f t="shared" si="31"/>
        <v>0.81040000000000134</v>
      </c>
      <c r="AB723" s="98" t="e">
        <f t="shared" si="32"/>
        <v>#VALUE!</v>
      </c>
    </row>
    <row r="724" spans="1:28" ht="22.15" customHeight="1" x14ac:dyDescent="0.25">
      <c r="A724" s="21" t="s">
        <v>103</v>
      </c>
      <c r="B724" s="276" t="s">
        <v>1442</v>
      </c>
      <c r="C724" s="81">
        <v>6</v>
      </c>
      <c r="D724" s="23" t="s">
        <v>1443</v>
      </c>
      <c r="H724" s="346">
        <v>49.9</v>
      </c>
      <c r="I724" s="21">
        <v>49.089599999999997</v>
      </c>
      <c r="J724" s="23" t="s">
        <v>302</v>
      </c>
      <c r="K724" s="21" t="s">
        <v>1444</v>
      </c>
      <c r="O724" s="347"/>
      <c r="R724" s="84" t="s">
        <v>304</v>
      </c>
      <c r="Y724" s="20">
        <f t="shared" si="33"/>
        <v>1</v>
      </c>
      <c r="AA724" s="98">
        <f t="shared" si="31"/>
        <v>0.81040000000000134</v>
      </c>
      <c r="AB724" s="98" t="e">
        <f t="shared" si="32"/>
        <v>#VALUE!</v>
      </c>
    </row>
    <row r="725" spans="1:28" ht="22.15" customHeight="1" x14ac:dyDescent="0.25">
      <c r="A725" s="21" t="s">
        <v>103</v>
      </c>
      <c r="B725" s="276" t="s">
        <v>1445</v>
      </c>
      <c r="C725" s="81">
        <v>6</v>
      </c>
      <c r="D725" s="23" t="s">
        <v>1446</v>
      </c>
      <c r="H725" s="346">
        <v>49.9</v>
      </c>
      <c r="I725" s="21">
        <v>49.089599999999997</v>
      </c>
      <c r="J725" s="23" t="s">
        <v>302</v>
      </c>
      <c r="K725" s="21" t="s">
        <v>1447</v>
      </c>
      <c r="O725" s="347"/>
      <c r="R725" s="84" t="s">
        <v>304</v>
      </c>
      <c r="Y725" s="20">
        <f t="shared" si="33"/>
        <v>1</v>
      </c>
      <c r="AA725" s="98">
        <f t="shared" si="31"/>
        <v>0.81040000000000134</v>
      </c>
      <c r="AB725" s="98" t="e">
        <f t="shared" si="32"/>
        <v>#VALUE!</v>
      </c>
    </row>
    <row r="726" spans="1:28" ht="22.15" customHeight="1" x14ac:dyDescent="0.25">
      <c r="A726" s="21" t="s">
        <v>103</v>
      </c>
      <c r="B726" s="276" t="s">
        <v>1448</v>
      </c>
      <c r="C726" s="81">
        <v>12</v>
      </c>
      <c r="D726" s="23" t="s">
        <v>1449</v>
      </c>
      <c r="H726" s="346">
        <v>29.9</v>
      </c>
      <c r="I726" s="21">
        <v>28.224</v>
      </c>
      <c r="J726" s="23" t="s">
        <v>312</v>
      </c>
      <c r="K726" s="21" t="s">
        <v>1450</v>
      </c>
      <c r="O726" s="347"/>
      <c r="R726" s="84" t="s">
        <v>314</v>
      </c>
      <c r="Y726" s="20">
        <f t="shared" si="33"/>
        <v>1</v>
      </c>
      <c r="AA726" s="98">
        <f t="shared" si="31"/>
        <v>1.6759999999999984</v>
      </c>
      <c r="AB726" s="98" t="e">
        <f t="shared" si="32"/>
        <v>#VALUE!</v>
      </c>
    </row>
    <row r="727" spans="1:28" ht="22.15" customHeight="1" x14ac:dyDescent="0.25">
      <c r="A727" s="21" t="s">
        <v>103</v>
      </c>
      <c r="B727" s="276" t="s">
        <v>1451</v>
      </c>
      <c r="C727" s="81">
        <v>12</v>
      </c>
      <c r="D727" s="23" t="s">
        <v>1452</v>
      </c>
      <c r="H727" s="346">
        <v>29.9</v>
      </c>
      <c r="I727" s="21">
        <v>28.224</v>
      </c>
      <c r="J727" s="23" t="s">
        <v>312</v>
      </c>
      <c r="K727" s="21" t="s">
        <v>1453</v>
      </c>
      <c r="O727" s="347"/>
      <c r="R727" s="84" t="s">
        <v>314</v>
      </c>
      <c r="Y727" s="20">
        <f t="shared" si="33"/>
        <v>1</v>
      </c>
      <c r="AA727" s="98">
        <f t="shared" si="31"/>
        <v>1.6759999999999984</v>
      </c>
      <c r="AB727" s="98" t="e">
        <f t="shared" si="32"/>
        <v>#VALUE!</v>
      </c>
    </row>
    <row r="728" spans="1:28" ht="22.15" customHeight="1" x14ac:dyDescent="0.25">
      <c r="A728" s="21" t="s">
        <v>103</v>
      </c>
      <c r="B728" s="276" t="s">
        <v>1454</v>
      </c>
      <c r="C728" s="81">
        <v>12</v>
      </c>
      <c r="D728" s="23" t="s">
        <v>1455</v>
      </c>
      <c r="H728" s="346">
        <v>29.9</v>
      </c>
      <c r="I728" s="21">
        <v>28.224</v>
      </c>
      <c r="J728" s="23" t="s">
        <v>312</v>
      </c>
      <c r="K728" s="21" t="s">
        <v>1456</v>
      </c>
      <c r="O728" s="347"/>
      <c r="R728" s="84" t="s">
        <v>314</v>
      </c>
      <c r="Y728" s="20">
        <f t="shared" si="33"/>
        <v>1</v>
      </c>
      <c r="AA728" s="98">
        <f t="shared" si="31"/>
        <v>1.6759999999999984</v>
      </c>
      <c r="AB728" s="98" t="e">
        <f t="shared" si="32"/>
        <v>#VALUE!</v>
      </c>
    </row>
    <row r="729" spans="1:28" ht="22.15" customHeight="1" x14ac:dyDescent="0.25">
      <c r="A729" s="21" t="s">
        <v>103</v>
      </c>
      <c r="B729" s="276" t="s">
        <v>1457</v>
      </c>
      <c r="C729" s="81">
        <v>12</v>
      </c>
      <c r="D729" s="23" t="s">
        <v>1458</v>
      </c>
      <c r="H729" s="346">
        <v>29.9</v>
      </c>
      <c r="I729" s="21">
        <v>28.224</v>
      </c>
      <c r="J729" s="23" t="s">
        <v>312</v>
      </c>
      <c r="K729" s="21" t="s">
        <v>1459</v>
      </c>
      <c r="O729" s="347"/>
      <c r="R729" s="84" t="s">
        <v>314</v>
      </c>
      <c r="Y729" s="20">
        <f t="shared" si="33"/>
        <v>1</v>
      </c>
      <c r="AA729" s="98">
        <f t="shared" si="31"/>
        <v>1.6759999999999984</v>
      </c>
      <c r="AB729" s="98" t="e">
        <f t="shared" si="32"/>
        <v>#VALUE!</v>
      </c>
    </row>
    <row r="730" spans="1:28" ht="22.15" customHeight="1" x14ac:dyDescent="0.25">
      <c r="A730" s="21" t="s">
        <v>103</v>
      </c>
      <c r="B730" s="276" t="s">
        <v>1460</v>
      </c>
      <c r="C730" s="81">
        <v>12</v>
      </c>
      <c r="D730" s="23" t="s">
        <v>1461</v>
      </c>
      <c r="H730" s="346">
        <v>29.9</v>
      </c>
      <c r="I730" s="21">
        <v>28.224</v>
      </c>
      <c r="J730" s="23" t="s">
        <v>312</v>
      </c>
      <c r="K730" s="21" t="s">
        <v>1462</v>
      </c>
      <c r="O730" s="347"/>
      <c r="R730" s="84" t="s">
        <v>314</v>
      </c>
      <c r="Y730" s="20">
        <f t="shared" si="33"/>
        <v>1</v>
      </c>
      <c r="AA730" s="98">
        <f t="shared" si="31"/>
        <v>1.6759999999999984</v>
      </c>
      <c r="AB730" s="98" t="e">
        <f t="shared" si="32"/>
        <v>#VALUE!</v>
      </c>
    </row>
    <row r="731" spans="1:28" ht="22.15" customHeight="1" x14ac:dyDescent="0.25">
      <c r="A731" s="21" t="s">
        <v>103</v>
      </c>
      <c r="B731" s="276" t="s">
        <v>1463</v>
      </c>
      <c r="C731" s="81">
        <v>12</v>
      </c>
      <c r="D731" s="23" t="s">
        <v>1464</v>
      </c>
      <c r="H731" s="346">
        <v>29.9</v>
      </c>
      <c r="I731" s="21">
        <v>28.224</v>
      </c>
      <c r="J731" s="23" t="s">
        <v>312</v>
      </c>
      <c r="K731" s="21" t="s">
        <v>1465</v>
      </c>
      <c r="O731" s="347"/>
      <c r="R731" s="84" t="s">
        <v>314</v>
      </c>
      <c r="Y731" s="20">
        <f t="shared" si="33"/>
        <v>1</v>
      </c>
      <c r="AA731" s="98">
        <f t="shared" si="31"/>
        <v>1.6759999999999984</v>
      </c>
      <c r="AB731" s="98" t="e">
        <f t="shared" si="32"/>
        <v>#VALUE!</v>
      </c>
    </row>
    <row r="732" spans="1:28" ht="22.15" customHeight="1" x14ac:dyDescent="0.25">
      <c r="A732" s="21" t="s">
        <v>103</v>
      </c>
      <c r="B732" s="276" t="s">
        <v>1466</v>
      </c>
      <c r="C732" s="81">
        <v>12</v>
      </c>
      <c r="D732" s="23" t="s">
        <v>1467</v>
      </c>
      <c r="H732" s="346">
        <v>29.9</v>
      </c>
      <c r="I732" s="21">
        <v>28.224</v>
      </c>
      <c r="J732" s="23" t="s">
        <v>312</v>
      </c>
      <c r="K732" s="21" t="s">
        <v>1468</v>
      </c>
      <c r="O732" s="347"/>
      <c r="R732" s="84" t="s">
        <v>314</v>
      </c>
      <c r="Y732" s="20">
        <f t="shared" si="33"/>
        <v>1</v>
      </c>
      <c r="AA732" s="98">
        <f t="shared" si="31"/>
        <v>1.6759999999999984</v>
      </c>
      <c r="AB732" s="98" t="e">
        <f t="shared" si="32"/>
        <v>#VALUE!</v>
      </c>
    </row>
    <row r="733" spans="1:28" ht="22.15" customHeight="1" x14ac:dyDescent="0.25">
      <c r="A733" s="21" t="s">
        <v>103</v>
      </c>
      <c r="B733" s="276" t="s">
        <v>1469</v>
      </c>
      <c r="C733" s="81">
        <v>12</v>
      </c>
      <c r="D733" s="23" t="s">
        <v>1470</v>
      </c>
      <c r="H733" s="346">
        <v>29.9</v>
      </c>
      <c r="I733" s="21">
        <v>28.224</v>
      </c>
      <c r="J733" s="23" t="s">
        <v>312</v>
      </c>
      <c r="K733" s="21" t="s">
        <v>1471</v>
      </c>
      <c r="O733" s="347"/>
      <c r="R733" s="84" t="s">
        <v>314</v>
      </c>
      <c r="Y733" s="20">
        <f t="shared" si="33"/>
        <v>1</v>
      </c>
      <c r="AA733" s="98">
        <f t="shared" si="31"/>
        <v>1.6759999999999984</v>
      </c>
      <c r="AB733" s="98" t="e">
        <f t="shared" si="32"/>
        <v>#VALUE!</v>
      </c>
    </row>
    <row r="734" spans="1:28" ht="22.15" customHeight="1" x14ac:dyDescent="0.25">
      <c r="A734" s="21" t="s">
        <v>103</v>
      </c>
      <c r="B734" s="276" t="s">
        <v>1472</v>
      </c>
      <c r="C734" s="81">
        <v>12</v>
      </c>
      <c r="D734" s="23" t="s">
        <v>1473</v>
      </c>
      <c r="H734" s="346">
        <v>29.9</v>
      </c>
      <c r="I734" s="21">
        <v>28.224</v>
      </c>
      <c r="J734" s="23" t="s">
        <v>312</v>
      </c>
      <c r="K734" s="21" t="s">
        <v>1474</v>
      </c>
      <c r="O734" s="347"/>
      <c r="R734" s="84" t="s">
        <v>314</v>
      </c>
      <c r="Y734" s="20">
        <f t="shared" si="33"/>
        <v>1</v>
      </c>
      <c r="AA734" s="98">
        <f t="shared" si="31"/>
        <v>1.6759999999999984</v>
      </c>
      <c r="AB734" s="98" t="e">
        <f t="shared" si="32"/>
        <v>#VALUE!</v>
      </c>
    </row>
    <row r="735" spans="1:28" ht="22.15" customHeight="1" x14ac:dyDescent="0.25">
      <c r="A735" s="21" t="s">
        <v>103</v>
      </c>
      <c r="B735" s="276" t="s">
        <v>1475</v>
      </c>
      <c r="C735" s="81">
        <v>12</v>
      </c>
      <c r="D735" s="23" t="s">
        <v>1476</v>
      </c>
      <c r="H735" s="346">
        <v>29.9</v>
      </c>
      <c r="I735" s="21">
        <v>28.224</v>
      </c>
      <c r="J735" s="23" t="s">
        <v>312</v>
      </c>
      <c r="K735" s="21" t="s">
        <v>1477</v>
      </c>
      <c r="O735" s="347"/>
      <c r="R735" s="84" t="s">
        <v>314</v>
      </c>
      <c r="Y735" s="20">
        <f t="shared" si="33"/>
        <v>1</v>
      </c>
      <c r="AA735" s="98">
        <f t="shared" si="31"/>
        <v>1.6759999999999984</v>
      </c>
      <c r="AB735" s="98" t="e">
        <f t="shared" si="32"/>
        <v>#VALUE!</v>
      </c>
    </row>
    <row r="736" spans="1:28" ht="22.15" customHeight="1" x14ac:dyDescent="0.25">
      <c r="A736" s="21" t="s">
        <v>103</v>
      </c>
      <c r="B736" s="276" t="s">
        <v>1478</v>
      </c>
      <c r="C736" s="81">
        <v>12</v>
      </c>
      <c r="D736" s="23" t="s">
        <v>1479</v>
      </c>
      <c r="H736" s="346">
        <v>29.9</v>
      </c>
      <c r="I736" s="21">
        <v>28.224</v>
      </c>
      <c r="J736" s="23" t="s">
        <v>312</v>
      </c>
      <c r="K736" s="21" t="s">
        <v>1480</v>
      </c>
      <c r="O736" s="347"/>
      <c r="R736" s="84" t="s">
        <v>314</v>
      </c>
      <c r="Y736" s="20">
        <f t="shared" si="33"/>
        <v>1</v>
      </c>
      <c r="AA736" s="98">
        <f t="shared" si="31"/>
        <v>1.6759999999999984</v>
      </c>
      <c r="AB736" s="98" t="e">
        <f t="shared" si="32"/>
        <v>#VALUE!</v>
      </c>
    </row>
    <row r="737" spans="1:28" ht="22.15" customHeight="1" x14ac:dyDescent="0.25">
      <c r="A737" s="21" t="s">
        <v>103</v>
      </c>
      <c r="B737" s="276" t="s">
        <v>1481</v>
      </c>
      <c r="C737" s="81">
        <v>12</v>
      </c>
      <c r="D737" s="23" t="s">
        <v>1482</v>
      </c>
      <c r="H737" s="346">
        <v>29.9</v>
      </c>
      <c r="I737" s="21">
        <v>28.224</v>
      </c>
      <c r="J737" s="23" t="s">
        <v>312</v>
      </c>
      <c r="K737" s="21" t="s">
        <v>1483</v>
      </c>
      <c r="O737" s="347"/>
      <c r="R737" s="84" t="s">
        <v>314</v>
      </c>
      <c r="Y737" s="20">
        <f t="shared" si="33"/>
        <v>1</v>
      </c>
      <c r="AA737" s="98">
        <f t="shared" si="31"/>
        <v>1.6759999999999984</v>
      </c>
      <c r="AB737" s="98" t="e">
        <f t="shared" si="32"/>
        <v>#VALUE!</v>
      </c>
    </row>
    <row r="738" spans="1:28" ht="22.15" customHeight="1" x14ac:dyDescent="0.25">
      <c r="A738" s="21" t="s">
        <v>103</v>
      </c>
      <c r="B738" s="276" t="s">
        <v>1484</v>
      </c>
      <c r="C738" s="81">
        <v>12</v>
      </c>
      <c r="D738" s="23" t="s">
        <v>1485</v>
      </c>
      <c r="H738" s="346">
        <v>29.9</v>
      </c>
      <c r="I738" s="21">
        <v>28.224</v>
      </c>
      <c r="J738" s="23" t="s">
        <v>312</v>
      </c>
      <c r="K738" s="21" t="s">
        <v>1486</v>
      </c>
      <c r="O738" s="347"/>
      <c r="R738" s="84" t="s">
        <v>314</v>
      </c>
      <c r="Y738" s="20">
        <f t="shared" si="33"/>
        <v>1</v>
      </c>
      <c r="AA738" s="98">
        <f t="shared" si="31"/>
        <v>1.6759999999999984</v>
      </c>
      <c r="AB738" s="98" t="e">
        <f t="shared" si="32"/>
        <v>#VALUE!</v>
      </c>
    </row>
    <row r="739" spans="1:28" ht="22.15" customHeight="1" x14ac:dyDescent="0.25">
      <c r="A739" s="21" t="s">
        <v>1487</v>
      </c>
      <c r="B739" s="276" t="s">
        <v>1488</v>
      </c>
      <c r="C739" s="81">
        <v>12</v>
      </c>
      <c r="D739" s="23" t="s">
        <v>1489</v>
      </c>
      <c r="H739" s="346">
        <v>29.9</v>
      </c>
      <c r="I739" s="21">
        <v>28.224</v>
      </c>
      <c r="J739" s="23" t="s">
        <v>312</v>
      </c>
      <c r="K739" s="21" t="s">
        <v>1490</v>
      </c>
      <c r="O739" s="347"/>
      <c r="R739" s="84" t="s">
        <v>314</v>
      </c>
      <c r="Y739" s="20">
        <f t="shared" si="33"/>
        <v>1</v>
      </c>
      <c r="AA739" s="98">
        <f t="shared" si="31"/>
        <v>1.6759999999999984</v>
      </c>
      <c r="AB739" s="98" t="e">
        <f t="shared" si="32"/>
        <v>#VALUE!</v>
      </c>
    </row>
    <row r="740" spans="1:28" ht="22.15" customHeight="1" x14ac:dyDescent="0.25">
      <c r="A740" s="21" t="s">
        <v>103</v>
      </c>
      <c r="B740" s="276" t="s">
        <v>1491</v>
      </c>
      <c r="C740" s="81">
        <v>12</v>
      </c>
      <c r="D740" s="23" t="s">
        <v>1492</v>
      </c>
      <c r="H740" s="346">
        <v>29.9</v>
      </c>
      <c r="I740" s="21">
        <v>28.224</v>
      </c>
      <c r="J740" s="23" t="s">
        <v>312</v>
      </c>
      <c r="K740" s="21" t="s">
        <v>1493</v>
      </c>
      <c r="O740" s="347"/>
      <c r="R740" s="84" t="s">
        <v>314</v>
      </c>
      <c r="Y740" s="20">
        <f t="shared" si="33"/>
        <v>1</v>
      </c>
      <c r="AA740" s="98">
        <f t="shared" si="31"/>
        <v>1.6759999999999984</v>
      </c>
      <c r="AB740" s="98" t="e">
        <f t="shared" si="32"/>
        <v>#VALUE!</v>
      </c>
    </row>
    <row r="741" spans="1:28" ht="22.15" customHeight="1" x14ac:dyDescent="0.25">
      <c r="A741" s="21" t="s">
        <v>815</v>
      </c>
      <c r="B741" s="276" t="s">
        <v>1494</v>
      </c>
      <c r="C741" s="81">
        <v>12</v>
      </c>
      <c r="D741" s="23" t="s">
        <v>1495</v>
      </c>
      <c r="H741" s="346">
        <v>29.9</v>
      </c>
      <c r="I741" s="21">
        <v>28.224</v>
      </c>
      <c r="J741" s="23" t="s">
        <v>312</v>
      </c>
      <c r="K741" s="21" t="s">
        <v>1496</v>
      </c>
      <c r="O741" s="347"/>
      <c r="R741" s="84" t="s">
        <v>314</v>
      </c>
      <c r="Y741" s="20">
        <f t="shared" si="33"/>
        <v>1</v>
      </c>
      <c r="AA741" s="98">
        <f t="shared" si="31"/>
        <v>1.6759999999999984</v>
      </c>
      <c r="AB741" s="98" t="e">
        <f t="shared" si="32"/>
        <v>#VALUE!</v>
      </c>
    </row>
    <row r="742" spans="1:28" ht="22.15" customHeight="1" x14ac:dyDescent="0.25">
      <c r="A742" s="21" t="s">
        <v>103</v>
      </c>
      <c r="B742" s="276" t="s">
        <v>1497</v>
      </c>
      <c r="C742" s="81">
        <v>12</v>
      </c>
      <c r="D742" s="23" t="s">
        <v>1498</v>
      </c>
      <c r="H742" s="346">
        <v>33.9</v>
      </c>
      <c r="I742" s="21">
        <v>33.08032</v>
      </c>
      <c r="J742" s="23" t="s">
        <v>109</v>
      </c>
      <c r="K742" s="21" t="s">
        <v>1499</v>
      </c>
      <c r="O742" s="347"/>
      <c r="R742" s="84" t="s">
        <v>320</v>
      </c>
      <c r="Y742" s="20">
        <f t="shared" si="33"/>
        <v>1</v>
      </c>
      <c r="AA742" s="98">
        <f t="shared" si="31"/>
        <v>0.81967999999999819</v>
      </c>
      <c r="AB742" s="98" t="e">
        <f t="shared" si="32"/>
        <v>#VALUE!</v>
      </c>
    </row>
    <row r="743" spans="1:28" ht="22.15" customHeight="1" x14ac:dyDescent="0.25">
      <c r="A743" s="21" t="s">
        <v>103</v>
      </c>
      <c r="B743" s="276" t="s">
        <v>1500</v>
      </c>
      <c r="C743" s="81">
        <v>12</v>
      </c>
      <c r="D743" s="23" t="s">
        <v>1501</v>
      </c>
      <c r="H743" s="346">
        <v>33.9</v>
      </c>
      <c r="I743" s="21">
        <v>33.08032</v>
      </c>
      <c r="J743" s="23" t="s">
        <v>109</v>
      </c>
      <c r="K743" s="21" t="s">
        <v>1502</v>
      </c>
      <c r="O743" s="347"/>
      <c r="R743" s="84" t="s">
        <v>320</v>
      </c>
      <c r="Y743" s="20">
        <f t="shared" si="33"/>
        <v>1</v>
      </c>
      <c r="AA743" s="98">
        <f t="shared" si="31"/>
        <v>0.81967999999999819</v>
      </c>
      <c r="AB743" s="98" t="e">
        <f t="shared" si="32"/>
        <v>#VALUE!</v>
      </c>
    </row>
    <row r="744" spans="1:28" ht="22.15" customHeight="1" x14ac:dyDescent="0.25">
      <c r="A744" s="21" t="s">
        <v>103</v>
      </c>
      <c r="B744" s="276" t="s">
        <v>1503</v>
      </c>
      <c r="C744" s="81">
        <v>12</v>
      </c>
      <c r="D744" s="23" t="s">
        <v>1504</v>
      </c>
      <c r="H744" s="346">
        <v>33.9</v>
      </c>
      <c r="I744" s="21">
        <v>33.08032</v>
      </c>
      <c r="J744" s="23" t="s">
        <v>109</v>
      </c>
      <c r="K744" s="21" t="s">
        <v>1505</v>
      </c>
      <c r="O744" s="347"/>
      <c r="R744" s="84" t="s">
        <v>320</v>
      </c>
      <c r="Y744" s="20">
        <f t="shared" si="33"/>
        <v>1</v>
      </c>
      <c r="AA744" s="98">
        <f t="shared" si="31"/>
        <v>0.81967999999999819</v>
      </c>
      <c r="AB744" s="98" t="e">
        <f t="shared" si="32"/>
        <v>#VALUE!</v>
      </c>
    </row>
    <row r="745" spans="1:28" ht="22.15" customHeight="1" x14ac:dyDescent="0.25">
      <c r="A745" s="21" t="s">
        <v>103</v>
      </c>
      <c r="B745" s="276" t="s">
        <v>1506</v>
      </c>
      <c r="C745" s="81">
        <v>12</v>
      </c>
      <c r="D745" s="23" t="s">
        <v>1507</v>
      </c>
      <c r="H745" s="346">
        <v>33.9</v>
      </c>
      <c r="I745" s="21">
        <v>33.08032</v>
      </c>
      <c r="J745" s="23" t="s">
        <v>109</v>
      </c>
      <c r="K745" s="21" t="s">
        <v>1508</v>
      </c>
      <c r="O745" s="347"/>
      <c r="R745" s="84" t="s">
        <v>320</v>
      </c>
      <c r="Y745" s="20">
        <f t="shared" si="33"/>
        <v>1</v>
      </c>
      <c r="AA745" s="98">
        <f t="shared" si="31"/>
        <v>0.81967999999999819</v>
      </c>
      <c r="AB745" s="98" t="e">
        <f t="shared" si="32"/>
        <v>#VALUE!</v>
      </c>
    </row>
    <row r="746" spans="1:28" ht="22.15" customHeight="1" x14ac:dyDescent="0.25">
      <c r="A746" s="21" t="s">
        <v>328</v>
      </c>
      <c r="B746" s="276" t="s">
        <v>1509</v>
      </c>
      <c r="C746" s="81">
        <v>12</v>
      </c>
      <c r="D746" s="23" t="s">
        <v>1510</v>
      </c>
      <c r="H746" s="346">
        <v>34.9</v>
      </c>
      <c r="I746" s="21">
        <v>34.500480000000003</v>
      </c>
      <c r="J746" s="23" t="s">
        <v>332</v>
      </c>
      <c r="K746" s="21" t="s">
        <v>1511</v>
      </c>
      <c r="O746" s="347"/>
      <c r="R746" s="84" t="s">
        <v>334</v>
      </c>
      <c r="Y746" s="20">
        <f t="shared" si="33"/>
        <v>1</v>
      </c>
      <c r="AA746" s="98">
        <f t="shared" si="31"/>
        <v>0.39951999999999543</v>
      </c>
      <c r="AB746" s="98" t="e">
        <f t="shared" si="32"/>
        <v>#VALUE!</v>
      </c>
    </row>
    <row r="747" spans="1:28" ht="22.15" customHeight="1" x14ac:dyDescent="0.25">
      <c r="A747" s="21" t="s">
        <v>328</v>
      </c>
      <c r="B747" s="276" t="s">
        <v>1512</v>
      </c>
      <c r="C747" s="81">
        <v>12</v>
      </c>
      <c r="D747" s="23" t="s">
        <v>1513</v>
      </c>
      <c r="H747" s="346">
        <v>34.9</v>
      </c>
      <c r="I747" s="21">
        <v>34.500480000000003</v>
      </c>
      <c r="J747" s="23" t="s">
        <v>332</v>
      </c>
      <c r="K747" s="21" t="s">
        <v>1514</v>
      </c>
      <c r="O747" s="347"/>
      <c r="R747" s="84" t="s">
        <v>334</v>
      </c>
      <c r="Y747" s="20">
        <f t="shared" si="33"/>
        <v>1</v>
      </c>
      <c r="AA747" s="98">
        <f t="shared" si="31"/>
        <v>0.39951999999999543</v>
      </c>
      <c r="AB747" s="98" t="e">
        <f t="shared" si="32"/>
        <v>#VALUE!</v>
      </c>
    </row>
    <row r="748" spans="1:28" ht="22.15" customHeight="1" x14ac:dyDescent="0.25">
      <c r="A748" s="21" t="s">
        <v>449</v>
      </c>
      <c r="B748" s="276" t="s">
        <v>1515</v>
      </c>
      <c r="C748" s="81">
        <v>12</v>
      </c>
      <c r="D748" s="23" t="s">
        <v>1516</v>
      </c>
      <c r="H748" s="346">
        <v>34.9</v>
      </c>
      <c r="I748" s="21">
        <v>34.496000000000002</v>
      </c>
      <c r="J748" s="23" t="s">
        <v>332</v>
      </c>
      <c r="K748" s="21" t="s">
        <v>1517</v>
      </c>
      <c r="O748" s="347"/>
      <c r="R748" s="84" t="s">
        <v>334</v>
      </c>
      <c r="Y748" s="20">
        <f t="shared" si="33"/>
        <v>1</v>
      </c>
      <c r="AA748" s="98">
        <f t="shared" si="31"/>
        <v>0.40399999999999636</v>
      </c>
      <c r="AB748" s="98" t="e">
        <f t="shared" si="32"/>
        <v>#VALUE!</v>
      </c>
    </row>
    <row r="749" spans="1:28" ht="22.15" customHeight="1" x14ac:dyDescent="0.25">
      <c r="A749" s="21" t="s">
        <v>103</v>
      </c>
      <c r="B749" s="276" t="s">
        <v>1518</v>
      </c>
      <c r="C749" s="81">
        <v>18</v>
      </c>
      <c r="D749" s="23" t="s">
        <v>1519</v>
      </c>
      <c r="H749" s="346">
        <v>17.899999999999999</v>
      </c>
      <c r="I749" s="21">
        <v>17.584</v>
      </c>
      <c r="J749" s="23" t="s">
        <v>332</v>
      </c>
      <c r="K749" s="21" t="s">
        <v>1520</v>
      </c>
      <c r="O749" s="347"/>
      <c r="R749" s="84" t="s">
        <v>340</v>
      </c>
      <c r="Y749" s="20">
        <f t="shared" si="33"/>
        <v>1</v>
      </c>
      <c r="AA749" s="98">
        <f t="shared" si="31"/>
        <v>0.31599999999999895</v>
      </c>
      <c r="AB749" s="98" t="e">
        <f t="shared" si="32"/>
        <v>#VALUE!</v>
      </c>
    </row>
    <row r="750" spans="1:28" ht="22.15" customHeight="1" x14ac:dyDescent="0.25">
      <c r="A750" s="21" t="s">
        <v>103</v>
      </c>
      <c r="B750" s="276" t="s">
        <v>1521</v>
      </c>
      <c r="C750" s="81">
        <v>18</v>
      </c>
      <c r="D750" s="23" t="s">
        <v>1522</v>
      </c>
      <c r="H750" s="346">
        <v>18.899999999999999</v>
      </c>
      <c r="I750" s="21">
        <v>18.260480000000001</v>
      </c>
      <c r="J750" s="23" t="s">
        <v>332</v>
      </c>
      <c r="K750" s="21" t="s">
        <v>1523</v>
      </c>
      <c r="O750" s="347"/>
      <c r="R750" s="84" t="s">
        <v>645</v>
      </c>
      <c r="Y750" s="20">
        <f t="shared" si="33"/>
        <v>1</v>
      </c>
      <c r="AA750" s="98">
        <f t="shared" ref="AA750:AA813" si="34">H750-I750</f>
        <v>0.63951999999999742</v>
      </c>
      <c r="AB750" s="98" t="e">
        <f t="shared" ref="AB750:AB813" si="35">R750-H750</f>
        <v>#VALUE!</v>
      </c>
    </row>
    <row r="751" spans="1:28" ht="22.15" customHeight="1" x14ac:dyDescent="0.25">
      <c r="A751" s="21" t="s">
        <v>255</v>
      </c>
      <c r="B751" s="276" t="s">
        <v>1524</v>
      </c>
      <c r="C751" s="81">
        <v>18</v>
      </c>
      <c r="D751" s="23" t="s">
        <v>1525</v>
      </c>
      <c r="H751" s="346">
        <v>17.899999999999999</v>
      </c>
      <c r="I751" s="21">
        <v>17.579519999999999</v>
      </c>
      <c r="J751" s="23" t="s">
        <v>332</v>
      </c>
      <c r="K751" s="21" t="s">
        <v>1526</v>
      </c>
      <c r="O751" s="347"/>
      <c r="R751" s="84" t="s">
        <v>340</v>
      </c>
      <c r="Y751" s="20">
        <f t="shared" si="33"/>
        <v>1</v>
      </c>
      <c r="AA751" s="98">
        <f t="shared" si="34"/>
        <v>0.32047999999999988</v>
      </c>
      <c r="AB751" s="98" t="e">
        <f t="shared" si="35"/>
        <v>#VALUE!</v>
      </c>
    </row>
    <row r="752" spans="1:28" ht="22.15" customHeight="1" x14ac:dyDescent="0.25">
      <c r="A752" s="21" t="s">
        <v>328</v>
      </c>
      <c r="B752" s="276" t="s">
        <v>1527</v>
      </c>
      <c r="C752" s="81">
        <v>10</v>
      </c>
      <c r="D752" s="23" t="s">
        <v>1528</v>
      </c>
      <c r="H752" s="346">
        <v>82.9</v>
      </c>
      <c r="I752" s="21">
        <v>81.2</v>
      </c>
      <c r="J752" s="23" t="s">
        <v>344</v>
      </c>
      <c r="K752" s="21" t="s">
        <v>1529</v>
      </c>
      <c r="O752" s="347"/>
      <c r="R752" s="84" t="s">
        <v>346</v>
      </c>
      <c r="Y752" s="20">
        <f t="shared" si="33"/>
        <v>1</v>
      </c>
      <c r="AA752" s="98">
        <f t="shared" si="34"/>
        <v>1.7000000000000028</v>
      </c>
      <c r="AB752" s="98" t="e">
        <f t="shared" si="35"/>
        <v>#VALUE!</v>
      </c>
    </row>
    <row r="753" spans="1:28" ht="22.15" customHeight="1" x14ac:dyDescent="0.25">
      <c r="A753" s="21" t="s">
        <v>328</v>
      </c>
      <c r="B753" s="276" t="s">
        <v>1530</v>
      </c>
      <c r="C753" s="81">
        <v>10</v>
      </c>
      <c r="D753" s="23" t="s">
        <v>1531</v>
      </c>
      <c r="H753" s="346">
        <v>82.9</v>
      </c>
      <c r="I753" s="21">
        <v>81.2</v>
      </c>
      <c r="J753" s="23" t="s">
        <v>344</v>
      </c>
      <c r="K753" s="21" t="s">
        <v>1532</v>
      </c>
      <c r="O753" s="347"/>
      <c r="R753" s="84" t="s">
        <v>346</v>
      </c>
      <c r="Y753" s="20">
        <f t="shared" si="33"/>
        <v>1</v>
      </c>
      <c r="AA753" s="98">
        <f t="shared" si="34"/>
        <v>1.7000000000000028</v>
      </c>
      <c r="AB753" s="98" t="e">
        <f t="shared" si="35"/>
        <v>#VALUE!</v>
      </c>
    </row>
    <row r="754" spans="1:28" ht="22.15" customHeight="1" x14ac:dyDescent="0.25">
      <c r="A754" s="21" t="s">
        <v>1533</v>
      </c>
      <c r="B754" s="276" t="s">
        <v>1534</v>
      </c>
      <c r="C754" s="81">
        <v>10</v>
      </c>
      <c r="D754" s="23" t="s">
        <v>1535</v>
      </c>
      <c r="H754" s="346">
        <v>82.9</v>
      </c>
      <c r="I754" s="21">
        <v>81.2</v>
      </c>
      <c r="J754" s="23" t="s">
        <v>344</v>
      </c>
      <c r="K754" s="21" t="s">
        <v>1536</v>
      </c>
      <c r="O754" s="347"/>
      <c r="R754" s="84" t="s">
        <v>346</v>
      </c>
      <c r="Y754" s="20">
        <f t="shared" si="33"/>
        <v>1</v>
      </c>
      <c r="AA754" s="98">
        <f t="shared" si="34"/>
        <v>1.7000000000000028</v>
      </c>
      <c r="AB754" s="98" t="e">
        <f t="shared" si="35"/>
        <v>#VALUE!</v>
      </c>
    </row>
    <row r="755" spans="1:28" ht="22.15" customHeight="1" x14ac:dyDescent="0.25">
      <c r="A755" s="21" t="s">
        <v>1533</v>
      </c>
      <c r="B755" s="276" t="s">
        <v>1537</v>
      </c>
      <c r="C755" s="81">
        <v>10</v>
      </c>
      <c r="D755" s="23" t="s">
        <v>1538</v>
      </c>
      <c r="H755" s="346">
        <v>82.9</v>
      </c>
      <c r="I755" s="21">
        <v>81.2</v>
      </c>
      <c r="J755" s="23" t="s">
        <v>344</v>
      </c>
      <c r="K755" s="21" t="s">
        <v>1539</v>
      </c>
      <c r="O755" s="347"/>
      <c r="R755" s="84" t="s">
        <v>346</v>
      </c>
      <c r="Y755" s="20">
        <f t="shared" si="33"/>
        <v>1</v>
      </c>
      <c r="AA755" s="98">
        <f t="shared" si="34"/>
        <v>1.7000000000000028</v>
      </c>
      <c r="AB755" s="98" t="e">
        <f t="shared" si="35"/>
        <v>#VALUE!</v>
      </c>
    </row>
    <row r="756" spans="1:28" ht="22.15" customHeight="1" x14ac:dyDescent="0.25">
      <c r="A756" s="21" t="s">
        <v>328</v>
      </c>
      <c r="B756" s="276" t="s">
        <v>1540</v>
      </c>
      <c r="C756" s="81">
        <v>8</v>
      </c>
      <c r="D756" s="23" t="s">
        <v>1541</v>
      </c>
      <c r="H756" s="346">
        <v>76.900000000000006</v>
      </c>
      <c r="I756" s="21">
        <v>74.48</v>
      </c>
      <c r="J756" s="23" t="s">
        <v>344</v>
      </c>
      <c r="K756" s="21" t="s">
        <v>1542</v>
      </c>
      <c r="O756" s="347"/>
      <c r="R756" s="84" t="s">
        <v>395</v>
      </c>
      <c r="Y756" s="20">
        <f t="shared" si="33"/>
        <v>1</v>
      </c>
      <c r="AA756" s="98">
        <f t="shared" si="34"/>
        <v>2.4200000000000017</v>
      </c>
      <c r="AB756" s="98" t="e">
        <f t="shared" si="35"/>
        <v>#VALUE!</v>
      </c>
    </row>
    <row r="757" spans="1:28" ht="22.15" customHeight="1" x14ac:dyDescent="0.25">
      <c r="A757" s="21" t="s">
        <v>297</v>
      </c>
      <c r="B757" s="276" t="s">
        <v>1543</v>
      </c>
      <c r="C757" s="81">
        <v>8</v>
      </c>
      <c r="D757" s="23" t="s">
        <v>1544</v>
      </c>
      <c r="H757" s="346">
        <v>55.9</v>
      </c>
      <c r="I757" s="21">
        <v>54.32</v>
      </c>
      <c r="J757" s="23" t="s">
        <v>344</v>
      </c>
      <c r="K757" s="21" t="s">
        <v>1545</v>
      </c>
      <c r="O757" s="347"/>
      <c r="R757" s="84" t="s">
        <v>1546</v>
      </c>
      <c r="Y757" s="20">
        <f t="shared" si="33"/>
        <v>1</v>
      </c>
      <c r="AA757" s="98">
        <f t="shared" si="34"/>
        <v>1.5799999999999983</v>
      </c>
      <c r="AB757" s="98" t="e">
        <f t="shared" si="35"/>
        <v>#VALUE!</v>
      </c>
    </row>
    <row r="758" spans="1:28" ht="22.15" customHeight="1" x14ac:dyDescent="0.25">
      <c r="A758" s="21" t="s">
        <v>103</v>
      </c>
      <c r="B758" s="276" t="s">
        <v>1547</v>
      </c>
      <c r="C758" s="81">
        <v>8</v>
      </c>
      <c r="D758" s="23" t="s">
        <v>1548</v>
      </c>
      <c r="G758" s="21">
        <v>12</v>
      </c>
      <c r="H758" s="346">
        <v>132</v>
      </c>
      <c r="I758" s="21">
        <v>129.81</v>
      </c>
      <c r="J758" s="23" t="s">
        <v>355</v>
      </c>
      <c r="K758" s="21" t="s">
        <v>1549</v>
      </c>
      <c r="O758" s="347"/>
      <c r="R758" s="84" t="s">
        <v>357</v>
      </c>
      <c r="Y758" s="20">
        <f t="shared" si="33"/>
        <v>1</v>
      </c>
      <c r="AA758" s="98">
        <f t="shared" si="34"/>
        <v>2.1899999999999977</v>
      </c>
      <c r="AB758" s="98" t="e">
        <f t="shared" si="35"/>
        <v>#VALUE!</v>
      </c>
    </row>
    <row r="759" spans="1:28" ht="22.15" customHeight="1" x14ac:dyDescent="0.25">
      <c r="A759" s="21" t="s">
        <v>374</v>
      </c>
      <c r="B759" s="276" t="s">
        <v>1550</v>
      </c>
      <c r="C759" s="81">
        <v>20</v>
      </c>
      <c r="D759" s="23" t="s">
        <v>1551</v>
      </c>
      <c r="H759" s="346">
        <v>22.9</v>
      </c>
      <c r="I759" s="21">
        <v>22.4</v>
      </c>
      <c r="J759" s="23" t="s">
        <v>369</v>
      </c>
      <c r="K759" s="21" t="s">
        <v>1552</v>
      </c>
      <c r="O759" s="347"/>
      <c r="R759" s="84" t="s">
        <v>371</v>
      </c>
      <c r="Y759" s="20">
        <f t="shared" si="33"/>
        <v>1</v>
      </c>
      <c r="AA759" s="98">
        <f t="shared" si="34"/>
        <v>0.5</v>
      </c>
      <c r="AB759" s="98" t="e">
        <f t="shared" si="35"/>
        <v>#VALUE!</v>
      </c>
    </row>
    <row r="760" spans="1:28" ht="22.15" customHeight="1" x14ac:dyDescent="0.25">
      <c r="A760" s="21" t="s">
        <v>328</v>
      </c>
      <c r="B760" s="276" t="s">
        <v>1553</v>
      </c>
      <c r="C760" s="81">
        <v>20</v>
      </c>
      <c r="D760" s="23" t="s">
        <v>1554</v>
      </c>
      <c r="H760" s="346">
        <v>22.9</v>
      </c>
      <c r="I760" s="21">
        <v>22.4</v>
      </c>
      <c r="J760" s="23" t="s">
        <v>369</v>
      </c>
      <c r="K760" s="21" t="s">
        <v>1555</v>
      </c>
      <c r="O760" s="347"/>
      <c r="R760" s="84" t="s">
        <v>371</v>
      </c>
      <c r="Y760" s="20">
        <f t="shared" si="33"/>
        <v>1</v>
      </c>
      <c r="AA760" s="98">
        <f t="shared" si="34"/>
        <v>0.5</v>
      </c>
      <c r="AB760" s="98" t="e">
        <f t="shared" si="35"/>
        <v>#VALUE!</v>
      </c>
    </row>
    <row r="761" spans="1:28" ht="22.15" customHeight="1" x14ac:dyDescent="0.25">
      <c r="A761" s="21" t="s">
        <v>328</v>
      </c>
      <c r="B761" s="276" t="s">
        <v>1556</v>
      </c>
      <c r="C761" s="81">
        <v>20</v>
      </c>
      <c r="D761" s="23" t="s">
        <v>1557</v>
      </c>
      <c r="H761" s="346">
        <v>22.9</v>
      </c>
      <c r="I761" s="21">
        <v>22.4</v>
      </c>
      <c r="J761" s="23" t="s">
        <v>369</v>
      </c>
      <c r="K761" s="21" t="s">
        <v>1558</v>
      </c>
      <c r="O761" s="347"/>
      <c r="R761" s="84" t="s">
        <v>371</v>
      </c>
      <c r="Y761" s="20">
        <f t="shared" si="33"/>
        <v>1</v>
      </c>
      <c r="AA761" s="98">
        <f t="shared" si="34"/>
        <v>0.5</v>
      </c>
      <c r="AB761" s="98" t="e">
        <f t="shared" si="35"/>
        <v>#VALUE!</v>
      </c>
    </row>
    <row r="762" spans="1:28" ht="22.15" customHeight="1" x14ac:dyDescent="0.25">
      <c r="A762" s="21" t="s">
        <v>374</v>
      </c>
      <c r="B762" s="276" t="s">
        <v>1559</v>
      </c>
      <c r="C762" s="81">
        <v>20</v>
      </c>
      <c r="D762" s="23" t="s">
        <v>1560</v>
      </c>
      <c r="H762" s="346">
        <v>22.9</v>
      </c>
      <c r="I762" s="21">
        <v>22.4</v>
      </c>
      <c r="J762" s="23" t="s">
        <v>369</v>
      </c>
      <c r="K762" s="21" t="s">
        <v>1561</v>
      </c>
      <c r="O762" s="347"/>
      <c r="R762" s="84" t="s">
        <v>371</v>
      </c>
      <c r="Y762" s="20">
        <f t="shared" si="33"/>
        <v>1</v>
      </c>
      <c r="AA762" s="98">
        <f t="shared" si="34"/>
        <v>0.5</v>
      </c>
      <c r="AB762" s="98" t="e">
        <f t="shared" si="35"/>
        <v>#VALUE!</v>
      </c>
    </row>
    <row r="763" spans="1:28" ht="22.15" customHeight="1" x14ac:dyDescent="0.25">
      <c r="A763" s="21" t="s">
        <v>374</v>
      </c>
      <c r="B763" s="276" t="s">
        <v>1562</v>
      </c>
      <c r="C763" s="81">
        <v>22</v>
      </c>
      <c r="D763" s="23" t="s">
        <v>1563</v>
      </c>
      <c r="H763" s="346">
        <v>24.9</v>
      </c>
      <c r="I763" s="21">
        <v>24.494399999999999</v>
      </c>
      <c r="J763" s="23" t="s">
        <v>378</v>
      </c>
      <c r="K763" s="21" t="s">
        <v>1564</v>
      </c>
      <c r="O763" s="347"/>
      <c r="R763" s="84" t="s">
        <v>448</v>
      </c>
      <c r="Y763" s="20">
        <f t="shared" si="33"/>
        <v>1</v>
      </c>
      <c r="AA763" s="98">
        <f t="shared" si="34"/>
        <v>0.40559999999999974</v>
      </c>
      <c r="AB763" s="98" t="e">
        <f t="shared" si="35"/>
        <v>#VALUE!</v>
      </c>
    </row>
    <row r="764" spans="1:28" ht="22.15" customHeight="1" x14ac:dyDescent="0.25">
      <c r="A764" s="21" t="s">
        <v>374</v>
      </c>
      <c r="B764" s="276" t="s">
        <v>1565</v>
      </c>
      <c r="C764" s="81">
        <v>22</v>
      </c>
      <c r="D764" s="23" t="s">
        <v>1566</v>
      </c>
      <c r="H764" s="346">
        <v>27.9</v>
      </c>
      <c r="I764" s="21">
        <v>27.220479999999998</v>
      </c>
      <c r="J764" s="23" t="s">
        <v>378</v>
      </c>
      <c r="K764" s="21" t="s">
        <v>1567</v>
      </c>
      <c r="O764" s="347"/>
      <c r="R764" s="84" t="s">
        <v>499</v>
      </c>
      <c r="Y764" s="20">
        <f t="shared" si="33"/>
        <v>1</v>
      </c>
      <c r="AA764" s="98">
        <f t="shared" si="34"/>
        <v>0.67952000000000012</v>
      </c>
      <c r="AB764" s="98" t="e">
        <f t="shared" si="35"/>
        <v>#VALUE!</v>
      </c>
    </row>
    <row r="765" spans="1:28" ht="22.15" customHeight="1" x14ac:dyDescent="0.25">
      <c r="A765" s="21" t="s">
        <v>381</v>
      </c>
      <c r="B765" s="276" t="s">
        <v>1568</v>
      </c>
      <c r="C765" s="81">
        <v>25</v>
      </c>
      <c r="D765" s="23" t="s">
        <v>1569</v>
      </c>
      <c r="H765" s="346">
        <v>12.9</v>
      </c>
      <c r="I765" s="21">
        <v>12.50032</v>
      </c>
      <c r="J765" s="23" t="s">
        <v>386</v>
      </c>
      <c r="K765" s="21" t="s">
        <v>1570</v>
      </c>
      <c r="O765" s="347"/>
      <c r="R765" s="84" t="s">
        <v>388</v>
      </c>
      <c r="Y765" s="20">
        <f t="shared" si="33"/>
        <v>1</v>
      </c>
      <c r="AA765" s="98">
        <f t="shared" si="34"/>
        <v>0.39968000000000004</v>
      </c>
      <c r="AB765" s="98" t="e">
        <f t="shared" si="35"/>
        <v>#VALUE!</v>
      </c>
    </row>
    <row r="766" spans="1:28" ht="22.15" customHeight="1" x14ac:dyDescent="0.25">
      <c r="A766" s="21" t="s">
        <v>381</v>
      </c>
      <c r="B766" s="276" t="s">
        <v>1571</v>
      </c>
      <c r="C766" s="81">
        <v>25</v>
      </c>
      <c r="D766" s="23" t="s">
        <v>1572</v>
      </c>
      <c r="H766" s="346">
        <v>12.9</v>
      </c>
      <c r="I766" s="21">
        <v>12.50032</v>
      </c>
      <c r="J766" s="23" t="s">
        <v>386</v>
      </c>
      <c r="K766" s="21" t="s">
        <v>1573</v>
      </c>
      <c r="O766" s="347"/>
      <c r="R766" s="84" t="s">
        <v>388</v>
      </c>
      <c r="Y766" s="20">
        <f t="shared" si="33"/>
        <v>1</v>
      </c>
      <c r="AA766" s="98">
        <f t="shared" si="34"/>
        <v>0.39968000000000004</v>
      </c>
      <c r="AB766" s="98" t="e">
        <f t="shared" si="35"/>
        <v>#VALUE!</v>
      </c>
    </row>
    <row r="767" spans="1:28" ht="22.15" customHeight="1" x14ac:dyDescent="0.25">
      <c r="A767" s="21" t="s">
        <v>328</v>
      </c>
      <c r="B767" s="276" t="s">
        <v>1574</v>
      </c>
      <c r="C767" s="81">
        <v>12</v>
      </c>
      <c r="D767" s="23" t="s">
        <v>1575</v>
      </c>
      <c r="H767" s="346">
        <v>74.900000000000006</v>
      </c>
      <c r="I767" s="21">
        <v>73.280479999999997</v>
      </c>
      <c r="J767" s="23" t="s">
        <v>393</v>
      </c>
      <c r="K767" s="21" t="s">
        <v>1576</v>
      </c>
      <c r="O767" s="347"/>
      <c r="R767" s="84" t="s">
        <v>395</v>
      </c>
      <c r="Y767" s="20">
        <f t="shared" si="33"/>
        <v>1</v>
      </c>
      <c r="AA767" s="98">
        <f t="shared" si="34"/>
        <v>1.6195200000000085</v>
      </c>
      <c r="AB767" s="98" t="e">
        <f t="shared" si="35"/>
        <v>#VALUE!</v>
      </c>
    </row>
    <row r="768" spans="1:28" ht="22.15" customHeight="1" x14ac:dyDescent="0.25">
      <c r="A768" s="21" t="s">
        <v>255</v>
      </c>
      <c r="B768" s="276" t="s">
        <v>1577</v>
      </c>
      <c r="C768" s="81">
        <v>12</v>
      </c>
      <c r="D768" s="23" t="s">
        <v>1578</v>
      </c>
      <c r="H768" s="346">
        <v>74.900000000000006</v>
      </c>
      <c r="I768" s="21">
        <v>73.280479999999997</v>
      </c>
      <c r="J768" s="23" t="s">
        <v>393</v>
      </c>
      <c r="K768" s="21" t="s">
        <v>1579</v>
      </c>
      <c r="O768" s="347"/>
      <c r="R768" s="84" t="s">
        <v>395</v>
      </c>
      <c r="Y768" s="20">
        <f t="shared" si="33"/>
        <v>1</v>
      </c>
      <c r="AA768" s="98">
        <f t="shared" si="34"/>
        <v>1.6195200000000085</v>
      </c>
      <c r="AB768" s="98" t="e">
        <f t="shared" si="35"/>
        <v>#VALUE!</v>
      </c>
    </row>
    <row r="769" spans="1:28" ht="22.15" customHeight="1" x14ac:dyDescent="0.25">
      <c r="A769" s="21" t="s">
        <v>328</v>
      </c>
      <c r="B769" s="276" t="s">
        <v>1580</v>
      </c>
      <c r="C769" s="81">
        <v>12</v>
      </c>
      <c r="D769" s="23" t="s">
        <v>1581</v>
      </c>
      <c r="H769" s="346">
        <v>74.900000000000006</v>
      </c>
      <c r="I769" s="21">
        <v>70.54992</v>
      </c>
      <c r="J769" s="23" t="s">
        <v>435</v>
      </c>
      <c r="K769" s="21" t="s">
        <v>1582</v>
      </c>
      <c r="O769" s="347"/>
      <c r="R769" s="84" t="s">
        <v>395</v>
      </c>
      <c r="Y769" s="20">
        <f t="shared" si="33"/>
        <v>1</v>
      </c>
      <c r="AA769" s="98">
        <f t="shared" si="34"/>
        <v>4.3500800000000055</v>
      </c>
      <c r="AB769" s="98" t="e">
        <f t="shared" si="35"/>
        <v>#VALUE!</v>
      </c>
    </row>
    <row r="770" spans="1:28" ht="22.15" customHeight="1" x14ac:dyDescent="0.25">
      <c r="A770" s="21" t="s">
        <v>328</v>
      </c>
      <c r="B770" s="276" t="s">
        <v>1583</v>
      </c>
      <c r="C770" s="81">
        <v>12</v>
      </c>
      <c r="D770" s="23" t="s">
        <v>1584</v>
      </c>
      <c r="H770" s="346">
        <v>74.900000000000006</v>
      </c>
      <c r="I770" s="21">
        <v>73.280479999999997</v>
      </c>
      <c r="J770" s="23" t="s">
        <v>393</v>
      </c>
      <c r="K770" s="21" t="s">
        <v>1585</v>
      </c>
      <c r="O770" s="347"/>
      <c r="R770" s="84" t="s">
        <v>395</v>
      </c>
      <c r="Y770" s="20">
        <f t="shared" si="33"/>
        <v>1</v>
      </c>
      <c r="AA770" s="98">
        <f t="shared" si="34"/>
        <v>1.6195200000000085</v>
      </c>
      <c r="AB770" s="98" t="e">
        <f t="shared" si="35"/>
        <v>#VALUE!</v>
      </c>
    </row>
    <row r="771" spans="1:28" ht="22.15" customHeight="1" x14ac:dyDescent="0.25">
      <c r="A771" s="21" t="s">
        <v>255</v>
      </c>
      <c r="B771" s="276" t="s">
        <v>1586</v>
      </c>
      <c r="C771" s="81">
        <v>12</v>
      </c>
      <c r="D771" s="23" t="s">
        <v>1587</v>
      </c>
      <c r="H771" s="346">
        <v>74.900000000000006</v>
      </c>
      <c r="I771" s="21">
        <v>73.280479999999997</v>
      </c>
      <c r="J771" s="23" t="s">
        <v>393</v>
      </c>
      <c r="K771" s="21" t="s">
        <v>1588</v>
      </c>
      <c r="O771" s="347"/>
      <c r="R771" s="84" t="s">
        <v>395</v>
      </c>
      <c r="Y771" s="20">
        <f t="shared" si="33"/>
        <v>1</v>
      </c>
      <c r="AA771" s="98">
        <f t="shared" si="34"/>
        <v>1.6195200000000085</v>
      </c>
      <c r="AB771" s="98" t="e">
        <f t="shared" si="35"/>
        <v>#VALUE!</v>
      </c>
    </row>
    <row r="772" spans="1:28" ht="22.15" customHeight="1" x14ac:dyDescent="0.25">
      <c r="A772" s="21" t="s">
        <v>255</v>
      </c>
      <c r="B772" s="276" t="s">
        <v>1589</v>
      </c>
      <c r="C772" s="81">
        <v>12</v>
      </c>
      <c r="D772" s="23" t="s">
        <v>1590</v>
      </c>
      <c r="H772" s="346">
        <v>74.900000000000006</v>
      </c>
      <c r="I772" s="21">
        <v>73.280479999999997</v>
      </c>
      <c r="J772" s="23" t="s">
        <v>393</v>
      </c>
      <c r="K772" s="21" t="s">
        <v>1591</v>
      </c>
      <c r="O772" s="347"/>
      <c r="R772" s="84" t="s">
        <v>395</v>
      </c>
      <c r="Y772" s="20">
        <f t="shared" si="33"/>
        <v>1</v>
      </c>
      <c r="AA772" s="98">
        <f t="shared" si="34"/>
        <v>1.6195200000000085</v>
      </c>
      <c r="AB772" s="98" t="e">
        <f t="shared" si="35"/>
        <v>#VALUE!</v>
      </c>
    </row>
    <row r="773" spans="1:28" ht="22.15" customHeight="1" x14ac:dyDescent="0.25">
      <c r="A773" s="21" t="s">
        <v>255</v>
      </c>
      <c r="B773" s="276" t="s">
        <v>1592</v>
      </c>
      <c r="C773" s="81">
        <v>12</v>
      </c>
      <c r="D773" s="23" t="s">
        <v>1593</v>
      </c>
      <c r="H773" s="346">
        <v>74.900000000000006</v>
      </c>
      <c r="I773" s="21">
        <v>73.280479999999997</v>
      </c>
      <c r="J773" s="23" t="s">
        <v>393</v>
      </c>
      <c r="K773" s="21" t="s">
        <v>1594</v>
      </c>
      <c r="O773" s="347"/>
      <c r="R773" s="84" t="s">
        <v>395</v>
      </c>
      <c r="Y773" s="20">
        <f t="shared" si="33"/>
        <v>1</v>
      </c>
      <c r="AA773" s="98">
        <f t="shared" si="34"/>
        <v>1.6195200000000085</v>
      </c>
      <c r="AB773" s="98" t="e">
        <f t="shared" si="35"/>
        <v>#VALUE!</v>
      </c>
    </row>
    <row r="774" spans="1:28" ht="22.15" customHeight="1" x14ac:dyDescent="0.25">
      <c r="A774" s="21" t="s">
        <v>255</v>
      </c>
      <c r="B774" s="276" t="s">
        <v>1595</v>
      </c>
      <c r="C774" s="81">
        <v>12</v>
      </c>
      <c r="D774" s="23" t="s">
        <v>1596</v>
      </c>
      <c r="H774" s="346">
        <v>74.900000000000006</v>
      </c>
      <c r="I774" s="21">
        <v>73.280479999999997</v>
      </c>
      <c r="J774" s="23" t="s">
        <v>393</v>
      </c>
      <c r="K774" s="21" t="s">
        <v>1597</v>
      </c>
      <c r="O774" s="347"/>
      <c r="R774" s="84" t="s">
        <v>395</v>
      </c>
      <c r="Y774" s="20">
        <f t="shared" si="33"/>
        <v>1</v>
      </c>
      <c r="AA774" s="98">
        <f t="shared" si="34"/>
        <v>1.6195200000000085</v>
      </c>
      <c r="AB774" s="98" t="e">
        <f t="shared" si="35"/>
        <v>#VALUE!</v>
      </c>
    </row>
    <row r="775" spans="1:28" ht="22.15" customHeight="1" x14ac:dyDescent="0.25">
      <c r="A775" s="21" t="s">
        <v>255</v>
      </c>
      <c r="B775" s="276" t="s">
        <v>1598</v>
      </c>
      <c r="C775" s="81">
        <v>12</v>
      </c>
      <c r="D775" s="23" t="s">
        <v>1599</v>
      </c>
      <c r="H775" s="346">
        <v>74.900000000000006</v>
      </c>
      <c r="I775" s="21">
        <v>70.54992</v>
      </c>
      <c r="J775" s="23" t="s">
        <v>435</v>
      </c>
      <c r="K775" s="21" t="s">
        <v>1600</v>
      </c>
      <c r="O775" s="347"/>
      <c r="R775" s="84" t="s">
        <v>395</v>
      </c>
      <c r="Y775" s="20">
        <f t="shared" ref="Y775:Y838" si="36">COUNTIF(K:K,K775)</f>
        <v>1</v>
      </c>
      <c r="AA775" s="98">
        <f t="shared" si="34"/>
        <v>4.3500800000000055</v>
      </c>
      <c r="AB775" s="98" t="e">
        <f t="shared" si="35"/>
        <v>#VALUE!</v>
      </c>
    </row>
    <row r="776" spans="1:28" ht="22.15" customHeight="1" x14ac:dyDescent="0.25">
      <c r="A776" s="21" t="s">
        <v>255</v>
      </c>
      <c r="B776" s="276" t="s">
        <v>1601</v>
      </c>
      <c r="C776" s="81">
        <v>12</v>
      </c>
      <c r="D776" s="23" t="s">
        <v>1602</v>
      </c>
      <c r="H776" s="346">
        <v>74.900000000000006</v>
      </c>
      <c r="I776" s="21">
        <v>73.280479999999997</v>
      </c>
      <c r="J776" s="23" t="s">
        <v>393</v>
      </c>
      <c r="K776" s="21" t="s">
        <v>1603</v>
      </c>
      <c r="O776" s="347"/>
      <c r="R776" s="84" t="s">
        <v>395</v>
      </c>
      <c r="Y776" s="20">
        <f t="shared" si="36"/>
        <v>1</v>
      </c>
      <c r="AA776" s="98">
        <f t="shared" si="34"/>
        <v>1.6195200000000085</v>
      </c>
      <c r="AB776" s="98" t="e">
        <f t="shared" si="35"/>
        <v>#VALUE!</v>
      </c>
    </row>
    <row r="777" spans="1:28" ht="22.15" customHeight="1" x14ac:dyDescent="0.25">
      <c r="A777" s="21" t="s">
        <v>328</v>
      </c>
      <c r="B777" s="276" t="s">
        <v>1604</v>
      </c>
      <c r="C777" s="81">
        <v>18</v>
      </c>
      <c r="D777" s="23" t="s">
        <v>1605</v>
      </c>
      <c r="H777" s="346">
        <v>16.899999999999999</v>
      </c>
      <c r="I777" s="21">
        <v>16.509920000000001</v>
      </c>
      <c r="J777" s="23" t="s">
        <v>400</v>
      </c>
      <c r="K777" s="21" t="s">
        <v>1606</v>
      </c>
      <c r="O777" s="347"/>
      <c r="R777" s="84" t="s">
        <v>402</v>
      </c>
      <c r="Y777" s="20">
        <f t="shared" si="36"/>
        <v>1</v>
      </c>
      <c r="AA777" s="98">
        <f t="shared" si="34"/>
        <v>0.39007999999999754</v>
      </c>
      <c r="AB777" s="98" t="e">
        <f t="shared" si="35"/>
        <v>#VALUE!</v>
      </c>
    </row>
    <row r="778" spans="1:28" ht="22.15" customHeight="1" x14ac:dyDescent="0.25">
      <c r="A778" s="21" t="s">
        <v>328</v>
      </c>
      <c r="B778" s="276" t="s">
        <v>1607</v>
      </c>
      <c r="C778" s="81">
        <v>18</v>
      </c>
      <c r="D778" s="23" t="s">
        <v>1608</v>
      </c>
      <c r="H778" s="346">
        <v>16.899999999999999</v>
      </c>
      <c r="I778" s="21">
        <v>16.509920000000001</v>
      </c>
      <c r="J778" s="23" t="s">
        <v>400</v>
      </c>
      <c r="K778" s="21" t="s">
        <v>1609</v>
      </c>
      <c r="O778" s="347"/>
      <c r="R778" s="84" t="s">
        <v>402</v>
      </c>
      <c r="Y778" s="20">
        <f t="shared" si="36"/>
        <v>1</v>
      </c>
      <c r="AA778" s="98">
        <f t="shared" si="34"/>
        <v>0.39007999999999754</v>
      </c>
      <c r="AB778" s="98" t="e">
        <f t="shared" si="35"/>
        <v>#VALUE!</v>
      </c>
    </row>
    <row r="779" spans="1:28" ht="22.15" customHeight="1" x14ac:dyDescent="0.25">
      <c r="A779" s="21" t="s">
        <v>328</v>
      </c>
      <c r="B779" s="276" t="s">
        <v>1610</v>
      </c>
      <c r="C779" s="81">
        <v>18</v>
      </c>
      <c r="D779" s="23" t="s">
        <v>1611</v>
      </c>
      <c r="H779" s="346">
        <v>16.899999999999999</v>
      </c>
      <c r="I779" s="21">
        <v>16.509920000000001</v>
      </c>
      <c r="J779" s="23" t="s">
        <v>400</v>
      </c>
      <c r="K779" s="21" t="s">
        <v>1612</v>
      </c>
      <c r="O779" s="347"/>
      <c r="R779" s="84" t="s">
        <v>402</v>
      </c>
      <c r="Y779" s="20">
        <f t="shared" si="36"/>
        <v>1</v>
      </c>
      <c r="AA779" s="98">
        <f t="shared" si="34"/>
        <v>0.39007999999999754</v>
      </c>
      <c r="AB779" s="98" t="e">
        <f t="shared" si="35"/>
        <v>#VALUE!</v>
      </c>
    </row>
    <row r="780" spans="1:28" ht="22.15" customHeight="1" x14ac:dyDescent="0.25">
      <c r="A780" s="21" t="s">
        <v>328</v>
      </c>
      <c r="B780" s="276" t="s">
        <v>1613</v>
      </c>
      <c r="C780" s="81">
        <v>18</v>
      </c>
      <c r="D780" s="23" t="s">
        <v>1614</v>
      </c>
      <c r="H780" s="346">
        <v>16.899999999999999</v>
      </c>
      <c r="I780" s="21">
        <v>16.509920000000001</v>
      </c>
      <c r="J780" s="23" t="s">
        <v>400</v>
      </c>
      <c r="K780" s="21" t="s">
        <v>1615</v>
      </c>
      <c r="O780" s="347"/>
      <c r="R780" s="84" t="s">
        <v>402</v>
      </c>
      <c r="Y780" s="20">
        <f t="shared" si="36"/>
        <v>1</v>
      </c>
      <c r="AA780" s="98">
        <f t="shared" si="34"/>
        <v>0.39007999999999754</v>
      </c>
      <c r="AB780" s="98" t="e">
        <f t="shared" si="35"/>
        <v>#VALUE!</v>
      </c>
    </row>
    <row r="781" spans="1:28" ht="22.15" customHeight="1" x14ac:dyDescent="0.25">
      <c r="A781" s="21" t="s">
        <v>328</v>
      </c>
      <c r="B781" s="276" t="s">
        <v>1616</v>
      </c>
      <c r="C781" s="81">
        <v>18</v>
      </c>
      <c r="D781" s="23" t="s">
        <v>1617</v>
      </c>
      <c r="H781" s="346">
        <v>16.899999999999999</v>
      </c>
      <c r="I781" s="21">
        <v>16.509920000000001</v>
      </c>
      <c r="J781" s="23" t="s">
        <v>400</v>
      </c>
      <c r="K781" s="21" t="s">
        <v>1618</v>
      </c>
      <c r="O781" s="347"/>
      <c r="R781" s="84" t="s">
        <v>402</v>
      </c>
      <c r="Y781" s="20">
        <f t="shared" si="36"/>
        <v>1</v>
      </c>
      <c r="AA781" s="98">
        <f t="shared" si="34"/>
        <v>0.39007999999999754</v>
      </c>
      <c r="AB781" s="98" t="e">
        <f t="shared" si="35"/>
        <v>#VALUE!</v>
      </c>
    </row>
    <row r="782" spans="1:28" ht="22.15" customHeight="1" x14ac:dyDescent="0.25">
      <c r="A782" s="21" t="s">
        <v>328</v>
      </c>
      <c r="B782" s="276" t="s">
        <v>1619</v>
      </c>
      <c r="C782" s="81">
        <v>15</v>
      </c>
      <c r="D782" s="23" t="s">
        <v>1620</v>
      </c>
      <c r="H782" s="346">
        <v>9.5</v>
      </c>
      <c r="I782" s="21">
        <v>9.0719999999999992</v>
      </c>
      <c r="J782" s="23" t="s">
        <v>407</v>
      </c>
      <c r="K782" s="21" t="s">
        <v>1621</v>
      </c>
      <c r="O782" s="347"/>
      <c r="R782" s="84" t="s">
        <v>409</v>
      </c>
      <c r="Y782" s="20">
        <f t="shared" si="36"/>
        <v>1</v>
      </c>
      <c r="AA782" s="98">
        <f t="shared" si="34"/>
        <v>0.42800000000000082</v>
      </c>
      <c r="AB782" s="98" t="e">
        <f t="shared" si="35"/>
        <v>#VALUE!</v>
      </c>
    </row>
    <row r="783" spans="1:28" ht="22.15" customHeight="1" x14ac:dyDescent="0.25">
      <c r="A783" s="21" t="s">
        <v>449</v>
      </c>
      <c r="B783" s="276" t="s">
        <v>1622</v>
      </c>
      <c r="C783" s="81">
        <v>6</v>
      </c>
      <c r="D783" s="23" t="s">
        <v>1623</v>
      </c>
      <c r="H783" s="346">
        <v>47.9</v>
      </c>
      <c r="I783" s="21">
        <v>45.859520000000003</v>
      </c>
      <c r="J783" s="23" t="s">
        <v>453</v>
      </c>
      <c r="K783" s="21" t="s">
        <v>1624</v>
      </c>
      <c r="O783" s="347"/>
      <c r="R783" s="84" t="s">
        <v>455</v>
      </c>
      <c r="Y783" s="20">
        <f t="shared" si="36"/>
        <v>1</v>
      </c>
      <c r="AA783" s="98">
        <f t="shared" si="34"/>
        <v>2.0404799999999952</v>
      </c>
      <c r="AB783" s="98" t="e">
        <f t="shared" si="35"/>
        <v>#VALUE!</v>
      </c>
    </row>
    <row r="784" spans="1:28" ht="22.15" customHeight="1" x14ac:dyDescent="0.25">
      <c r="A784" s="21" t="s">
        <v>449</v>
      </c>
      <c r="B784" s="276" t="s">
        <v>1625</v>
      </c>
      <c r="C784" s="81">
        <v>6</v>
      </c>
      <c r="D784" s="23" t="s">
        <v>1626</v>
      </c>
      <c r="H784" s="346">
        <v>47.9</v>
      </c>
      <c r="I784" s="21">
        <v>45.859520000000003</v>
      </c>
      <c r="J784" s="23" t="s">
        <v>453</v>
      </c>
      <c r="K784" s="21" t="s">
        <v>1627</v>
      </c>
      <c r="O784" s="347"/>
      <c r="R784" s="84" t="s">
        <v>455</v>
      </c>
      <c r="Y784" s="20">
        <f t="shared" si="36"/>
        <v>1</v>
      </c>
      <c r="AA784" s="98">
        <f t="shared" si="34"/>
        <v>2.0404799999999952</v>
      </c>
      <c r="AB784" s="98" t="e">
        <f t="shared" si="35"/>
        <v>#VALUE!</v>
      </c>
    </row>
    <row r="785" spans="1:28" ht="22.15" customHeight="1" x14ac:dyDescent="0.25">
      <c r="A785" s="21" t="s">
        <v>449</v>
      </c>
      <c r="B785" s="276" t="s">
        <v>1628</v>
      </c>
      <c r="C785" s="81">
        <v>6</v>
      </c>
      <c r="D785" s="23" t="s">
        <v>1629</v>
      </c>
      <c r="H785" s="346">
        <v>47.9</v>
      </c>
      <c r="I785" s="21">
        <v>45.859520000000003</v>
      </c>
      <c r="J785" s="23" t="s">
        <v>453</v>
      </c>
      <c r="K785" s="21" t="s">
        <v>1630</v>
      </c>
      <c r="O785" s="347"/>
      <c r="R785" s="84" t="s">
        <v>455</v>
      </c>
      <c r="Y785" s="20">
        <f t="shared" si="36"/>
        <v>1</v>
      </c>
      <c r="AA785" s="98">
        <f t="shared" si="34"/>
        <v>2.0404799999999952</v>
      </c>
      <c r="AB785" s="98" t="e">
        <f t="shared" si="35"/>
        <v>#VALUE!</v>
      </c>
    </row>
    <row r="786" spans="1:28" ht="22.15" customHeight="1" x14ac:dyDescent="0.25">
      <c r="A786" s="21" t="s">
        <v>217</v>
      </c>
      <c r="B786" s="276" t="s">
        <v>1631</v>
      </c>
      <c r="C786" s="81">
        <v>8</v>
      </c>
      <c r="D786" s="23" t="s">
        <v>1632</v>
      </c>
      <c r="H786" s="346">
        <v>20.9</v>
      </c>
      <c r="I786" s="21">
        <v>20.3</v>
      </c>
      <c r="J786" s="23" t="s">
        <v>493</v>
      </c>
      <c r="K786" s="21" t="s">
        <v>1633</v>
      </c>
      <c r="O786" s="347"/>
      <c r="R786" s="84" t="s">
        <v>380</v>
      </c>
      <c r="Y786" s="20">
        <f t="shared" si="36"/>
        <v>1</v>
      </c>
      <c r="AA786" s="98">
        <f t="shared" si="34"/>
        <v>0.59999999999999787</v>
      </c>
      <c r="AB786" s="98" t="e">
        <f t="shared" si="35"/>
        <v>#VALUE!</v>
      </c>
    </row>
    <row r="787" spans="1:28" ht="22.15" customHeight="1" x14ac:dyDescent="0.25">
      <c r="A787" s="21" t="s">
        <v>465</v>
      </c>
      <c r="B787" s="276" t="s">
        <v>1634</v>
      </c>
      <c r="C787" s="81">
        <v>26</v>
      </c>
      <c r="D787" s="23" t="s">
        <v>1635</v>
      </c>
      <c r="H787" s="346">
        <v>21.9</v>
      </c>
      <c r="I787" s="21">
        <v>21.200479999999999</v>
      </c>
      <c r="J787" s="23" t="s">
        <v>470</v>
      </c>
      <c r="K787" s="21" t="s">
        <v>1636</v>
      </c>
      <c r="O787" s="347"/>
      <c r="R787" s="84" t="s">
        <v>970</v>
      </c>
      <c r="Y787" s="20">
        <f t="shared" si="36"/>
        <v>1</v>
      </c>
      <c r="AA787" s="98">
        <f t="shared" si="34"/>
        <v>0.6995199999999997</v>
      </c>
      <c r="AB787" s="98" t="e">
        <f t="shared" si="35"/>
        <v>#VALUE!</v>
      </c>
    </row>
    <row r="788" spans="1:28" ht="22.15" customHeight="1" x14ac:dyDescent="0.25">
      <c r="A788" s="21" t="s">
        <v>449</v>
      </c>
      <c r="B788" s="276" t="s">
        <v>1637</v>
      </c>
      <c r="C788" s="81">
        <v>10</v>
      </c>
      <c r="D788" s="23" t="s">
        <v>1638</v>
      </c>
      <c r="H788" s="346">
        <v>29.9</v>
      </c>
      <c r="I788" s="21">
        <v>29.229759999999999</v>
      </c>
      <c r="J788" s="23" t="s">
        <v>475</v>
      </c>
      <c r="K788" s="21" t="s">
        <v>1639</v>
      </c>
      <c r="O788" s="347"/>
      <c r="R788" s="84" t="s">
        <v>477</v>
      </c>
      <c r="Y788" s="20">
        <f t="shared" si="36"/>
        <v>1</v>
      </c>
      <c r="AA788" s="98">
        <f t="shared" si="34"/>
        <v>0.67023999999999972</v>
      </c>
      <c r="AB788" s="98" t="e">
        <f t="shared" si="35"/>
        <v>#VALUE!</v>
      </c>
    </row>
    <row r="789" spans="1:28" ht="22.15" customHeight="1" x14ac:dyDescent="0.25">
      <c r="A789" s="21" t="s">
        <v>449</v>
      </c>
      <c r="B789" s="276" t="s">
        <v>1640</v>
      </c>
      <c r="C789" s="81">
        <v>10</v>
      </c>
      <c r="D789" s="23" t="s">
        <v>1641</v>
      </c>
      <c r="H789" s="346">
        <v>29.9</v>
      </c>
      <c r="I789" s="21">
        <v>29.229759999999999</v>
      </c>
      <c r="J789" s="23" t="s">
        <v>475</v>
      </c>
      <c r="K789" s="21" t="s">
        <v>1642</v>
      </c>
      <c r="O789" s="347"/>
      <c r="R789" s="84" t="s">
        <v>477</v>
      </c>
      <c r="Y789" s="20">
        <f t="shared" si="36"/>
        <v>1</v>
      </c>
      <c r="AA789" s="98">
        <f t="shared" si="34"/>
        <v>0.67023999999999972</v>
      </c>
      <c r="AB789" s="98" t="e">
        <f t="shared" si="35"/>
        <v>#VALUE!</v>
      </c>
    </row>
    <row r="790" spans="1:28" ht="22.15" customHeight="1" x14ac:dyDescent="0.25">
      <c r="A790" s="21" t="s">
        <v>449</v>
      </c>
      <c r="B790" s="276" t="s">
        <v>1643</v>
      </c>
      <c r="C790" s="81">
        <v>10</v>
      </c>
      <c r="D790" s="23" t="s">
        <v>1644</v>
      </c>
      <c r="H790" s="346">
        <v>29.9</v>
      </c>
      <c r="I790" s="21">
        <v>29.229759999999999</v>
      </c>
      <c r="J790" s="23" t="s">
        <v>475</v>
      </c>
      <c r="K790" s="21" t="s">
        <v>1645</v>
      </c>
      <c r="O790" s="347"/>
      <c r="R790" s="84" t="s">
        <v>477</v>
      </c>
      <c r="Y790" s="20">
        <f t="shared" si="36"/>
        <v>1</v>
      </c>
      <c r="AA790" s="98">
        <f t="shared" si="34"/>
        <v>0.67023999999999972</v>
      </c>
      <c r="AB790" s="98" t="e">
        <f t="shared" si="35"/>
        <v>#VALUE!</v>
      </c>
    </row>
    <row r="791" spans="1:28" ht="22.15" customHeight="1" x14ac:dyDescent="0.25">
      <c r="A791" s="21" t="s">
        <v>449</v>
      </c>
      <c r="B791" s="276" t="s">
        <v>1646</v>
      </c>
      <c r="C791" s="81">
        <v>10</v>
      </c>
      <c r="D791" s="23" t="s">
        <v>1647</v>
      </c>
      <c r="H791" s="346">
        <v>29.9</v>
      </c>
      <c r="I791" s="21">
        <v>29.229759999999999</v>
      </c>
      <c r="J791" s="23" t="s">
        <v>475</v>
      </c>
      <c r="K791" s="21" t="s">
        <v>1648</v>
      </c>
      <c r="O791" s="347"/>
      <c r="R791" s="84" t="s">
        <v>477</v>
      </c>
      <c r="Y791" s="20">
        <f t="shared" si="36"/>
        <v>1</v>
      </c>
      <c r="AA791" s="98">
        <f t="shared" si="34"/>
        <v>0.67023999999999972</v>
      </c>
      <c r="AB791" s="98" t="e">
        <f t="shared" si="35"/>
        <v>#VALUE!</v>
      </c>
    </row>
    <row r="792" spans="1:28" ht="22.15" customHeight="1" x14ac:dyDescent="0.25">
      <c r="A792" s="21" t="s">
        <v>449</v>
      </c>
      <c r="B792" s="276" t="s">
        <v>1649</v>
      </c>
      <c r="C792" s="81">
        <v>10</v>
      </c>
      <c r="D792" s="23" t="s">
        <v>1650</v>
      </c>
      <c r="H792" s="346">
        <v>29.9</v>
      </c>
      <c r="I792" s="21">
        <v>29.229759999999999</v>
      </c>
      <c r="J792" s="23" t="s">
        <v>475</v>
      </c>
      <c r="K792" s="21" t="s">
        <v>1651</v>
      </c>
      <c r="O792" s="347"/>
      <c r="R792" s="84" t="s">
        <v>477</v>
      </c>
      <c r="Y792" s="20">
        <f t="shared" si="36"/>
        <v>1</v>
      </c>
      <c r="AA792" s="98">
        <f t="shared" si="34"/>
        <v>0.67023999999999972</v>
      </c>
      <c r="AB792" s="98" t="e">
        <f t="shared" si="35"/>
        <v>#VALUE!</v>
      </c>
    </row>
    <row r="793" spans="1:28" ht="22.15" customHeight="1" x14ac:dyDescent="0.25">
      <c r="A793" s="21" t="s">
        <v>449</v>
      </c>
      <c r="B793" s="276" t="s">
        <v>1652</v>
      </c>
      <c r="C793" s="81">
        <v>10</v>
      </c>
      <c r="D793" s="23" t="s">
        <v>1653</v>
      </c>
      <c r="H793" s="346">
        <v>29.9</v>
      </c>
      <c r="I793" s="21">
        <v>29.229759999999999</v>
      </c>
      <c r="J793" s="23" t="s">
        <v>475</v>
      </c>
      <c r="K793" s="21" t="s">
        <v>1654</v>
      </c>
      <c r="O793" s="347"/>
      <c r="R793" s="84" t="s">
        <v>477</v>
      </c>
      <c r="Y793" s="20">
        <f t="shared" si="36"/>
        <v>1</v>
      </c>
      <c r="AA793" s="98">
        <f t="shared" si="34"/>
        <v>0.67023999999999972</v>
      </c>
      <c r="AB793" s="98" t="e">
        <f t="shared" si="35"/>
        <v>#VALUE!</v>
      </c>
    </row>
    <row r="794" spans="1:28" ht="22.15" customHeight="1" x14ac:dyDescent="0.25">
      <c r="A794" s="21" t="s">
        <v>449</v>
      </c>
      <c r="B794" s="276" t="s">
        <v>1655</v>
      </c>
      <c r="C794" s="81">
        <v>10</v>
      </c>
      <c r="D794" s="23" t="s">
        <v>1656</v>
      </c>
      <c r="H794" s="346">
        <v>29.9</v>
      </c>
      <c r="I794" s="21">
        <v>29.229759999999999</v>
      </c>
      <c r="J794" s="23" t="s">
        <v>475</v>
      </c>
      <c r="K794" s="21" t="s">
        <v>1657</v>
      </c>
      <c r="O794" s="347"/>
      <c r="R794" s="84" t="s">
        <v>477</v>
      </c>
      <c r="Y794" s="20">
        <f t="shared" si="36"/>
        <v>1</v>
      </c>
      <c r="AA794" s="98">
        <f t="shared" si="34"/>
        <v>0.67023999999999972</v>
      </c>
      <c r="AB794" s="98" t="e">
        <f t="shared" si="35"/>
        <v>#VALUE!</v>
      </c>
    </row>
    <row r="795" spans="1:28" ht="22.15" customHeight="1" x14ac:dyDescent="0.25">
      <c r="A795" s="21" t="s">
        <v>449</v>
      </c>
      <c r="B795" s="276" t="s">
        <v>1658</v>
      </c>
      <c r="C795" s="81">
        <v>10</v>
      </c>
      <c r="D795" s="23" t="s">
        <v>1659</v>
      </c>
      <c r="H795" s="346">
        <v>29.9</v>
      </c>
      <c r="I795" s="21">
        <v>29.229759999999999</v>
      </c>
      <c r="J795" s="23" t="s">
        <v>475</v>
      </c>
      <c r="K795" s="21" t="s">
        <v>1660</v>
      </c>
      <c r="O795" s="347"/>
      <c r="R795" s="84" t="s">
        <v>477</v>
      </c>
      <c r="Y795" s="20">
        <f t="shared" si="36"/>
        <v>1</v>
      </c>
      <c r="AA795" s="98">
        <f t="shared" si="34"/>
        <v>0.67023999999999972</v>
      </c>
      <c r="AB795" s="98" t="e">
        <f t="shared" si="35"/>
        <v>#VALUE!</v>
      </c>
    </row>
    <row r="796" spans="1:28" ht="22.15" customHeight="1" x14ac:dyDescent="0.25">
      <c r="A796" s="21" t="s">
        <v>465</v>
      </c>
      <c r="B796" s="276" t="s">
        <v>1661</v>
      </c>
      <c r="C796" s="81">
        <v>10</v>
      </c>
      <c r="D796" s="23" t="s">
        <v>1662</v>
      </c>
      <c r="H796" s="346">
        <v>39.9</v>
      </c>
      <c r="I796" s="21">
        <v>39.690559999999998</v>
      </c>
      <c r="J796" s="23" t="s">
        <v>487</v>
      </c>
      <c r="K796" s="21" t="s">
        <v>1663</v>
      </c>
      <c r="O796" s="347"/>
      <c r="R796" s="84" t="s">
        <v>489</v>
      </c>
      <c r="Y796" s="20">
        <f t="shared" si="36"/>
        <v>1</v>
      </c>
      <c r="AA796" s="98">
        <f t="shared" si="34"/>
        <v>0.20944000000000074</v>
      </c>
      <c r="AB796" s="98" t="e">
        <f t="shared" si="35"/>
        <v>#VALUE!</v>
      </c>
    </row>
    <row r="797" spans="1:28" ht="22.15" customHeight="1" x14ac:dyDescent="0.25">
      <c r="A797" s="21" t="s">
        <v>449</v>
      </c>
      <c r="B797" s="276" t="s">
        <v>1664</v>
      </c>
      <c r="C797" s="81">
        <v>18</v>
      </c>
      <c r="D797" s="23" t="s">
        <v>1665</v>
      </c>
      <c r="H797" s="346">
        <v>13.5</v>
      </c>
      <c r="I797" s="21">
        <v>12.940480000000001</v>
      </c>
      <c r="J797" s="23" t="s">
        <v>581</v>
      </c>
      <c r="K797" s="21" t="s">
        <v>1666</v>
      </c>
      <c r="O797" s="347"/>
      <c r="R797" s="84" t="s">
        <v>583</v>
      </c>
      <c r="Y797" s="20">
        <f t="shared" si="36"/>
        <v>1</v>
      </c>
      <c r="AA797" s="98">
        <f t="shared" si="34"/>
        <v>0.55951999999999913</v>
      </c>
      <c r="AB797" s="98" t="e">
        <f t="shared" si="35"/>
        <v>#VALUE!</v>
      </c>
    </row>
    <row r="798" spans="1:28" ht="22.15" customHeight="1" x14ac:dyDescent="0.25">
      <c r="A798" s="21" t="s">
        <v>449</v>
      </c>
      <c r="B798" s="276" t="s">
        <v>1667</v>
      </c>
      <c r="C798" s="81">
        <v>18</v>
      </c>
      <c r="D798" s="23" t="s">
        <v>1668</v>
      </c>
      <c r="H798" s="346">
        <v>13.5</v>
      </c>
      <c r="I798" s="21">
        <v>12.940480000000001</v>
      </c>
      <c r="J798" s="23" t="s">
        <v>581</v>
      </c>
      <c r="K798" s="21" t="s">
        <v>1669</v>
      </c>
      <c r="O798" s="347"/>
      <c r="R798" s="84" t="s">
        <v>583</v>
      </c>
      <c r="Y798" s="20">
        <f t="shared" si="36"/>
        <v>1</v>
      </c>
      <c r="AA798" s="98">
        <f t="shared" si="34"/>
        <v>0.55951999999999913</v>
      </c>
      <c r="AB798" s="98" t="e">
        <f t="shared" si="35"/>
        <v>#VALUE!</v>
      </c>
    </row>
    <row r="799" spans="1:28" ht="22.15" customHeight="1" x14ac:dyDescent="0.25">
      <c r="A799" s="21" t="s">
        <v>449</v>
      </c>
      <c r="B799" s="276" t="s">
        <v>1670</v>
      </c>
      <c r="C799" s="81">
        <v>18</v>
      </c>
      <c r="D799" s="23" t="s">
        <v>1671</v>
      </c>
      <c r="H799" s="346">
        <v>13.5</v>
      </c>
      <c r="I799" s="21">
        <v>12.940480000000001</v>
      </c>
      <c r="J799" s="23" t="s">
        <v>581</v>
      </c>
      <c r="K799" s="21" t="s">
        <v>1672</v>
      </c>
      <c r="O799" s="347"/>
      <c r="R799" s="84" t="s">
        <v>583</v>
      </c>
      <c r="Y799" s="20">
        <f t="shared" si="36"/>
        <v>1</v>
      </c>
      <c r="AA799" s="98">
        <f t="shared" si="34"/>
        <v>0.55951999999999913</v>
      </c>
      <c r="AB799" s="98" t="e">
        <f t="shared" si="35"/>
        <v>#VALUE!</v>
      </c>
    </row>
    <row r="800" spans="1:28" ht="22.15" customHeight="1" x14ac:dyDescent="0.25">
      <c r="A800" s="21" t="s">
        <v>449</v>
      </c>
      <c r="B800" s="276" t="s">
        <v>1673</v>
      </c>
      <c r="C800" s="81">
        <v>18</v>
      </c>
      <c r="D800" s="23" t="s">
        <v>1674</v>
      </c>
      <c r="H800" s="346">
        <v>13.5</v>
      </c>
      <c r="I800" s="21">
        <v>12.940480000000001</v>
      </c>
      <c r="J800" s="23" t="s">
        <v>581</v>
      </c>
      <c r="K800" s="21" t="s">
        <v>1675</v>
      </c>
      <c r="O800" s="347"/>
      <c r="R800" s="84" t="s">
        <v>583</v>
      </c>
      <c r="Y800" s="20">
        <f t="shared" si="36"/>
        <v>1</v>
      </c>
      <c r="AA800" s="98">
        <f t="shared" si="34"/>
        <v>0.55951999999999913</v>
      </c>
      <c r="AB800" s="98" t="e">
        <f t="shared" si="35"/>
        <v>#VALUE!</v>
      </c>
    </row>
    <row r="801" spans="1:28" ht="22.15" customHeight="1" x14ac:dyDescent="0.25">
      <c r="A801" s="21" t="s">
        <v>255</v>
      </c>
      <c r="B801" s="276" t="s">
        <v>1676</v>
      </c>
      <c r="C801" s="81">
        <v>16</v>
      </c>
      <c r="D801" s="23" t="s">
        <v>1677</v>
      </c>
      <c r="H801" s="346">
        <v>12.9</v>
      </c>
      <c r="I801" s="21">
        <v>12.42976</v>
      </c>
      <c r="J801" s="23" t="s">
        <v>588</v>
      </c>
      <c r="K801" s="21" t="s">
        <v>1678</v>
      </c>
      <c r="O801" s="347"/>
      <c r="R801" s="84" t="s">
        <v>590</v>
      </c>
      <c r="Y801" s="20">
        <f t="shared" si="36"/>
        <v>1</v>
      </c>
      <c r="AA801" s="98">
        <f t="shared" si="34"/>
        <v>0.47024000000000044</v>
      </c>
      <c r="AB801" s="98" t="e">
        <f t="shared" si="35"/>
        <v>#VALUE!</v>
      </c>
    </row>
    <row r="802" spans="1:28" ht="22.15" customHeight="1" x14ac:dyDescent="0.25">
      <c r="A802" s="21" t="s">
        <v>255</v>
      </c>
      <c r="B802" s="276" t="s">
        <v>1679</v>
      </c>
      <c r="C802" s="81">
        <v>16</v>
      </c>
      <c r="D802" s="23" t="s">
        <v>1680</v>
      </c>
      <c r="H802" s="346">
        <v>12.9</v>
      </c>
      <c r="I802" s="21">
        <v>12.42976</v>
      </c>
      <c r="J802" s="23" t="s">
        <v>588</v>
      </c>
      <c r="K802" s="21" t="s">
        <v>1681</v>
      </c>
      <c r="O802" s="347"/>
      <c r="R802" s="84" t="s">
        <v>590</v>
      </c>
      <c r="Y802" s="20">
        <f t="shared" si="36"/>
        <v>1</v>
      </c>
      <c r="AA802" s="98">
        <f t="shared" si="34"/>
        <v>0.47024000000000044</v>
      </c>
      <c r="AB802" s="98" t="e">
        <f t="shared" si="35"/>
        <v>#VALUE!</v>
      </c>
    </row>
    <row r="803" spans="1:28" ht="22.15" customHeight="1" x14ac:dyDescent="0.25">
      <c r="A803" s="21" t="s">
        <v>255</v>
      </c>
      <c r="B803" s="276" t="s">
        <v>1682</v>
      </c>
      <c r="C803" s="81">
        <v>16</v>
      </c>
      <c r="D803" s="23" t="s">
        <v>1683</v>
      </c>
      <c r="H803" s="346">
        <v>12.9</v>
      </c>
      <c r="I803" s="21">
        <v>12.42976</v>
      </c>
      <c r="J803" s="23" t="s">
        <v>588</v>
      </c>
      <c r="K803" s="21" t="s">
        <v>1684</v>
      </c>
      <c r="O803" s="347"/>
      <c r="R803" s="84" t="s">
        <v>590</v>
      </c>
      <c r="Y803" s="20">
        <f t="shared" si="36"/>
        <v>1</v>
      </c>
      <c r="AA803" s="98">
        <f t="shared" si="34"/>
        <v>0.47024000000000044</v>
      </c>
      <c r="AB803" s="98" t="e">
        <f t="shared" si="35"/>
        <v>#VALUE!</v>
      </c>
    </row>
    <row r="804" spans="1:28" ht="22.15" customHeight="1" x14ac:dyDescent="0.25">
      <c r="A804" s="21" t="s">
        <v>255</v>
      </c>
      <c r="B804" s="276" t="s">
        <v>1685</v>
      </c>
      <c r="C804" s="81">
        <v>16</v>
      </c>
      <c r="D804" s="23" t="s">
        <v>1686</v>
      </c>
      <c r="H804" s="346">
        <v>12.9</v>
      </c>
      <c r="I804" s="21">
        <v>12.42976</v>
      </c>
      <c r="J804" s="23" t="s">
        <v>588</v>
      </c>
      <c r="K804" s="21" t="s">
        <v>1687</v>
      </c>
      <c r="O804" s="347"/>
      <c r="R804" s="84" t="s">
        <v>590</v>
      </c>
      <c r="Y804" s="20">
        <f t="shared" si="36"/>
        <v>1</v>
      </c>
      <c r="AA804" s="98">
        <f t="shared" si="34"/>
        <v>0.47024000000000044</v>
      </c>
      <c r="AB804" s="98" t="e">
        <f t="shared" si="35"/>
        <v>#VALUE!</v>
      </c>
    </row>
    <row r="805" spans="1:28" ht="22.15" customHeight="1" x14ac:dyDescent="0.25">
      <c r="A805" s="21" t="s">
        <v>381</v>
      </c>
      <c r="B805" s="276" t="s">
        <v>1688</v>
      </c>
      <c r="C805" s="81">
        <v>15</v>
      </c>
      <c r="D805" s="23" t="s">
        <v>1689</v>
      </c>
      <c r="H805" s="346">
        <v>12.9</v>
      </c>
      <c r="I805" s="21">
        <v>12.6896</v>
      </c>
      <c r="J805" s="23" t="s">
        <v>109</v>
      </c>
      <c r="K805" s="21" t="s">
        <v>1690</v>
      </c>
      <c r="O805" s="347"/>
      <c r="R805" s="84" t="s">
        <v>596</v>
      </c>
      <c r="Y805" s="20">
        <f t="shared" si="36"/>
        <v>1</v>
      </c>
      <c r="AA805" s="98">
        <f t="shared" si="34"/>
        <v>0.21039999999999992</v>
      </c>
      <c r="AB805" s="98" t="e">
        <f t="shared" si="35"/>
        <v>#VALUE!</v>
      </c>
    </row>
    <row r="806" spans="1:28" ht="22.15" customHeight="1" x14ac:dyDescent="0.25">
      <c r="A806" s="21" t="s">
        <v>381</v>
      </c>
      <c r="B806" s="276" t="s">
        <v>1691</v>
      </c>
      <c r="C806" s="81">
        <v>15</v>
      </c>
      <c r="D806" s="23" t="s">
        <v>1692</v>
      </c>
      <c r="H806" s="346">
        <v>12.9</v>
      </c>
      <c r="I806" s="21">
        <v>12.6896</v>
      </c>
      <c r="J806" s="23" t="s">
        <v>109</v>
      </c>
      <c r="K806" s="21" t="s">
        <v>1693</v>
      </c>
      <c r="O806" s="347"/>
      <c r="R806" s="84" t="s">
        <v>596</v>
      </c>
      <c r="Y806" s="20">
        <f t="shared" si="36"/>
        <v>1</v>
      </c>
      <c r="AA806" s="98">
        <f t="shared" si="34"/>
        <v>0.21039999999999992</v>
      </c>
      <c r="AB806" s="98" t="e">
        <f t="shared" si="35"/>
        <v>#VALUE!</v>
      </c>
    </row>
    <row r="807" spans="1:28" ht="22.15" customHeight="1" x14ac:dyDescent="0.25">
      <c r="A807" s="21" t="s">
        <v>381</v>
      </c>
      <c r="B807" s="276" t="s">
        <v>1694</v>
      </c>
      <c r="C807" s="81">
        <v>15</v>
      </c>
      <c r="D807" s="23" t="s">
        <v>1695</v>
      </c>
      <c r="H807" s="346">
        <v>12.9</v>
      </c>
      <c r="I807" s="21">
        <v>12.6896</v>
      </c>
      <c r="J807" s="23" t="s">
        <v>109</v>
      </c>
      <c r="K807" s="21" t="s">
        <v>1696</v>
      </c>
      <c r="O807" s="347"/>
      <c r="R807" s="84" t="s">
        <v>596</v>
      </c>
      <c r="Y807" s="20">
        <f t="shared" si="36"/>
        <v>1</v>
      </c>
      <c r="AA807" s="98">
        <f t="shared" si="34"/>
        <v>0.21039999999999992</v>
      </c>
      <c r="AB807" s="98" t="e">
        <f t="shared" si="35"/>
        <v>#VALUE!</v>
      </c>
    </row>
    <row r="808" spans="1:28" ht="22.15" customHeight="1" x14ac:dyDescent="0.25">
      <c r="A808" s="21" t="s">
        <v>381</v>
      </c>
      <c r="B808" s="276" t="s">
        <v>1697</v>
      </c>
      <c r="C808" s="81">
        <v>15</v>
      </c>
      <c r="D808" s="23" t="s">
        <v>1698</v>
      </c>
      <c r="H808" s="346">
        <v>12.9</v>
      </c>
      <c r="I808" s="21">
        <v>12.6896</v>
      </c>
      <c r="J808" s="23" t="s">
        <v>109</v>
      </c>
      <c r="K808" s="21" t="s">
        <v>1699</v>
      </c>
      <c r="O808" s="347"/>
      <c r="R808" s="84" t="s">
        <v>596</v>
      </c>
      <c r="Y808" s="20">
        <f t="shared" si="36"/>
        <v>1</v>
      </c>
      <c r="AA808" s="98">
        <f t="shared" si="34"/>
        <v>0.21039999999999992</v>
      </c>
      <c r="AB808" s="98" t="e">
        <f t="shared" si="35"/>
        <v>#VALUE!</v>
      </c>
    </row>
    <row r="809" spans="1:28" ht="22.15" customHeight="1" x14ac:dyDescent="0.25">
      <c r="A809" s="21" t="s">
        <v>381</v>
      </c>
      <c r="B809" s="276" t="s">
        <v>1700</v>
      </c>
      <c r="C809" s="81">
        <v>15</v>
      </c>
      <c r="D809" s="23" t="s">
        <v>1701</v>
      </c>
      <c r="H809" s="346">
        <v>12.9</v>
      </c>
      <c r="I809" s="21">
        <v>12.6896</v>
      </c>
      <c r="J809" s="23" t="s">
        <v>109</v>
      </c>
      <c r="K809" s="21" t="s">
        <v>1702</v>
      </c>
      <c r="O809" s="347"/>
      <c r="R809" s="84" t="s">
        <v>596</v>
      </c>
      <c r="Y809" s="20">
        <f t="shared" si="36"/>
        <v>1</v>
      </c>
      <c r="AA809" s="98">
        <f t="shared" si="34"/>
        <v>0.21039999999999992</v>
      </c>
      <c r="AB809" s="98" t="e">
        <f t="shared" si="35"/>
        <v>#VALUE!</v>
      </c>
    </row>
    <row r="810" spans="1:28" ht="22.15" customHeight="1" x14ac:dyDescent="0.25">
      <c r="A810" s="21" t="s">
        <v>381</v>
      </c>
      <c r="B810" s="276" t="s">
        <v>1703</v>
      </c>
      <c r="C810" s="81">
        <v>15</v>
      </c>
      <c r="D810" s="23" t="s">
        <v>1704</v>
      </c>
      <c r="H810" s="346">
        <v>12.9</v>
      </c>
      <c r="I810" s="21">
        <v>12.6896</v>
      </c>
      <c r="J810" s="23" t="s">
        <v>109</v>
      </c>
      <c r="K810" s="21" t="s">
        <v>1705</v>
      </c>
      <c r="O810" s="347"/>
      <c r="R810" s="84" t="s">
        <v>596</v>
      </c>
      <c r="Y810" s="20">
        <f t="shared" si="36"/>
        <v>1</v>
      </c>
      <c r="AA810" s="98">
        <f t="shared" si="34"/>
        <v>0.21039999999999992</v>
      </c>
      <c r="AB810" s="98" t="e">
        <f t="shared" si="35"/>
        <v>#VALUE!</v>
      </c>
    </row>
    <row r="811" spans="1:28" ht="22.15" customHeight="1" x14ac:dyDescent="0.25">
      <c r="A811" s="21" t="s">
        <v>381</v>
      </c>
      <c r="B811" s="276" t="s">
        <v>1706</v>
      </c>
      <c r="C811" s="81">
        <v>14</v>
      </c>
      <c r="D811" s="23" t="s">
        <v>1707</v>
      </c>
      <c r="H811" s="346">
        <v>22.9</v>
      </c>
      <c r="I811" s="21">
        <v>25.780159999999999</v>
      </c>
      <c r="J811" s="23" t="s">
        <v>830</v>
      </c>
      <c r="K811" s="21" t="s">
        <v>1708</v>
      </c>
      <c r="O811" s="347"/>
      <c r="R811" s="84" t="s">
        <v>448</v>
      </c>
      <c r="Y811" s="20">
        <f t="shared" si="36"/>
        <v>1</v>
      </c>
      <c r="AA811" s="98">
        <f t="shared" si="34"/>
        <v>-2.8801600000000001</v>
      </c>
      <c r="AB811" s="98" t="e">
        <f t="shared" si="35"/>
        <v>#VALUE!</v>
      </c>
    </row>
    <row r="812" spans="1:28" ht="22.15" customHeight="1" x14ac:dyDescent="0.25">
      <c r="A812" s="21" t="s">
        <v>381</v>
      </c>
      <c r="B812" s="276" t="s">
        <v>1709</v>
      </c>
      <c r="C812" s="81">
        <v>14</v>
      </c>
      <c r="D812" s="23" t="s">
        <v>1710</v>
      </c>
      <c r="H812" s="346">
        <v>22.9</v>
      </c>
      <c r="I812" s="21">
        <v>21.28</v>
      </c>
      <c r="J812" s="23" t="s">
        <v>109</v>
      </c>
      <c r="K812" s="21" t="s">
        <v>1711</v>
      </c>
      <c r="O812" s="347"/>
      <c r="R812" s="84" t="s">
        <v>448</v>
      </c>
      <c r="Y812" s="20">
        <f t="shared" si="36"/>
        <v>1</v>
      </c>
      <c r="AA812" s="98">
        <f t="shared" si="34"/>
        <v>1.6199999999999974</v>
      </c>
      <c r="AB812" s="98" t="e">
        <f t="shared" si="35"/>
        <v>#VALUE!</v>
      </c>
    </row>
    <row r="813" spans="1:28" ht="22.15" customHeight="1" x14ac:dyDescent="0.25">
      <c r="A813" s="21" t="s">
        <v>381</v>
      </c>
      <c r="B813" s="276" t="s">
        <v>1712</v>
      </c>
      <c r="C813" s="81">
        <v>14</v>
      </c>
      <c r="D813" s="23" t="s">
        <v>1713</v>
      </c>
      <c r="H813" s="346">
        <v>22.9</v>
      </c>
      <c r="I813" s="21">
        <v>21.28</v>
      </c>
      <c r="J813" s="23" t="s">
        <v>109</v>
      </c>
      <c r="K813" s="21" t="s">
        <v>1714</v>
      </c>
      <c r="O813" s="347"/>
      <c r="R813" s="84" t="s">
        <v>448</v>
      </c>
      <c r="Y813" s="20">
        <f t="shared" si="36"/>
        <v>1</v>
      </c>
      <c r="AA813" s="98">
        <f t="shared" si="34"/>
        <v>1.6199999999999974</v>
      </c>
      <c r="AB813" s="98" t="e">
        <f t="shared" si="35"/>
        <v>#VALUE!</v>
      </c>
    </row>
    <row r="814" spans="1:28" ht="22.15" customHeight="1" x14ac:dyDescent="0.25">
      <c r="A814" s="21" t="s">
        <v>381</v>
      </c>
      <c r="B814" s="276" t="s">
        <v>1715</v>
      </c>
      <c r="C814" s="81">
        <v>14</v>
      </c>
      <c r="D814" s="23" t="s">
        <v>1716</v>
      </c>
      <c r="H814" s="346">
        <v>22.9</v>
      </c>
      <c r="I814" s="21">
        <v>25.780159999999999</v>
      </c>
      <c r="J814" s="23" t="s">
        <v>830</v>
      </c>
      <c r="K814" s="21" t="s">
        <v>1717</v>
      </c>
      <c r="O814" s="347"/>
      <c r="R814" s="84" t="s">
        <v>448</v>
      </c>
      <c r="Y814" s="20">
        <f t="shared" si="36"/>
        <v>1</v>
      </c>
      <c r="AA814" s="98">
        <f t="shared" ref="AA814:AA877" si="37">H814-I814</f>
        <v>-2.8801600000000001</v>
      </c>
      <c r="AB814" s="98" t="e">
        <f t="shared" ref="AB814:AB877" si="38">R814-H814</f>
        <v>#VALUE!</v>
      </c>
    </row>
    <row r="815" spans="1:28" ht="22.15" customHeight="1" x14ac:dyDescent="0.25">
      <c r="A815" s="21" t="s">
        <v>381</v>
      </c>
      <c r="B815" s="276" t="s">
        <v>1718</v>
      </c>
      <c r="C815" s="81">
        <v>14</v>
      </c>
      <c r="D815" s="23" t="s">
        <v>1719</v>
      </c>
      <c r="H815" s="346">
        <v>22.9</v>
      </c>
      <c r="I815" s="21">
        <v>21.28</v>
      </c>
      <c r="J815" s="23" t="s">
        <v>109</v>
      </c>
      <c r="K815" s="21" t="s">
        <v>1720</v>
      </c>
      <c r="O815" s="347"/>
      <c r="R815" s="84" t="s">
        <v>448</v>
      </c>
      <c r="Y815" s="20">
        <f t="shared" si="36"/>
        <v>1</v>
      </c>
      <c r="AA815" s="98">
        <f t="shared" si="37"/>
        <v>1.6199999999999974</v>
      </c>
      <c r="AB815" s="98" t="e">
        <f t="shared" si="38"/>
        <v>#VALUE!</v>
      </c>
    </row>
    <row r="816" spans="1:28" ht="22.15" customHeight="1" x14ac:dyDescent="0.25">
      <c r="A816" s="21" t="s">
        <v>381</v>
      </c>
      <c r="B816" s="276" t="s">
        <v>1721</v>
      </c>
      <c r="C816" s="81">
        <v>14</v>
      </c>
      <c r="D816" s="23" t="s">
        <v>1722</v>
      </c>
      <c r="H816" s="346">
        <v>22.9</v>
      </c>
      <c r="I816" s="21">
        <v>25.780159999999999</v>
      </c>
      <c r="J816" s="23" t="s">
        <v>830</v>
      </c>
      <c r="K816" s="21" t="s">
        <v>1723</v>
      </c>
      <c r="O816" s="347"/>
      <c r="R816" s="84" t="s">
        <v>448</v>
      </c>
      <c r="Y816" s="20">
        <f t="shared" si="36"/>
        <v>1</v>
      </c>
      <c r="AA816" s="98">
        <f t="shared" si="37"/>
        <v>-2.8801600000000001</v>
      </c>
      <c r="AB816" s="98" t="e">
        <f t="shared" si="38"/>
        <v>#VALUE!</v>
      </c>
    </row>
    <row r="817" spans="1:28" ht="22.15" customHeight="1" x14ac:dyDescent="0.25">
      <c r="A817" s="21" t="s">
        <v>478</v>
      </c>
      <c r="B817" s="276" t="s">
        <v>1724</v>
      </c>
      <c r="C817" s="81">
        <v>12</v>
      </c>
      <c r="D817" s="23" t="s">
        <v>1725</v>
      </c>
      <c r="H817" s="346">
        <v>25.9</v>
      </c>
      <c r="I817" s="21">
        <v>25.2</v>
      </c>
      <c r="J817" s="23" t="s">
        <v>604</v>
      </c>
      <c r="K817" s="21" t="s">
        <v>1726</v>
      </c>
      <c r="O817" s="347"/>
      <c r="R817" s="84" t="s">
        <v>606</v>
      </c>
      <c r="Y817" s="20">
        <f t="shared" si="36"/>
        <v>1</v>
      </c>
      <c r="AA817" s="98">
        <f t="shared" si="37"/>
        <v>0.69999999999999929</v>
      </c>
      <c r="AB817" s="98" t="e">
        <f t="shared" si="38"/>
        <v>#VALUE!</v>
      </c>
    </row>
    <row r="818" spans="1:28" ht="22.15" customHeight="1" x14ac:dyDescent="0.25">
      <c r="A818" s="21" t="s">
        <v>478</v>
      </c>
      <c r="B818" s="276" t="s">
        <v>1727</v>
      </c>
      <c r="C818" s="81">
        <v>12</v>
      </c>
      <c r="D818" s="23" t="s">
        <v>1728</v>
      </c>
      <c r="H818" s="346">
        <v>25.9</v>
      </c>
      <c r="I818" s="21">
        <v>25.2</v>
      </c>
      <c r="J818" s="23" t="s">
        <v>604</v>
      </c>
      <c r="K818" s="21" t="s">
        <v>1729</v>
      </c>
      <c r="O818" s="347"/>
      <c r="R818" s="84" t="s">
        <v>606</v>
      </c>
      <c r="Y818" s="20">
        <f t="shared" si="36"/>
        <v>1</v>
      </c>
      <c r="AA818" s="98">
        <f t="shared" si="37"/>
        <v>0.69999999999999929</v>
      </c>
      <c r="AB818" s="98" t="e">
        <f t="shared" si="38"/>
        <v>#VALUE!</v>
      </c>
    </row>
    <row r="819" spans="1:28" ht="22.15" customHeight="1" x14ac:dyDescent="0.25">
      <c r="A819" s="21" t="s">
        <v>478</v>
      </c>
      <c r="B819" s="276" t="s">
        <v>1730</v>
      </c>
      <c r="C819" s="81">
        <v>12</v>
      </c>
      <c r="D819" s="23" t="s">
        <v>1731</v>
      </c>
      <c r="H819" s="346">
        <v>25.9</v>
      </c>
      <c r="I819" s="21">
        <v>25.2</v>
      </c>
      <c r="J819" s="23" t="s">
        <v>604</v>
      </c>
      <c r="K819" s="21" t="s">
        <v>1732</v>
      </c>
      <c r="O819" s="347"/>
      <c r="R819" s="84" t="s">
        <v>606</v>
      </c>
      <c r="Y819" s="20">
        <f t="shared" si="36"/>
        <v>1</v>
      </c>
      <c r="AA819" s="98">
        <f t="shared" si="37"/>
        <v>0.69999999999999929</v>
      </c>
      <c r="AB819" s="98" t="e">
        <f t="shared" si="38"/>
        <v>#VALUE!</v>
      </c>
    </row>
    <row r="820" spans="1:28" ht="22.15" customHeight="1" x14ac:dyDescent="0.25">
      <c r="A820" s="21" t="s">
        <v>478</v>
      </c>
      <c r="B820" s="276" t="s">
        <v>1733</v>
      </c>
      <c r="C820" s="81">
        <v>12</v>
      </c>
      <c r="D820" s="23" t="s">
        <v>1734</v>
      </c>
      <c r="H820" s="346">
        <v>25.9</v>
      </c>
      <c r="I820" s="21">
        <v>25.2</v>
      </c>
      <c r="J820" s="23" t="s">
        <v>604</v>
      </c>
      <c r="K820" s="21" t="s">
        <v>1735</v>
      </c>
      <c r="O820" s="347"/>
      <c r="R820" s="84" t="s">
        <v>606</v>
      </c>
      <c r="Y820" s="20">
        <f t="shared" si="36"/>
        <v>1</v>
      </c>
      <c r="AA820" s="98">
        <f t="shared" si="37"/>
        <v>0.69999999999999929</v>
      </c>
      <c r="AB820" s="98" t="e">
        <f t="shared" si="38"/>
        <v>#VALUE!</v>
      </c>
    </row>
    <row r="821" spans="1:28" ht="22.15" customHeight="1" x14ac:dyDescent="0.25">
      <c r="A821" s="21" t="s">
        <v>607</v>
      </c>
      <c r="B821" s="276" t="s">
        <v>1736</v>
      </c>
      <c r="C821" s="81">
        <v>15</v>
      </c>
      <c r="D821" s="23" t="s">
        <v>1737</v>
      </c>
      <c r="H821" s="346">
        <v>49.9</v>
      </c>
      <c r="I821" s="21">
        <v>49.17024</v>
      </c>
      <c r="J821" s="23" t="s">
        <v>612</v>
      </c>
      <c r="K821" s="21" t="s">
        <v>1738</v>
      </c>
      <c r="O821" s="347"/>
      <c r="R821" s="84" t="s">
        <v>614</v>
      </c>
      <c r="Y821" s="20">
        <f t="shared" si="36"/>
        <v>1</v>
      </c>
      <c r="AA821" s="98">
        <f t="shared" si="37"/>
        <v>0.72975999999999885</v>
      </c>
      <c r="AB821" s="98" t="e">
        <f t="shared" si="38"/>
        <v>#VALUE!</v>
      </c>
    </row>
    <row r="822" spans="1:28" ht="22.15" customHeight="1" x14ac:dyDescent="0.25">
      <c r="A822" s="21" t="s">
        <v>607</v>
      </c>
      <c r="B822" s="276" t="s">
        <v>1739</v>
      </c>
      <c r="C822" s="81">
        <v>15</v>
      </c>
      <c r="D822" s="23" t="s">
        <v>1740</v>
      </c>
      <c r="H822" s="346">
        <v>49.9</v>
      </c>
      <c r="I822" s="21">
        <v>49.17024</v>
      </c>
      <c r="J822" s="23" t="s">
        <v>612</v>
      </c>
      <c r="K822" s="21" t="s">
        <v>1741</v>
      </c>
      <c r="O822" s="347"/>
      <c r="R822" s="84" t="s">
        <v>614</v>
      </c>
      <c r="Y822" s="20">
        <f t="shared" si="36"/>
        <v>1</v>
      </c>
      <c r="AA822" s="98">
        <f t="shared" si="37"/>
        <v>0.72975999999999885</v>
      </c>
      <c r="AB822" s="98" t="e">
        <f t="shared" si="38"/>
        <v>#VALUE!</v>
      </c>
    </row>
    <row r="823" spans="1:28" ht="22.15" customHeight="1" x14ac:dyDescent="0.25">
      <c r="A823" s="21" t="s">
        <v>607</v>
      </c>
      <c r="B823" s="276" t="s">
        <v>1742</v>
      </c>
      <c r="C823" s="81">
        <v>15</v>
      </c>
      <c r="D823" s="23" t="s">
        <v>1743</v>
      </c>
      <c r="H823" s="346">
        <v>49.9</v>
      </c>
      <c r="I823" s="21">
        <v>49.17024</v>
      </c>
      <c r="J823" s="23" t="s">
        <v>612</v>
      </c>
      <c r="K823" s="21" t="s">
        <v>1744</v>
      </c>
      <c r="O823" s="347"/>
      <c r="R823" s="84" t="s">
        <v>614</v>
      </c>
      <c r="Y823" s="20">
        <f t="shared" si="36"/>
        <v>1</v>
      </c>
      <c r="AA823" s="98">
        <f t="shared" si="37"/>
        <v>0.72975999999999885</v>
      </c>
      <c r="AB823" s="98" t="e">
        <f t="shared" si="38"/>
        <v>#VALUE!</v>
      </c>
    </row>
    <row r="824" spans="1:28" ht="22.15" customHeight="1" x14ac:dyDescent="0.25">
      <c r="A824" s="21" t="s">
        <v>607</v>
      </c>
      <c r="B824" s="276" t="s">
        <v>1745</v>
      </c>
      <c r="C824" s="81">
        <v>15</v>
      </c>
      <c r="D824" s="23" t="s">
        <v>1746</v>
      </c>
      <c r="H824" s="346">
        <v>49.9</v>
      </c>
      <c r="I824" s="21">
        <v>49.17024</v>
      </c>
      <c r="J824" s="23" t="s">
        <v>612</v>
      </c>
      <c r="K824" s="21" t="s">
        <v>1747</v>
      </c>
      <c r="O824" s="347"/>
      <c r="R824" s="84" t="s">
        <v>614</v>
      </c>
      <c r="Y824" s="20">
        <f t="shared" si="36"/>
        <v>1</v>
      </c>
      <c r="AA824" s="98">
        <f t="shared" si="37"/>
        <v>0.72975999999999885</v>
      </c>
      <c r="AB824" s="98" t="e">
        <f t="shared" si="38"/>
        <v>#VALUE!</v>
      </c>
    </row>
    <row r="825" spans="1:28" ht="22.15" customHeight="1" x14ac:dyDescent="0.25">
      <c r="A825" s="21" t="s">
        <v>607</v>
      </c>
      <c r="B825" s="276" t="s">
        <v>1748</v>
      </c>
      <c r="C825" s="81">
        <v>15</v>
      </c>
      <c r="D825" s="23" t="s">
        <v>1749</v>
      </c>
      <c r="H825" s="346">
        <v>49.9</v>
      </c>
      <c r="I825" s="21">
        <v>49.17024</v>
      </c>
      <c r="J825" s="23" t="s">
        <v>612</v>
      </c>
      <c r="K825" s="21" t="s">
        <v>1750</v>
      </c>
      <c r="O825" s="347"/>
      <c r="R825" s="84" t="s">
        <v>614</v>
      </c>
      <c r="Y825" s="20">
        <f t="shared" si="36"/>
        <v>1</v>
      </c>
      <c r="AA825" s="98">
        <f t="shared" si="37"/>
        <v>0.72975999999999885</v>
      </c>
      <c r="AB825" s="98" t="e">
        <f t="shared" si="38"/>
        <v>#VALUE!</v>
      </c>
    </row>
    <row r="826" spans="1:28" ht="22.15" customHeight="1" x14ac:dyDescent="0.25">
      <c r="A826" s="21" t="s">
        <v>103</v>
      </c>
      <c r="B826" s="276" t="s">
        <v>1751</v>
      </c>
      <c r="C826" s="81">
        <v>16</v>
      </c>
      <c r="D826" s="23" t="s">
        <v>1752</v>
      </c>
      <c r="G826" s="21">
        <v>12</v>
      </c>
      <c r="H826" s="346">
        <v>18.899999999999999</v>
      </c>
      <c r="I826" s="21">
        <v>17.86</v>
      </c>
      <c r="J826" s="23" t="s">
        <v>693</v>
      </c>
      <c r="K826" s="21" t="s">
        <v>1753</v>
      </c>
      <c r="O826" s="347"/>
      <c r="R826" s="84" t="s">
        <v>645</v>
      </c>
      <c r="Y826" s="20">
        <f t="shared" si="36"/>
        <v>1</v>
      </c>
      <c r="AA826" s="98">
        <f t="shared" si="37"/>
        <v>1.0399999999999991</v>
      </c>
      <c r="AB826" s="98" t="e">
        <f t="shared" si="38"/>
        <v>#VALUE!</v>
      </c>
    </row>
    <row r="827" spans="1:28" ht="22.15" customHeight="1" x14ac:dyDescent="0.25">
      <c r="A827" s="21" t="s">
        <v>328</v>
      </c>
      <c r="B827" s="276" t="s">
        <v>1754</v>
      </c>
      <c r="C827" s="81">
        <v>10</v>
      </c>
      <c r="D827" s="23" t="s">
        <v>1755</v>
      </c>
      <c r="H827" s="346">
        <v>12.5</v>
      </c>
      <c r="I827" s="21">
        <v>12.210240000000001</v>
      </c>
      <c r="J827" s="23" t="s">
        <v>704</v>
      </c>
      <c r="K827" s="21" t="s">
        <v>1756</v>
      </c>
      <c r="O827" s="347"/>
      <c r="R827" s="84">
        <v>13.5</v>
      </c>
      <c r="Y827" s="20">
        <f t="shared" si="36"/>
        <v>1</v>
      </c>
      <c r="AA827" s="98">
        <f t="shared" si="37"/>
        <v>0.28975999999999935</v>
      </c>
      <c r="AB827" s="98">
        <f t="shared" si="38"/>
        <v>1</v>
      </c>
    </row>
    <row r="828" spans="1:28" ht="22.15" customHeight="1" x14ac:dyDescent="0.25">
      <c r="A828" s="21" t="s">
        <v>328</v>
      </c>
      <c r="B828" s="276" t="s">
        <v>1757</v>
      </c>
      <c r="C828" s="81">
        <v>10</v>
      </c>
      <c r="D828" s="23" t="s">
        <v>1758</v>
      </c>
      <c r="H828" s="346">
        <v>12.5</v>
      </c>
      <c r="I828" s="21">
        <v>12.210240000000001</v>
      </c>
      <c r="J828" s="23" t="s">
        <v>704</v>
      </c>
      <c r="K828" s="21" t="s">
        <v>1759</v>
      </c>
      <c r="O828" s="347"/>
      <c r="R828" s="84">
        <v>13.5</v>
      </c>
      <c r="Y828" s="20">
        <f t="shared" si="36"/>
        <v>1</v>
      </c>
      <c r="AA828" s="98">
        <f t="shared" si="37"/>
        <v>0.28975999999999935</v>
      </c>
      <c r="AB828" s="98">
        <f t="shared" si="38"/>
        <v>1</v>
      </c>
    </row>
    <row r="829" spans="1:28" ht="22.15" customHeight="1" x14ac:dyDescent="0.25">
      <c r="A829" s="21" t="s">
        <v>328</v>
      </c>
      <c r="B829" s="276" t="s">
        <v>1760</v>
      </c>
      <c r="C829" s="81">
        <v>10</v>
      </c>
      <c r="D829" s="23" t="s">
        <v>1761</v>
      </c>
      <c r="H829" s="346">
        <v>12.5</v>
      </c>
      <c r="I829" s="21">
        <v>12.210240000000001</v>
      </c>
      <c r="J829" s="23" t="s">
        <v>704</v>
      </c>
      <c r="K829" s="21" t="s">
        <v>1762</v>
      </c>
      <c r="O829" s="347"/>
      <c r="R829" s="84">
        <v>13.5</v>
      </c>
      <c r="Y829" s="20">
        <f t="shared" si="36"/>
        <v>1</v>
      </c>
      <c r="AA829" s="98">
        <f t="shared" si="37"/>
        <v>0.28975999999999935</v>
      </c>
      <c r="AB829" s="98">
        <f t="shared" si="38"/>
        <v>1</v>
      </c>
    </row>
    <row r="830" spans="1:28" ht="22.15" customHeight="1" x14ac:dyDescent="0.25">
      <c r="A830" s="21" t="s">
        <v>103</v>
      </c>
      <c r="B830" s="276" t="s">
        <v>1763</v>
      </c>
      <c r="C830" s="81">
        <v>24</v>
      </c>
      <c r="D830" s="23" t="s">
        <v>1764</v>
      </c>
      <c r="H830" s="346">
        <v>9.5</v>
      </c>
      <c r="I830" s="21">
        <v>9.3004800000000003</v>
      </c>
      <c r="J830" s="23" t="s">
        <v>729</v>
      </c>
      <c r="K830" s="21" t="s">
        <v>1765</v>
      </c>
      <c r="O830" s="347"/>
      <c r="R830" s="84" t="s">
        <v>641</v>
      </c>
      <c r="Y830" s="20">
        <f t="shared" si="36"/>
        <v>1</v>
      </c>
      <c r="AA830" s="98">
        <f t="shared" si="37"/>
        <v>0.1995199999999997</v>
      </c>
      <c r="AB830" s="98" t="e">
        <f t="shared" si="38"/>
        <v>#VALUE!</v>
      </c>
    </row>
    <row r="831" spans="1:28" ht="22.15" customHeight="1" x14ac:dyDescent="0.25">
      <c r="A831" s="21" t="s">
        <v>103</v>
      </c>
      <c r="B831" s="276" t="s">
        <v>1766</v>
      </c>
      <c r="C831" s="81">
        <v>28</v>
      </c>
      <c r="D831" s="23" t="s">
        <v>1767</v>
      </c>
      <c r="H831" s="346">
        <v>9.5</v>
      </c>
      <c r="I831" s="21">
        <v>9.3004800000000003</v>
      </c>
      <c r="J831" s="23" t="s">
        <v>729</v>
      </c>
      <c r="K831" s="21" t="s">
        <v>1768</v>
      </c>
      <c r="O831" s="347"/>
      <c r="R831" s="84" t="s">
        <v>641</v>
      </c>
      <c r="Y831" s="20">
        <f t="shared" si="36"/>
        <v>1</v>
      </c>
      <c r="AA831" s="98">
        <f t="shared" si="37"/>
        <v>0.1995199999999997</v>
      </c>
      <c r="AB831" s="98" t="e">
        <f t="shared" si="38"/>
        <v>#VALUE!</v>
      </c>
    </row>
    <row r="832" spans="1:28" ht="22.15" customHeight="1" x14ac:dyDescent="0.25">
      <c r="A832" s="21" t="s">
        <v>103</v>
      </c>
      <c r="B832" s="276" t="s">
        <v>1769</v>
      </c>
      <c r="C832" s="81">
        <v>28</v>
      </c>
      <c r="D832" s="23" t="s">
        <v>1770</v>
      </c>
      <c r="H832" s="346">
        <v>9.5</v>
      </c>
      <c r="I832" s="21">
        <v>9.3004800000000003</v>
      </c>
      <c r="J832" s="23" t="s">
        <v>729</v>
      </c>
      <c r="K832" s="21" t="s">
        <v>1771</v>
      </c>
      <c r="O832" s="347"/>
      <c r="R832" s="84" t="s">
        <v>641</v>
      </c>
      <c r="Y832" s="20">
        <f t="shared" si="36"/>
        <v>1</v>
      </c>
      <c r="AA832" s="98">
        <f t="shared" si="37"/>
        <v>0.1995199999999997</v>
      </c>
      <c r="AB832" s="98" t="e">
        <f t="shared" si="38"/>
        <v>#VALUE!</v>
      </c>
    </row>
    <row r="833" spans="1:28" ht="22.15" customHeight="1" x14ac:dyDescent="0.25">
      <c r="A833" s="21" t="s">
        <v>769</v>
      </c>
      <c r="B833" s="276" t="s">
        <v>1772</v>
      </c>
      <c r="C833" s="81">
        <v>20</v>
      </c>
      <c r="D833" s="23" t="s">
        <v>1773</v>
      </c>
      <c r="H833" s="346">
        <v>9.5</v>
      </c>
      <c r="I833" s="21">
        <v>9.3004800000000003</v>
      </c>
      <c r="J833" s="23" t="s">
        <v>729</v>
      </c>
      <c r="K833" s="21" t="s">
        <v>1774</v>
      </c>
      <c r="O833" s="347"/>
      <c r="R833" s="84" t="s">
        <v>641</v>
      </c>
      <c r="Y833" s="20">
        <f t="shared" si="36"/>
        <v>1</v>
      </c>
      <c r="AA833" s="98">
        <f t="shared" si="37"/>
        <v>0.1995199999999997</v>
      </c>
      <c r="AB833" s="98" t="e">
        <f t="shared" si="38"/>
        <v>#VALUE!</v>
      </c>
    </row>
    <row r="834" spans="1:28" ht="22.15" customHeight="1" x14ac:dyDescent="0.25">
      <c r="A834" s="21" t="s">
        <v>103</v>
      </c>
      <c r="B834" s="276" t="s">
        <v>1775</v>
      </c>
      <c r="C834" s="81">
        <v>20</v>
      </c>
      <c r="D834" s="23" t="s">
        <v>1776</v>
      </c>
      <c r="H834" s="346">
        <v>9.5</v>
      </c>
      <c r="I834" s="21">
        <v>9.3004800000000003</v>
      </c>
      <c r="J834" s="23" t="s">
        <v>729</v>
      </c>
      <c r="K834" s="21" t="s">
        <v>1777</v>
      </c>
      <c r="O834" s="347"/>
      <c r="R834" s="84" t="s">
        <v>641</v>
      </c>
      <c r="Y834" s="20">
        <f t="shared" si="36"/>
        <v>1</v>
      </c>
      <c r="AA834" s="98">
        <f t="shared" si="37"/>
        <v>0.1995199999999997</v>
      </c>
      <c r="AB834" s="98" t="e">
        <f t="shared" si="38"/>
        <v>#VALUE!</v>
      </c>
    </row>
    <row r="835" spans="1:28" ht="22.15" customHeight="1" x14ac:dyDescent="0.25">
      <c r="A835" s="21" t="s">
        <v>103</v>
      </c>
      <c r="B835" s="276" t="s">
        <v>1778</v>
      </c>
      <c r="C835" s="81">
        <v>30</v>
      </c>
      <c r="D835" s="23" t="s">
        <v>1779</v>
      </c>
      <c r="H835" s="346">
        <v>9.5</v>
      </c>
      <c r="I835" s="21">
        <v>9.3004800000000003</v>
      </c>
      <c r="J835" s="23" t="s">
        <v>729</v>
      </c>
      <c r="K835" s="21" t="s">
        <v>1780</v>
      </c>
      <c r="O835" s="347"/>
      <c r="R835" s="84" t="s">
        <v>641</v>
      </c>
      <c r="Y835" s="20">
        <f t="shared" si="36"/>
        <v>1</v>
      </c>
      <c r="AA835" s="98">
        <f t="shared" si="37"/>
        <v>0.1995199999999997</v>
      </c>
      <c r="AB835" s="98" t="e">
        <f t="shared" si="38"/>
        <v>#VALUE!</v>
      </c>
    </row>
    <row r="836" spans="1:28" ht="22.15" customHeight="1" x14ac:dyDescent="0.25">
      <c r="A836" s="21" t="s">
        <v>103</v>
      </c>
      <c r="B836" s="276" t="s">
        <v>1781</v>
      </c>
      <c r="C836" s="81">
        <v>30</v>
      </c>
      <c r="D836" s="23" t="s">
        <v>1782</v>
      </c>
      <c r="H836" s="346">
        <v>9.5</v>
      </c>
      <c r="I836" s="21">
        <v>9.3004800000000003</v>
      </c>
      <c r="J836" s="23" t="s">
        <v>729</v>
      </c>
      <c r="K836" s="21" t="s">
        <v>1783</v>
      </c>
      <c r="O836" s="347"/>
      <c r="R836" s="84" t="s">
        <v>641</v>
      </c>
      <c r="Y836" s="20">
        <f t="shared" si="36"/>
        <v>1</v>
      </c>
      <c r="AA836" s="98">
        <f t="shared" si="37"/>
        <v>0.1995199999999997</v>
      </c>
      <c r="AB836" s="98" t="e">
        <f t="shared" si="38"/>
        <v>#VALUE!</v>
      </c>
    </row>
    <row r="837" spans="1:28" ht="22.15" customHeight="1" x14ac:dyDescent="0.25">
      <c r="A837" s="21" t="s">
        <v>103</v>
      </c>
      <c r="B837" s="276" t="s">
        <v>1784</v>
      </c>
      <c r="C837" s="81">
        <v>28</v>
      </c>
      <c r="D837" s="23" t="s">
        <v>1785</v>
      </c>
      <c r="H837" s="346">
        <v>9.5</v>
      </c>
      <c r="I837" s="21">
        <v>9.3004800000000003</v>
      </c>
      <c r="J837" s="23" t="s">
        <v>729</v>
      </c>
      <c r="K837" s="21" t="s">
        <v>1786</v>
      </c>
      <c r="O837" s="347"/>
      <c r="R837" s="84" t="s">
        <v>641</v>
      </c>
      <c r="Y837" s="20">
        <f t="shared" si="36"/>
        <v>1</v>
      </c>
      <c r="AA837" s="98">
        <f t="shared" si="37"/>
        <v>0.1995199999999997</v>
      </c>
      <c r="AB837" s="98" t="e">
        <f t="shared" si="38"/>
        <v>#VALUE!</v>
      </c>
    </row>
    <row r="838" spans="1:28" ht="22.15" customHeight="1" x14ac:dyDescent="0.25">
      <c r="A838" s="21" t="s">
        <v>103</v>
      </c>
      <c r="B838" s="276" t="s">
        <v>1787</v>
      </c>
      <c r="C838" s="81">
        <v>22</v>
      </c>
      <c r="D838" s="23" t="s">
        <v>1788</v>
      </c>
      <c r="H838" s="346">
        <v>9.5</v>
      </c>
      <c r="I838" s="21">
        <v>9.3004800000000003</v>
      </c>
      <c r="J838" s="23" t="s">
        <v>729</v>
      </c>
      <c r="K838" s="21" t="s">
        <v>1789</v>
      </c>
      <c r="O838" s="347"/>
      <c r="R838" s="84" t="s">
        <v>641</v>
      </c>
      <c r="Y838" s="20">
        <f t="shared" si="36"/>
        <v>1</v>
      </c>
      <c r="AA838" s="98">
        <f t="shared" si="37"/>
        <v>0.1995199999999997</v>
      </c>
      <c r="AB838" s="98" t="e">
        <f t="shared" si="38"/>
        <v>#VALUE!</v>
      </c>
    </row>
    <row r="839" spans="1:28" ht="22.15" customHeight="1" x14ac:dyDescent="0.25">
      <c r="A839" s="21" t="s">
        <v>731</v>
      </c>
      <c r="B839" s="276" t="s">
        <v>1790</v>
      </c>
      <c r="C839" s="81">
        <v>6</v>
      </c>
      <c r="D839" s="23" t="s">
        <v>1791</v>
      </c>
      <c r="H839" s="346">
        <v>44.9</v>
      </c>
      <c r="I839" s="21">
        <v>41.44</v>
      </c>
      <c r="J839" s="23" t="s">
        <v>736</v>
      </c>
      <c r="K839" s="21" t="s">
        <v>1792</v>
      </c>
      <c r="O839" s="347"/>
      <c r="R839" s="84" t="s">
        <v>738</v>
      </c>
      <c r="Y839" s="20">
        <f t="shared" ref="Y839:Y902" si="39">COUNTIF(K:K,K839)</f>
        <v>1</v>
      </c>
      <c r="AA839" s="98">
        <f t="shared" si="37"/>
        <v>3.4600000000000009</v>
      </c>
      <c r="AB839" s="98" t="e">
        <f t="shared" si="38"/>
        <v>#VALUE!</v>
      </c>
    </row>
    <row r="840" spans="1:28" ht="22.15" customHeight="1" x14ac:dyDescent="0.25">
      <c r="A840" s="21" t="s">
        <v>255</v>
      </c>
      <c r="B840" s="276" t="s">
        <v>1793</v>
      </c>
      <c r="C840" s="81">
        <v>40</v>
      </c>
      <c r="D840" s="23" t="s">
        <v>1794</v>
      </c>
      <c r="H840" s="346">
        <v>5.9</v>
      </c>
      <c r="I840" s="21">
        <v>5.6</v>
      </c>
      <c r="J840" s="23" t="s">
        <v>743</v>
      </c>
      <c r="K840" s="21" t="s">
        <v>1795</v>
      </c>
      <c r="O840" s="347"/>
      <c r="R840" s="84" t="s">
        <v>745</v>
      </c>
      <c r="Y840" s="20">
        <f t="shared" si="39"/>
        <v>1</v>
      </c>
      <c r="AA840" s="98">
        <f t="shared" si="37"/>
        <v>0.30000000000000071</v>
      </c>
      <c r="AB840" s="98" t="e">
        <f t="shared" si="38"/>
        <v>#VALUE!</v>
      </c>
    </row>
    <row r="841" spans="1:28" ht="22.15" customHeight="1" x14ac:dyDescent="0.25">
      <c r="A841" s="21" t="s">
        <v>103</v>
      </c>
      <c r="B841" s="276" t="s">
        <v>1796</v>
      </c>
      <c r="C841" s="81">
        <v>34</v>
      </c>
      <c r="D841" s="23" t="s">
        <v>1797</v>
      </c>
      <c r="H841" s="346">
        <v>5.9</v>
      </c>
      <c r="I841" s="21">
        <v>5.6</v>
      </c>
      <c r="J841" s="23" t="s">
        <v>743</v>
      </c>
      <c r="K841" s="21" t="s">
        <v>1798</v>
      </c>
      <c r="O841" s="347"/>
      <c r="R841" s="84" t="s">
        <v>745</v>
      </c>
      <c r="Y841" s="20">
        <f t="shared" si="39"/>
        <v>1</v>
      </c>
      <c r="AA841" s="98">
        <f t="shared" si="37"/>
        <v>0.30000000000000071</v>
      </c>
      <c r="AB841" s="98" t="e">
        <f t="shared" si="38"/>
        <v>#VALUE!</v>
      </c>
    </row>
    <row r="842" spans="1:28" ht="22.15" customHeight="1" x14ac:dyDescent="0.25">
      <c r="A842" s="21" t="s">
        <v>103</v>
      </c>
      <c r="B842" s="276" t="s">
        <v>1799</v>
      </c>
      <c r="C842" s="81">
        <v>40</v>
      </c>
      <c r="D842" s="23" t="s">
        <v>1800</v>
      </c>
      <c r="H842" s="346">
        <v>5.9</v>
      </c>
      <c r="I842" s="21">
        <v>5.6</v>
      </c>
      <c r="J842" s="23" t="s">
        <v>743</v>
      </c>
      <c r="K842" s="21" t="s">
        <v>1801</v>
      </c>
      <c r="O842" s="347"/>
      <c r="R842" s="84" t="s">
        <v>745</v>
      </c>
      <c r="Y842" s="20">
        <f t="shared" si="39"/>
        <v>1</v>
      </c>
      <c r="AA842" s="98">
        <f t="shared" si="37"/>
        <v>0.30000000000000071</v>
      </c>
      <c r="AB842" s="98" t="e">
        <f t="shared" si="38"/>
        <v>#VALUE!</v>
      </c>
    </row>
    <row r="843" spans="1:28" ht="22.15" customHeight="1" x14ac:dyDescent="0.25">
      <c r="A843" s="21" t="s">
        <v>255</v>
      </c>
      <c r="B843" s="276" t="s">
        <v>1802</v>
      </c>
      <c r="C843" s="81">
        <v>32</v>
      </c>
      <c r="D843" s="23" t="s">
        <v>1803</v>
      </c>
      <c r="H843" s="346">
        <v>5.9</v>
      </c>
      <c r="I843" s="21">
        <v>5.6</v>
      </c>
      <c r="J843" s="23" t="s">
        <v>743</v>
      </c>
      <c r="K843" s="21" t="s">
        <v>1804</v>
      </c>
      <c r="O843" s="347"/>
      <c r="R843" s="84" t="s">
        <v>745</v>
      </c>
      <c r="Y843" s="20">
        <f t="shared" si="39"/>
        <v>1</v>
      </c>
      <c r="AA843" s="98">
        <f t="shared" si="37"/>
        <v>0.30000000000000071</v>
      </c>
      <c r="AB843" s="98" t="e">
        <f t="shared" si="38"/>
        <v>#VALUE!</v>
      </c>
    </row>
    <row r="844" spans="1:28" ht="22.15" customHeight="1" x14ac:dyDescent="0.25">
      <c r="A844" s="21" t="s">
        <v>255</v>
      </c>
      <c r="B844" s="276" t="s">
        <v>1805</v>
      </c>
      <c r="C844" s="81">
        <v>38</v>
      </c>
      <c r="D844" s="23" t="s">
        <v>1806</v>
      </c>
      <c r="H844" s="346">
        <v>5.9</v>
      </c>
      <c r="I844" s="21">
        <v>5.6</v>
      </c>
      <c r="J844" s="23" t="s">
        <v>743</v>
      </c>
      <c r="K844" s="21" t="s">
        <v>1807</v>
      </c>
      <c r="O844" s="347"/>
      <c r="R844" s="84" t="s">
        <v>745</v>
      </c>
      <c r="Y844" s="20">
        <f t="shared" si="39"/>
        <v>1</v>
      </c>
      <c r="AA844" s="98">
        <f t="shared" si="37"/>
        <v>0.30000000000000071</v>
      </c>
      <c r="AB844" s="98" t="e">
        <f t="shared" si="38"/>
        <v>#VALUE!</v>
      </c>
    </row>
    <row r="845" spans="1:28" ht="22.15" customHeight="1" x14ac:dyDescent="0.25">
      <c r="A845" s="21" t="s">
        <v>381</v>
      </c>
      <c r="B845" s="276" t="s">
        <v>1808</v>
      </c>
      <c r="C845" s="81">
        <v>6</v>
      </c>
      <c r="D845" s="23" t="s">
        <v>1809</v>
      </c>
      <c r="H845" s="346">
        <v>77.900000000000006</v>
      </c>
      <c r="I845" s="21">
        <v>74.240319999999997</v>
      </c>
      <c r="J845" s="23" t="s">
        <v>749</v>
      </c>
      <c r="K845" s="21" t="s">
        <v>1810</v>
      </c>
      <c r="O845" s="347"/>
      <c r="R845" s="84" t="s">
        <v>395</v>
      </c>
      <c r="Y845" s="20">
        <f t="shared" si="39"/>
        <v>1</v>
      </c>
      <c r="AA845" s="98">
        <f t="shared" si="37"/>
        <v>3.6596800000000087</v>
      </c>
      <c r="AB845" s="98" t="e">
        <f t="shared" si="38"/>
        <v>#VALUE!</v>
      </c>
    </row>
    <row r="846" spans="1:28" ht="22.15" customHeight="1" x14ac:dyDescent="0.25">
      <c r="A846" s="21" t="s">
        <v>255</v>
      </c>
      <c r="B846" s="276" t="s">
        <v>1811</v>
      </c>
      <c r="C846" s="81">
        <v>8</v>
      </c>
      <c r="D846" s="23" t="s">
        <v>1812</v>
      </c>
      <c r="H846" s="346">
        <v>21.9</v>
      </c>
      <c r="I846" s="21">
        <v>21.84</v>
      </c>
      <c r="J846" s="23" t="s">
        <v>755</v>
      </c>
      <c r="K846" s="21" t="s">
        <v>1813</v>
      </c>
      <c r="O846" s="347"/>
      <c r="R846" s="84">
        <v>24.9</v>
      </c>
      <c r="Y846" s="20">
        <f t="shared" si="39"/>
        <v>1</v>
      </c>
      <c r="AA846" s="98">
        <f t="shared" si="37"/>
        <v>5.9999999999998721E-2</v>
      </c>
      <c r="AB846" s="98">
        <f t="shared" si="38"/>
        <v>3</v>
      </c>
    </row>
    <row r="847" spans="1:28" ht="22.15" customHeight="1" x14ac:dyDescent="0.25">
      <c r="A847" s="21" t="s">
        <v>328</v>
      </c>
      <c r="B847" s="276" t="s">
        <v>1814</v>
      </c>
      <c r="C847" s="81">
        <v>8</v>
      </c>
      <c r="D847" s="23" t="s">
        <v>1815</v>
      </c>
      <c r="H847" s="346">
        <v>21.9</v>
      </c>
      <c r="I847" s="21">
        <v>21.84</v>
      </c>
      <c r="J847" s="23" t="s">
        <v>755</v>
      </c>
      <c r="K847" s="21" t="s">
        <v>1816</v>
      </c>
      <c r="O847" s="347"/>
      <c r="R847" s="84">
        <v>24.9</v>
      </c>
      <c r="Y847" s="20">
        <f t="shared" si="39"/>
        <v>1</v>
      </c>
      <c r="AA847" s="98">
        <f t="shared" si="37"/>
        <v>5.9999999999998721E-2</v>
      </c>
      <c r="AB847" s="98">
        <f t="shared" si="38"/>
        <v>3</v>
      </c>
    </row>
    <row r="848" spans="1:28" ht="22.15" customHeight="1" x14ac:dyDescent="0.25">
      <c r="A848" s="21" t="s">
        <v>255</v>
      </c>
      <c r="B848" s="276" t="s">
        <v>1817</v>
      </c>
      <c r="C848" s="81">
        <v>8</v>
      </c>
      <c r="D848" s="23" t="s">
        <v>1818</v>
      </c>
      <c r="H848" s="346">
        <v>21.9</v>
      </c>
      <c r="I848" s="21">
        <v>21.84</v>
      </c>
      <c r="J848" s="23" t="s">
        <v>755</v>
      </c>
      <c r="K848" s="21" t="s">
        <v>1819</v>
      </c>
      <c r="O848" s="347"/>
      <c r="R848" s="84">
        <v>24.9</v>
      </c>
      <c r="Y848" s="20">
        <f t="shared" si="39"/>
        <v>1</v>
      </c>
      <c r="AA848" s="98">
        <f t="shared" si="37"/>
        <v>5.9999999999998721E-2</v>
      </c>
      <c r="AB848" s="98">
        <f t="shared" si="38"/>
        <v>3</v>
      </c>
    </row>
    <row r="849" spans="1:28" ht="22.15" customHeight="1" x14ac:dyDescent="0.25">
      <c r="A849" s="21" t="s">
        <v>255</v>
      </c>
      <c r="B849" s="276" t="s">
        <v>1820</v>
      </c>
      <c r="C849" s="81">
        <v>8</v>
      </c>
      <c r="D849" s="23" t="s">
        <v>1821</v>
      </c>
      <c r="H849" s="346">
        <v>21.9</v>
      </c>
      <c r="I849" s="21">
        <v>21.84</v>
      </c>
      <c r="J849" s="23" t="s">
        <v>755</v>
      </c>
      <c r="K849" s="21" t="s">
        <v>1822</v>
      </c>
      <c r="O849" s="347"/>
      <c r="R849" s="84">
        <v>24.9</v>
      </c>
      <c r="Y849" s="20">
        <f t="shared" si="39"/>
        <v>1</v>
      </c>
      <c r="AA849" s="98">
        <f t="shared" si="37"/>
        <v>5.9999999999998721E-2</v>
      </c>
      <c r="AB849" s="98">
        <f t="shared" si="38"/>
        <v>3</v>
      </c>
    </row>
    <row r="850" spans="1:28" ht="22.15" customHeight="1" x14ac:dyDescent="0.25">
      <c r="A850" s="21" t="s">
        <v>255</v>
      </c>
      <c r="B850" s="276" t="s">
        <v>1823</v>
      </c>
      <c r="C850" s="81">
        <v>8</v>
      </c>
      <c r="D850" s="23" t="s">
        <v>1824</v>
      </c>
      <c r="H850" s="346">
        <v>21.9</v>
      </c>
      <c r="I850" s="21">
        <v>21.84</v>
      </c>
      <c r="J850" s="23" t="s">
        <v>755</v>
      </c>
      <c r="K850" s="21" t="s">
        <v>1825</v>
      </c>
      <c r="O850" s="347"/>
      <c r="R850" s="84">
        <v>24.9</v>
      </c>
      <c r="Y850" s="20">
        <f t="shared" si="39"/>
        <v>1</v>
      </c>
      <c r="AA850" s="98">
        <f t="shared" si="37"/>
        <v>5.9999999999998721E-2</v>
      </c>
      <c r="AB850" s="98">
        <f t="shared" si="38"/>
        <v>3</v>
      </c>
    </row>
    <row r="851" spans="1:28" ht="22.15" customHeight="1" x14ac:dyDescent="0.25">
      <c r="A851" s="21" t="s">
        <v>103</v>
      </c>
      <c r="B851" s="276" t="s">
        <v>1826</v>
      </c>
      <c r="C851" s="81">
        <v>12</v>
      </c>
      <c r="D851" s="23" t="s">
        <v>1827</v>
      </c>
      <c r="H851" s="346">
        <v>33.9</v>
      </c>
      <c r="I851" s="21">
        <v>32.979520000000001</v>
      </c>
      <c r="J851" s="23" t="s">
        <v>795</v>
      </c>
      <c r="K851" s="21" t="s">
        <v>1828</v>
      </c>
      <c r="O851" s="347"/>
      <c r="R851" s="84" t="s">
        <v>797</v>
      </c>
      <c r="Y851" s="20">
        <f t="shared" si="39"/>
        <v>1</v>
      </c>
      <c r="AA851" s="98">
        <f t="shared" si="37"/>
        <v>0.92047999999999774</v>
      </c>
      <c r="AB851" s="98" t="e">
        <f t="shared" si="38"/>
        <v>#VALUE!</v>
      </c>
    </row>
    <row r="852" spans="1:28" ht="22.15" customHeight="1" x14ac:dyDescent="0.25">
      <c r="A852" s="21" t="s">
        <v>103</v>
      </c>
      <c r="B852" s="276" t="s">
        <v>1829</v>
      </c>
      <c r="C852" s="81">
        <v>12</v>
      </c>
      <c r="D852" s="23" t="s">
        <v>1830</v>
      </c>
      <c r="H852" s="346">
        <v>33.9</v>
      </c>
      <c r="I852" s="21">
        <v>32.979520000000001</v>
      </c>
      <c r="J852" s="23" t="s">
        <v>795</v>
      </c>
      <c r="K852" s="21" t="s">
        <v>1831</v>
      </c>
      <c r="O852" s="347"/>
      <c r="R852" s="84" t="s">
        <v>797</v>
      </c>
      <c r="Y852" s="20">
        <f t="shared" si="39"/>
        <v>1</v>
      </c>
      <c r="AA852" s="98">
        <f t="shared" si="37"/>
        <v>0.92047999999999774</v>
      </c>
      <c r="AB852" s="98" t="e">
        <f t="shared" si="38"/>
        <v>#VALUE!</v>
      </c>
    </row>
    <row r="853" spans="1:28" ht="22.15" customHeight="1" x14ac:dyDescent="0.25">
      <c r="A853" s="21" t="s">
        <v>103</v>
      </c>
      <c r="B853" s="276" t="s">
        <v>1832</v>
      </c>
      <c r="C853" s="81">
        <v>8</v>
      </c>
      <c r="D853" s="23" t="s">
        <v>1833</v>
      </c>
      <c r="H853" s="346">
        <v>23.9</v>
      </c>
      <c r="I853" s="21">
        <v>23.30048</v>
      </c>
      <c r="J853" s="23" t="s">
        <v>802</v>
      </c>
      <c r="K853" s="21" t="s">
        <v>1834</v>
      </c>
      <c r="O853" s="347"/>
      <c r="R853" s="84" t="s">
        <v>938</v>
      </c>
      <c r="Y853" s="20">
        <f t="shared" si="39"/>
        <v>1</v>
      </c>
      <c r="AA853" s="98">
        <f t="shared" si="37"/>
        <v>0.59951999999999828</v>
      </c>
      <c r="AB853" s="98" t="e">
        <f t="shared" si="38"/>
        <v>#VALUE!</v>
      </c>
    </row>
    <row r="854" spans="1:28" ht="22.15" customHeight="1" x14ac:dyDescent="0.25">
      <c r="A854" s="21" t="s">
        <v>103</v>
      </c>
      <c r="B854" s="276" t="s">
        <v>1835</v>
      </c>
      <c r="C854" s="81">
        <v>8</v>
      </c>
      <c r="D854" s="23" t="s">
        <v>1836</v>
      </c>
      <c r="H854" s="346">
        <v>23.9</v>
      </c>
      <c r="I854" s="21">
        <v>22.740480000000002</v>
      </c>
      <c r="J854" s="23" t="s">
        <v>802</v>
      </c>
      <c r="K854" s="21" t="s">
        <v>1837</v>
      </c>
      <c r="O854" s="347"/>
      <c r="R854" s="84" t="s">
        <v>938</v>
      </c>
      <c r="Y854" s="20">
        <f t="shared" si="39"/>
        <v>1</v>
      </c>
      <c r="AA854" s="98">
        <f t="shared" si="37"/>
        <v>1.159519999999997</v>
      </c>
      <c r="AB854" s="98" t="e">
        <f t="shared" si="38"/>
        <v>#VALUE!</v>
      </c>
    </row>
    <row r="855" spans="1:28" ht="22.15" customHeight="1" x14ac:dyDescent="0.25">
      <c r="A855" s="21" t="s">
        <v>255</v>
      </c>
      <c r="B855" s="276" t="s">
        <v>1838</v>
      </c>
      <c r="C855" s="81">
        <v>12</v>
      </c>
      <c r="D855" s="23" t="s">
        <v>1839</v>
      </c>
      <c r="H855" s="346">
        <v>34.9</v>
      </c>
      <c r="I855" s="21">
        <v>33.80048</v>
      </c>
      <c r="J855" s="23" t="s">
        <v>1840</v>
      </c>
      <c r="K855" s="21" t="s">
        <v>1841</v>
      </c>
      <c r="O855" s="347"/>
      <c r="R855" s="84" t="s">
        <v>334</v>
      </c>
      <c r="Y855" s="20">
        <f t="shared" si="39"/>
        <v>1</v>
      </c>
      <c r="AA855" s="98">
        <f t="shared" si="37"/>
        <v>1.0995199999999983</v>
      </c>
      <c r="AB855" s="98" t="e">
        <f t="shared" si="38"/>
        <v>#VALUE!</v>
      </c>
    </row>
    <row r="856" spans="1:28" ht="22.15" customHeight="1" x14ac:dyDescent="0.25">
      <c r="A856" s="21" t="s">
        <v>328</v>
      </c>
      <c r="B856" s="276" t="s">
        <v>1842</v>
      </c>
      <c r="C856" s="81">
        <v>12</v>
      </c>
      <c r="D856" s="23" t="s">
        <v>1843</v>
      </c>
      <c r="H856" s="346">
        <v>34.9</v>
      </c>
      <c r="I856" s="21">
        <v>32.110399999999998</v>
      </c>
      <c r="J856" s="23" t="s">
        <v>1840</v>
      </c>
      <c r="K856" s="21" t="s">
        <v>1844</v>
      </c>
      <c r="O856" s="347"/>
      <c r="R856" s="84" t="s">
        <v>334</v>
      </c>
      <c r="Y856" s="20">
        <f t="shared" si="39"/>
        <v>1</v>
      </c>
      <c r="AA856" s="98">
        <f t="shared" si="37"/>
        <v>2.7896000000000001</v>
      </c>
      <c r="AB856" s="98" t="e">
        <f t="shared" si="38"/>
        <v>#VALUE!</v>
      </c>
    </row>
    <row r="857" spans="1:28" ht="22.15" customHeight="1" x14ac:dyDescent="0.25">
      <c r="A857" s="21" t="s">
        <v>255</v>
      </c>
      <c r="B857" s="276" t="s">
        <v>1845</v>
      </c>
      <c r="C857" s="81">
        <v>12</v>
      </c>
      <c r="D857" s="23" t="s">
        <v>1846</v>
      </c>
      <c r="H857" s="346">
        <v>34.9</v>
      </c>
      <c r="I857" s="21">
        <v>34.68976</v>
      </c>
      <c r="J857" s="23" t="s">
        <v>1840</v>
      </c>
      <c r="K857" s="21" t="s">
        <v>1847</v>
      </c>
      <c r="O857" s="347"/>
      <c r="R857" s="84">
        <v>38.9</v>
      </c>
      <c r="Y857" s="20">
        <f t="shared" si="39"/>
        <v>1</v>
      </c>
      <c r="AA857" s="98">
        <f t="shared" si="37"/>
        <v>0.21023999999999887</v>
      </c>
      <c r="AB857" s="98">
        <f t="shared" si="38"/>
        <v>4</v>
      </c>
    </row>
    <row r="858" spans="1:28" ht="22.15" customHeight="1" x14ac:dyDescent="0.25">
      <c r="A858" s="21" t="s">
        <v>255</v>
      </c>
      <c r="B858" s="276" t="s">
        <v>1848</v>
      </c>
      <c r="C858" s="81">
        <v>12</v>
      </c>
      <c r="D858" s="23" t="s">
        <v>1849</v>
      </c>
      <c r="H858" s="346">
        <v>34.9</v>
      </c>
      <c r="I858" s="21">
        <v>34.68976</v>
      </c>
      <c r="J858" s="23" t="s">
        <v>1840</v>
      </c>
      <c r="K858" s="21" t="s">
        <v>1850</v>
      </c>
      <c r="O858" s="347"/>
      <c r="R858" s="84" t="s">
        <v>334</v>
      </c>
      <c r="Y858" s="20">
        <f t="shared" si="39"/>
        <v>1</v>
      </c>
      <c r="AA858" s="98">
        <f t="shared" si="37"/>
        <v>0.21023999999999887</v>
      </c>
      <c r="AB858" s="98" t="e">
        <f t="shared" si="38"/>
        <v>#VALUE!</v>
      </c>
    </row>
    <row r="859" spans="1:28" ht="22.15" customHeight="1" x14ac:dyDescent="0.25">
      <c r="A859" s="21" t="s">
        <v>255</v>
      </c>
      <c r="B859" s="276" t="s">
        <v>1851</v>
      </c>
      <c r="C859" s="81">
        <v>12</v>
      </c>
      <c r="D859" s="23" t="s">
        <v>1852</v>
      </c>
      <c r="H859" s="346">
        <v>34.9</v>
      </c>
      <c r="I859" s="21">
        <v>34.68976</v>
      </c>
      <c r="J859" s="23" t="s">
        <v>1840</v>
      </c>
      <c r="K859" s="21" t="s">
        <v>1853</v>
      </c>
      <c r="O859" s="347"/>
      <c r="R859" s="84" t="s">
        <v>334</v>
      </c>
      <c r="Y859" s="20">
        <f t="shared" si="39"/>
        <v>1</v>
      </c>
      <c r="AA859" s="98">
        <f t="shared" si="37"/>
        <v>0.21023999999999887</v>
      </c>
      <c r="AB859" s="98" t="e">
        <f t="shared" si="38"/>
        <v>#VALUE!</v>
      </c>
    </row>
    <row r="860" spans="1:28" ht="22.15" customHeight="1" x14ac:dyDescent="0.25">
      <c r="A860" s="21" t="s">
        <v>255</v>
      </c>
      <c r="B860" s="276" t="s">
        <v>1854</v>
      </c>
      <c r="C860" s="81">
        <v>24</v>
      </c>
      <c r="D860" s="23" t="s">
        <v>1855</v>
      </c>
      <c r="H860" s="346">
        <v>10.9</v>
      </c>
      <c r="I860" s="21">
        <v>10.51008</v>
      </c>
      <c r="J860" s="23" t="s">
        <v>393</v>
      </c>
      <c r="K860" s="21" t="s">
        <v>1856</v>
      </c>
      <c r="O860" s="347"/>
      <c r="R860" s="84">
        <v>11.9</v>
      </c>
      <c r="Y860" s="20">
        <f t="shared" si="39"/>
        <v>1</v>
      </c>
      <c r="AA860" s="98">
        <f t="shared" si="37"/>
        <v>0.38992000000000004</v>
      </c>
      <c r="AB860" s="98">
        <f t="shared" si="38"/>
        <v>1</v>
      </c>
    </row>
    <row r="861" spans="1:28" ht="22.15" customHeight="1" x14ac:dyDescent="0.25">
      <c r="A861" s="21" t="s">
        <v>255</v>
      </c>
      <c r="B861" s="276" t="s">
        <v>1857</v>
      </c>
      <c r="C861" s="81">
        <v>24</v>
      </c>
      <c r="D861" s="23" t="s">
        <v>1858</v>
      </c>
      <c r="H861" s="346">
        <v>10.9</v>
      </c>
      <c r="I861" s="21">
        <v>10.51008</v>
      </c>
      <c r="J861" s="23" t="s">
        <v>393</v>
      </c>
      <c r="K861" s="21" t="s">
        <v>1859</v>
      </c>
      <c r="O861" s="347"/>
      <c r="R861" s="84">
        <v>11.9</v>
      </c>
      <c r="Y861" s="20">
        <f t="shared" si="39"/>
        <v>1</v>
      </c>
      <c r="AA861" s="98">
        <f t="shared" si="37"/>
        <v>0.38992000000000004</v>
      </c>
      <c r="AB861" s="98">
        <f t="shared" si="38"/>
        <v>1</v>
      </c>
    </row>
    <row r="862" spans="1:28" ht="22.15" customHeight="1" x14ac:dyDescent="0.25">
      <c r="A862" s="21" t="s">
        <v>255</v>
      </c>
      <c r="B862" s="276" t="s">
        <v>1860</v>
      </c>
      <c r="C862" s="81">
        <v>12</v>
      </c>
      <c r="D862" s="23" t="s">
        <v>1861</v>
      </c>
      <c r="H862" s="346">
        <v>10.9</v>
      </c>
      <c r="I862" s="21">
        <v>10.51008</v>
      </c>
      <c r="J862" s="23" t="s">
        <v>393</v>
      </c>
      <c r="K862" s="21" t="s">
        <v>1862</v>
      </c>
      <c r="O862" s="347"/>
      <c r="R862" s="84">
        <v>11.9</v>
      </c>
      <c r="Y862" s="20">
        <f t="shared" si="39"/>
        <v>1</v>
      </c>
      <c r="AA862" s="98">
        <f t="shared" si="37"/>
        <v>0.38992000000000004</v>
      </c>
      <c r="AB862" s="98">
        <f t="shared" si="38"/>
        <v>1</v>
      </c>
    </row>
    <row r="863" spans="1:28" ht="22.15" customHeight="1" x14ac:dyDescent="0.25">
      <c r="A863" s="21" t="s">
        <v>255</v>
      </c>
      <c r="B863" s="276" t="s">
        <v>1863</v>
      </c>
      <c r="C863" s="81">
        <v>24</v>
      </c>
      <c r="D863" s="23" t="s">
        <v>1864</v>
      </c>
      <c r="H863" s="346">
        <v>10.9</v>
      </c>
      <c r="I863" s="21">
        <v>10.51008</v>
      </c>
      <c r="J863" s="23" t="s">
        <v>393</v>
      </c>
      <c r="K863" s="21" t="s">
        <v>1865</v>
      </c>
      <c r="O863" s="347"/>
      <c r="R863" s="84">
        <v>11.9</v>
      </c>
      <c r="Y863" s="20">
        <f t="shared" si="39"/>
        <v>1</v>
      </c>
      <c r="AA863" s="98">
        <f t="shared" si="37"/>
        <v>0.38992000000000004</v>
      </c>
      <c r="AB863" s="98">
        <f t="shared" si="38"/>
        <v>1</v>
      </c>
    </row>
    <row r="864" spans="1:28" ht="22.15" customHeight="1" x14ac:dyDescent="0.25">
      <c r="A864" s="21" t="s">
        <v>255</v>
      </c>
      <c r="B864" s="276" t="s">
        <v>1866</v>
      </c>
      <c r="C864" s="81">
        <v>24</v>
      </c>
      <c r="D864" s="23" t="s">
        <v>1867</v>
      </c>
      <c r="H864" s="346">
        <v>10.9</v>
      </c>
      <c r="I864" s="21">
        <v>10.51008</v>
      </c>
      <c r="J864" s="23" t="s">
        <v>393</v>
      </c>
      <c r="K864" s="21" t="s">
        <v>1868</v>
      </c>
      <c r="O864" s="347"/>
      <c r="R864" s="84">
        <v>11.9</v>
      </c>
      <c r="Y864" s="20">
        <f t="shared" si="39"/>
        <v>1</v>
      </c>
      <c r="AA864" s="98">
        <f t="shared" si="37"/>
        <v>0.38992000000000004</v>
      </c>
      <c r="AB864" s="98">
        <f t="shared" si="38"/>
        <v>1</v>
      </c>
    </row>
    <row r="865" spans="1:28" ht="22.15" customHeight="1" x14ac:dyDescent="0.25">
      <c r="A865" s="21" t="s">
        <v>255</v>
      </c>
      <c r="B865" s="276" t="s">
        <v>1869</v>
      </c>
      <c r="C865" s="81">
        <v>24</v>
      </c>
      <c r="D865" s="23" t="s">
        <v>1870</v>
      </c>
      <c r="H865" s="346">
        <v>13.9</v>
      </c>
      <c r="I865" s="21">
        <v>13.22048</v>
      </c>
      <c r="J865" s="23" t="s">
        <v>393</v>
      </c>
      <c r="K865" s="21" t="s">
        <v>1871</v>
      </c>
      <c r="O865" s="347"/>
      <c r="R865" s="84">
        <v>14.9</v>
      </c>
      <c r="Y865" s="20">
        <f t="shared" si="39"/>
        <v>1</v>
      </c>
      <c r="AA865" s="98">
        <f t="shared" si="37"/>
        <v>0.67952000000000012</v>
      </c>
      <c r="AB865" s="98">
        <f t="shared" si="38"/>
        <v>1</v>
      </c>
    </row>
    <row r="866" spans="1:28" ht="22.15" customHeight="1" x14ac:dyDescent="0.25">
      <c r="A866" s="21" t="s">
        <v>255</v>
      </c>
      <c r="B866" s="276" t="s">
        <v>1872</v>
      </c>
      <c r="C866" s="81">
        <v>24</v>
      </c>
      <c r="D866" s="23" t="s">
        <v>1873</v>
      </c>
      <c r="H866" s="346">
        <v>13.9</v>
      </c>
      <c r="I866" s="21">
        <v>13.22048</v>
      </c>
      <c r="J866" s="23" t="s">
        <v>393</v>
      </c>
      <c r="K866" s="21" t="s">
        <v>1874</v>
      </c>
      <c r="O866" s="347"/>
      <c r="R866" s="84">
        <v>14.9</v>
      </c>
      <c r="Y866" s="20">
        <f t="shared" si="39"/>
        <v>1</v>
      </c>
      <c r="AA866" s="98">
        <f t="shared" si="37"/>
        <v>0.67952000000000012</v>
      </c>
      <c r="AB866" s="98">
        <f t="shared" si="38"/>
        <v>1</v>
      </c>
    </row>
    <row r="867" spans="1:28" ht="22.15" customHeight="1" x14ac:dyDescent="0.25">
      <c r="A867" s="21" t="s">
        <v>255</v>
      </c>
      <c r="B867" s="276" t="s">
        <v>1875</v>
      </c>
      <c r="C867" s="81">
        <v>24</v>
      </c>
      <c r="D867" s="23" t="s">
        <v>1876</v>
      </c>
      <c r="H867" s="346">
        <v>13.9</v>
      </c>
      <c r="I867" s="21">
        <v>13.22048</v>
      </c>
      <c r="J867" s="23" t="s">
        <v>393</v>
      </c>
      <c r="K867" s="21" t="s">
        <v>1877</v>
      </c>
      <c r="O867" s="347"/>
      <c r="R867" s="84">
        <v>14.9</v>
      </c>
      <c r="Y867" s="20">
        <f t="shared" si="39"/>
        <v>1</v>
      </c>
      <c r="AA867" s="98">
        <f t="shared" si="37"/>
        <v>0.67952000000000012</v>
      </c>
      <c r="AB867" s="98">
        <f t="shared" si="38"/>
        <v>1</v>
      </c>
    </row>
    <row r="868" spans="1:28" ht="22.15" customHeight="1" x14ac:dyDescent="0.25">
      <c r="A868" s="21" t="s">
        <v>328</v>
      </c>
      <c r="B868" s="276" t="s">
        <v>1878</v>
      </c>
      <c r="C868" s="81">
        <v>24</v>
      </c>
      <c r="D868" s="23" t="s">
        <v>1879</v>
      </c>
      <c r="H868" s="346">
        <v>23.9</v>
      </c>
      <c r="I868" s="21">
        <v>23.860479999999999</v>
      </c>
      <c r="J868" s="23" t="s">
        <v>446</v>
      </c>
      <c r="K868" s="21" t="s">
        <v>1880</v>
      </c>
      <c r="O868" s="347"/>
      <c r="R868" s="84" t="s">
        <v>448</v>
      </c>
      <c r="Y868" s="20">
        <f t="shared" si="39"/>
        <v>1</v>
      </c>
      <c r="AA868" s="98">
        <f t="shared" si="37"/>
        <v>3.9519999999999555E-2</v>
      </c>
      <c r="AB868" s="98" t="e">
        <f t="shared" si="38"/>
        <v>#VALUE!</v>
      </c>
    </row>
    <row r="869" spans="1:28" ht="22.15" customHeight="1" x14ac:dyDescent="0.25">
      <c r="A869" s="21" t="s">
        <v>328</v>
      </c>
      <c r="B869" s="276" t="s">
        <v>1881</v>
      </c>
      <c r="C869" s="81">
        <v>24</v>
      </c>
      <c r="D869" s="23" t="s">
        <v>1882</v>
      </c>
      <c r="H869" s="346">
        <v>23.9</v>
      </c>
      <c r="I869" s="21">
        <v>23.860479999999999</v>
      </c>
      <c r="J869" s="23" t="s">
        <v>446</v>
      </c>
      <c r="K869" s="21" t="s">
        <v>1883</v>
      </c>
      <c r="O869" s="347"/>
      <c r="R869" s="84" t="s">
        <v>448</v>
      </c>
      <c r="Y869" s="20">
        <f t="shared" si="39"/>
        <v>1</v>
      </c>
      <c r="AA869" s="98">
        <f t="shared" si="37"/>
        <v>3.9519999999999555E-2</v>
      </c>
      <c r="AB869" s="98" t="e">
        <f t="shared" si="38"/>
        <v>#VALUE!</v>
      </c>
    </row>
    <row r="870" spans="1:28" ht="22.15" customHeight="1" x14ac:dyDescent="0.25">
      <c r="A870" s="21" t="s">
        <v>255</v>
      </c>
      <c r="B870" s="276" t="s">
        <v>1884</v>
      </c>
      <c r="C870" s="81">
        <v>24</v>
      </c>
      <c r="D870" s="23" t="s">
        <v>1885</v>
      </c>
      <c r="H870" s="346">
        <v>23.9</v>
      </c>
      <c r="I870" s="21">
        <v>23.860479999999999</v>
      </c>
      <c r="J870" s="23" t="s">
        <v>446</v>
      </c>
      <c r="K870" s="21" t="s">
        <v>1884</v>
      </c>
      <c r="O870" s="347"/>
      <c r="R870" s="84" t="s">
        <v>448</v>
      </c>
      <c r="Y870" s="20">
        <f t="shared" si="39"/>
        <v>1</v>
      </c>
      <c r="AA870" s="98">
        <f t="shared" si="37"/>
        <v>3.9519999999999555E-2</v>
      </c>
      <c r="AB870" s="98" t="e">
        <f t="shared" si="38"/>
        <v>#VALUE!</v>
      </c>
    </row>
    <row r="871" spans="1:28" ht="22.15" customHeight="1" x14ac:dyDescent="0.25">
      <c r="A871" s="21" t="s">
        <v>255</v>
      </c>
      <c r="B871" s="276" t="s">
        <v>1886</v>
      </c>
      <c r="C871" s="81">
        <v>24</v>
      </c>
      <c r="D871" s="23" t="s">
        <v>1887</v>
      </c>
      <c r="H871" s="346">
        <v>23.9</v>
      </c>
      <c r="I871" s="21">
        <v>23.860479999999999</v>
      </c>
      <c r="J871" s="23" t="s">
        <v>446</v>
      </c>
      <c r="K871" s="21" t="s">
        <v>1886</v>
      </c>
      <c r="O871" s="347"/>
      <c r="R871" s="84" t="s">
        <v>448</v>
      </c>
      <c r="Y871" s="20">
        <f t="shared" si="39"/>
        <v>1</v>
      </c>
      <c r="AA871" s="98">
        <f t="shared" si="37"/>
        <v>3.9519999999999555E-2</v>
      </c>
      <c r="AB871" s="98" t="e">
        <f t="shared" si="38"/>
        <v>#VALUE!</v>
      </c>
    </row>
    <row r="872" spans="1:28" ht="22.15" customHeight="1" x14ac:dyDescent="0.25">
      <c r="A872" s="21" t="s">
        <v>328</v>
      </c>
      <c r="B872" s="276" t="s">
        <v>1888</v>
      </c>
      <c r="C872" s="81">
        <v>24</v>
      </c>
      <c r="D872" s="23" t="s">
        <v>1889</v>
      </c>
      <c r="H872" s="346">
        <v>23.9</v>
      </c>
      <c r="I872" s="21">
        <v>23.860479999999999</v>
      </c>
      <c r="J872" s="23" t="s">
        <v>446</v>
      </c>
      <c r="K872" s="21" t="s">
        <v>1890</v>
      </c>
      <c r="O872" s="347"/>
      <c r="R872" s="84" t="s">
        <v>448</v>
      </c>
      <c r="Y872" s="20">
        <f t="shared" si="39"/>
        <v>1</v>
      </c>
      <c r="AA872" s="98">
        <f t="shared" si="37"/>
        <v>3.9519999999999555E-2</v>
      </c>
      <c r="AB872" s="98" t="e">
        <f t="shared" si="38"/>
        <v>#VALUE!</v>
      </c>
    </row>
    <row r="873" spans="1:28" ht="22.15" customHeight="1" x14ac:dyDescent="0.25">
      <c r="A873" s="21" t="s">
        <v>449</v>
      </c>
      <c r="B873" s="276" t="s">
        <v>1891</v>
      </c>
      <c r="C873" s="81">
        <v>12</v>
      </c>
      <c r="D873" s="23" t="s">
        <v>1892</v>
      </c>
      <c r="H873" s="346">
        <v>23.9</v>
      </c>
      <c r="I873" s="21">
        <v>21.11984</v>
      </c>
      <c r="J873" s="23" t="s">
        <v>453</v>
      </c>
      <c r="K873" s="21" t="s">
        <v>1893</v>
      </c>
      <c r="O873" s="347"/>
      <c r="R873" s="84" t="s">
        <v>499</v>
      </c>
      <c r="Y873" s="20">
        <f t="shared" si="39"/>
        <v>1</v>
      </c>
      <c r="AA873" s="98">
        <f t="shared" si="37"/>
        <v>2.7801599999999986</v>
      </c>
      <c r="AB873" s="98" t="e">
        <f t="shared" si="38"/>
        <v>#VALUE!</v>
      </c>
    </row>
    <row r="874" spans="1:28" ht="22.15" customHeight="1" x14ac:dyDescent="0.25">
      <c r="A874" s="21" t="s">
        <v>1894</v>
      </c>
      <c r="B874" s="276" t="s">
        <v>1895</v>
      </c>
      <c r="C874" s="81">
        <v>12</v>
      </c>
      <c r="D874" s="23" t="s">
        <v>1896</v>
      </c>
      <c r="H874" s="346">
        <v>23.9</v>
      </c>
      <c r="I874" s="21">
        <v>23.459520000000001</v>
      </c>
      <c r="J874" s="23" t="s">
        <v>453</v>
      </c>
      <c r="K874" s="21" t="s">
        <v>1897</v>
      </c>
      <c r="O874" s="347"/>
      <c r="R874" s="84" t="s">
        <v>499</v>
      </c>
      <c r="Y874" s="20">
        <f t="shared" si="39"/>
        <v>1</v>
      </c>
      <c r="AA874" s="98">
        <f t="shared" si="37"/>
        <v>0.44047999999999732</v>
      </c>
      <c r="AB874" s="98" t="e">
        <f t="shared" si="38"/>
        <v>#VALUE!</v>
      </c>
    </row>
    <row r="875" spans="1:28" ht="22.15" customHeight="1" x14ac:dyDescent="0.25">
      <c r="A875" s="21" t="s">
        <v>328</v>
      </c>
      <c r="B875" s="276" t="s">
        <v>1898</v>
      </c>
      <c r="C875" s="81">
        <v>16</v>
      </c>
      <c r="D875" s="23" t="s">
        <v>1899</v>
      </c>
      <c r="H875" s="346">
        <v>20</v>
      </c>
      <c r="I875" s="21">
        <v>18.920159999999999</v>
      </c>
      <c r="J875" s="23" t="s">
        <v>400</v>
      </c>
      <c r="K875" s="21" t="s">
        <v>1900</v>
      </c>
      <c r="O875" s="347"/>
      <c r="R875" s="84" t="s">
        <v>380</v>
      </c>
      <c r="Y875" s="20">
        <f t="shared" si="39"/>
        <v>1</v>
      </c>
      <c r="AA875" s="98">
        <f t="shared" si="37"/>
        <v>1.0798400000000008</v>
      </c>
      <c r="AB875" s="98" t="e">
        <f t="shared" si="38"/>
        <v>#VALUE!</v>
      </c>
    </row>
    <row r="876" spans="1:28" ht="22.15" customHeight="1" x14ac:dyDescent="0.25">
      <c r="A876" s="21" t="s">
        <v>328</v>
      </c>
      <c r="B876" s="276" t="s">
        <v>1901</v>
      </c>
      <c r="C876" s="81">
        <v>16</v>
      </c>
      <c r="D876" s="23" t="s">
        <v>1902</v>
      </c>
      <c r="H876" s="346">
        <v>20</v>
      </c>
      <c r="I876" s="21">
        <v>19.910240000000002</v>
      </c>
      <c r="J876" s="23" t="s">
        <v>400</v>
      </c>
      <c r="K876" s="21" t="s">
        <v>1903</v>
      </c>
      <c r="O876" s="347"/>
      <c r="R876" s="84" t="s">
        <v>380</v>
      </c>
      <c r="Y876" s="20">
        <f t="shared" si="39"/>
        <v>1</v>
      </c>
      <c r="AA876" s="98">
        <f t="shared" si="37"/>
        <v>8.9759999999998286E-2</v>
      </c>
      <c r="AB876" s="98" t="e">
        <f t="shared" si="38"/>
        <v>#VALUE!</v>
      </c>
    </row>
    <row r="877" spans="1:28" ht="22.15" customHeight="1" x14ac:dyDescent="0.25">
      <c r="A877" s="21" t="s">
        <v>328</v>
      </c>
      <c r="B877" s="276" t="s">
        <v>1904</v>
      </c>
      <c r="C877" s="81">
        <v>16</v>
      </c>
      <c r="D877" s="23" t="s">
        <v>1905</v>
      </c>
      <c r="H877" s="346">
        <v>20</v>
      </c>
      <c r="I877" s="21">
        <v>18.920159999999999</v>
      </c>
      <c r="J877" s="23" t="s">
        <v>400</v>
      </c>
      <c r="K877" s="21" t="s">
        <v>1906</v>
      </c>
      <c r="O877" s="347"/>
      <c r="R877" s="84" t="s">
        <v>380</v>
      </c>
      <c r="Y877" s="20">
        <f t="shared" si="39"/>
        <v>1</v>
      </c>
      <c r="AA877" s="98">
        <f t="shared" si="37"/>
        <v>1.0798400000000008</v>
      </c>
      <c r="AB877" s="98" t="e">
        <f t="shared" si="38"/>
        <v>#VALUE!</v>
      </c>
    </row>
    <row r="878" spans="1:28" ht="22.15" customHeight="1" x14ac:dyDescent="0.25">
      <c r="A878" s="21" t="s">
        <v>328</v>
      </c>
      <c r="B878" s="276" t="s">
        <v>1907</v>
      </c>
      <c r="C878" s="81">
        <v>16</v>
      </c>
      <c r="D878" s="23" t="s">
        <v>1908</v>
      </c>
      <c r="H878" s="346">
        <v>20</v>
      </c>
      <c r="I878" s="21">
        <v>18.920159999999999</v>
      </c>
      <c r="J878" s="23" t="s">
        <v>400</v>
      </c>
      <c r="K878" s="21" t="s">
        <v>1909</v>
      </c>
      <c r="O878" s="347"/>
      <c r="R878" s="84" t="s">
        <v>380</v>
      </c>
      <c r="Y878" s="20">
        <f t="shared" si="39"/>
        <v>1</v>
      </c>
      <c r="AA878" s="98">
        <f t="shared" ref="AA878:AA941" si="40">H878-I878</f>
        <v>1.0798400000000008</v>
      </c>
      <c r="AB878" s="98" t="e">
        <f t="shared" ref="AB878:AB941" si="41">R878-H878</f>
        <v>#VALUE!</v>
      </c>
    </row>
    <row r="879" spans="1:28" ht="22.15" customHeight="1" x14ac:dyDescent="0.25">
      <c r="A879" s="21" t="s">
        <v>328</v>
      </c>
      <c r="B879" s="276" t="s">
        <v>1910</v>
      </c>
      <c r="C879" s="81">
        <v>16</v>
      </c>
      <c r="D879" s="23" t="s">
        <v>1911</v>
      </c>
      <c r="H879" s="346">
        <v>20</v>
      </c>
      <c r="I879" s="21">
        <v>18.920159999999999</v>
      </c>
      <c r="J879" s="23" t="s">
        <v>400</v>
      </c>
      <c r="K879" s="21" t="s">
        <v>1912</v>
      </c>
      <c r="O879" s="347"/>
      <c r="R879" s="84" t="s">
        <v>380</v>
      </c>
      <c r="Y879" s="20">
        <f t="shared" si="39"/>
        <v>1</v>
      </c>
      <c r="AA879" s="98">
        <f t="shared" si="40"/>
        <v>1.0798400000000008</v>
      </c>
      <c r="AB879" s="98" t="e">
        <f t="shared" si="41"/>
        <v>#VALUE!</v>
      </c>
    </row>
    <row r="880" spans="1:28" ht="22.15" customHeight="1" x14ac:dyDescent="0.25">
      <c r="A880" s="21" t="s">
        <v>659</v>
      </c>
      <c r="B880" s="276" t="s">
        <v>1913</v>
      </c>
      <c r="C880" s="81">
        <v>12</v>
      </c>
      <c r="D880" s="23" t="s">
        <v>1914</v>
      </c>
      <c r="H880" s="346">
        <v>30.9</v>
      </c>
      <c r="I880" s="21">
        <v>30.52</v>
      </c>
      <c r="J880" s="23" t="s">
        <v>663</v>
      </c>
      <c r="K880" s="21" t="s">
        <v>1915</v>
      </c>
      <c r="O880" s="347"/>
      <c r="R880" s="84" t="s">
        <v>327</v>
      </c>
      <c r="Y880" s="20">
        <f t="shared" si="39"/>
        <v>1</v>
      </c>
      <c r="AA880" s="98">
        <f t="shared" si="40"/>
        <v>0.37999999999999901</v>
      </c>
      <c r="AB880" s="98" t="e">
        <f t="shared" si="41"/>
        <v>#VALUE!</v>
      </c>
    </row>
    <row r="881" spans="1:28" ht="22.15" customHeight="1" x14ac:dyDescent="0.25">
      <c r="A881" s="21" t="s">
        <v>659</v>
      </c>
      <c r="B881" s="276" t="s">
        <v>1916</v>
      </c>
      <c r="C881" s="81">
        <v>12</v>
      </c>
      <c r="D881" s="23" t="s">
        <v>1917</v>
      </c>
      <c r="H881" s="346">
        <v>30.9</v>
      </c>
      <c r="I881" s="21">
        <v>30.52</v>
      </c>
      <c r="J881" s="23" t="s">
        <v>663</v>
      </c>
      <c r="K881" s="21" t="s">
        <v>1918</v>
      </c>
      <c r="O881" s="347"/>
      <c r="R881" s="84" t="s">
        <v>327</v>
      </c>
      <c r="Y881" s="20">
        <f t="shared" si="39"/>
        <v>1</v>
      </c>
      <c r="AA881" s="98">
        <f t="shared" si="40"/>
        <v>0.37999999999999901</v>
      </c>
      <c r="AB881" s="98" t="e">
        <f t="shared" si="41"/>
        <v>#VALUE!</v>
      </c>
    </row>
    <row r="882" spans="1:28" ht="22.15" customHeight="1" x14ac:dyDescent="0.25">
      <c r="A882" s="21" t="s">
        <v>666</v>
      </c>
      <c r="B882" s="276" t="s">
        <v>1919</v>
      </c>
      <c r="C882" s="81">
        <v>18</v>
      </c>
      <c r="D882" s="23" t="s">
        <v>1920</v>
      </c>
      <c r="H882" s="346">
        <v>16.899999999999999</v>
      </c>
      <c r="I882" s="21">
        <v>16.54016</v>
      </c>
      <c r="J882" s="23" t="s">
        <v>663</v>
      </c>
      <c r="K882" s="21" t="s">
        <v>1921</v>
      </c>
      <c r="O882" s="347"/>
      <c r="R882" s="84">
        <v>18.899999999999999</v>
      </c>
      <c r="Y882" s="20">
        <f t="shared" si="39"/>
        <v>1</v>
      </c>
      <c r="AA882" s="98">
        <f t="shared" si="40"/>
        <v>0.35983999999999838</v>
      </c>
      <c r="AB882" s="98">
        <f t="shared" si="41"/>
        <v>2</v>
      </c>
    </row>
    <row r="883" spans="1:28" ht="22.15" customHeight="1" x14ac:dyDescent="0.25">
      <c r="A883" s="21" t="s">
        <v>666</v>
      </c>
      <c r="B883" s="276" t="s">
        <v>1922</v>
      </c>
      <c r="C883" s="81">
        <v>18</v>
      </c>
      <c r="D883" s="23" t="s">
        <v>1923</v>
      </c>
      <c r="H883" s="346">
        <v>16.899999999999999</v>
      </c>
      <c r="I883" s="21">
        <v>16.54016</v>
      </c>
      <c r="J883" s="23" t="s">
        <v>663</v>
      </c>
      <c r="K883" s="21" t="s">
        <v>1924</v>
      </c>
      <c r="O883" s="347"/>
      <c r="R883" s="84">
        <v>18.899999999999999</v>
      </c>
      <c r="Y883" s="20">
        <f t="shared" si="39"/>
        <v>1</v>
      </c>
      <c r="AA883" s="98">
        <f t="shared" si="40"/>
        <v>0.35983999999999838</v>
      </c>
      <c r="AB883" s="98">
        <f t="shared" si="41"/>
        <v>2</v>
      </c>
    </row>
    <row r="884" spans="1:28" ht="22.15" customHeight="1" x14ac:dyDescent="0.25">
      <c r="A884" s="21" t="s">
        <v>666</v>
      </c>
      <c r="B884" s="276" t="s">
        <v>1925</v>
      </c>
      <c r="C884" s="81">
        <v>18</v>
      </c>
      <c r="D884" s="23" t="s">
        <v>1926</v>
      </c>
      <c r="H884" s="346">
        <v>16.899999999999999</v>
      </c>
      <c r="I884" s="21">
        <v>16.54016</v>
      </c>
      <c r="J884" s="23" t="s">
        <v>663</v>
      </c>
      <c r="K884" s="21" t="s">
        <v>1927</v>
      </c>
      <c r="O884" s="347"/>
      <c r="R884" s="84">
        <v>18.899999999999999</v>
      </c>
      <c r="Y884" s="20">
        <f t="shared" si="39"/>
        <v>1</v>
      </c>
      <c r="AA884" s="98">
        <f t="shared" si="40"/>
        <v>0.35983999999999838</v>
      </c>
      <c r="AB884" s="98">
        <f t="shared" si="41"/>
        <v>2</v>
      </c>
    </row>
    <row r="885" spans="1:28" ht="22.15" customHeight="1" x14ac:dyDescent="0.25">
      <c r="A885" s="21" t="s">
        <v>666</v>
      </c>
      <c r="B885" s="276" t="s">
        <v>1928</v>
      </c>
      <c r="C885" s="81">
        <v>18</v>
      </c>
      <c r="D885" s="23" t="s">
        <v>1929</v>
      </c>
      <c r="H885" s="346">
        <v>16.899999999999999</v>
      </c>
      <c r="I885" s="21">
        <v>16.54016</v>
      </c>
      <c r="J885" s="23" t="s">
        <v>663</v>
      </c>
      <c r="K885" s="21" t="s">
        <v>1930</v>
      </c>
      <c r="O885" s="347"/>
      <c r="R885" s="84">
        <v>18.899999999999999</v>
      </c>
      <c r="Y885" s="20">
        <f t="shared" si="39"/>
        <v>1</v>
      </c>
      <c r="AA885" s="98">
        <f t="shared" si="40"/>
        <v>0.35983999999999838</v>
      </c>
      <c r="AB885" s="98">
        <f t="shared" si="41"/>
        <v>2</v>
      </c>
    </row>
    <row r="886" spans="1:28" ht="22.15" customHeight="1" x14ac:dyDescent="0.25">
      <c r="A886" s="21" t="s">
        <v>666</v>
      </c>
      <c r="B886" s="276" t="s">
        <v>1931</v>
      </c>
      <c r="C886" s="81">
        <v>18</v>
      </c>
      <c r="D886" s="23" t="s">
        <v>1932</v>
      </c>
      <c r="H886" s="346">
        <v>16.899999999999999</v>
      </c>
      <c r="I886" s="21">
        <v>16.54016</v>
      </c>
      <c r="J886" s="23" t="s">
        <v>663</v>
      </c>
      <c r="K886" s="21" t="s">
        <v>1933</v>
      </c>
      <c r="O886" s="347"/>
      <c r="R886" s="84">
        <v>18.899999999999999</v>
      </c>
      <c r="Y886" s="20">
        <f t="shared" si="39"/>
        <v>1</v>
      </c>
      <c r="AA886" s="98">
        <f t="shared" si="40"/>
        <v>0.35983999999999838</v>
      </c>
      <c r="AB886" s="98">
        <f t="shared" si="41"/>
        <v>2</v>
      </c>
    </row>
    <row r="887" spans="1:28" ht="22.15" customHeight="1" x14ac:dyDescent="0.25">
      <c r="A887" s="21" t="s">
        <v>666</v>
      </c>
      <c r="B887" s="276" t="s">
        <v>1934</v>
      </c>
      <c r="C887" s="81">
        <v>10</v>
      </c>
      <c r="D887" s="23" t="s">
        <v>1935</v>
      </c>
      <c r="H887" s="346">
        <v>22.9</v>
      </c>
      <c r="I887" s="21">
        <v>21.7896</v>
      </c>
      <c r="J887" s="23" t="s">
        <v>663</v>
      </c>
      <c r="K887" s="21" t="s">
        <v>1936</v>
      </c>
      <c r="O887" s="347"/>
      <c r="R887" s="84" t="s">
        <v>371</v>
      </c>
      <c r="Y887" s="20">
        <f t="shared" si="39"/>
        <v>1</v>
      </c>
      <c r="AA887" s="98">
        <f t="shared" si="40"/>
        <v>1.1103999999999985</v>
      </c>
      <c r="AB887" s="98" t="e">
        <f t="shared" si="41"/>
        <v>#VALUE!</v>
      </c>
    </row>
    <row r="888" spans="1:28" ht="22.15" customHeight="1" x14ac:dyDescent="0.25">
      <c r="A888" s="21" t="s">
        <v>666</v>
      </c>
      <c r="B888" s="276" t="s">
        <v>1937</v>
      </c>
      <c r="C888" s="81">
        <v>10</v>
      </c>
      <c r="D888" s="23" t="s">
        <v>1938</v>
      </c>
      <c r="H888" s="346">
        <v>22.9</v>
      </c>
      <c r="I888" s="21">
        <v>21.7896</v>
      </c>
      <c r="J888" s="23" t="s">
        <v>663</v>
      </c>
      <c r="K888" s="21" t="s">
        <v>1939</v>
      </c>
      <c r="O888" s="347"/>
      <c r="R888" s="84" t="s">
        <v>371</v>
      </c>
      <c r="Y888" s="20">
        <f t="shared" si="39"/>
        <v>1</v>
      </c>
      <c r="AA888" s="98">
        <f t="shared" si="40"/>
        <v>1.1103999999999985</v>
      </c>
      <c r="AB888" s="98" t="e">
        <f t="shared" si="41"/>
        <v>#VALUE!</v>
      </c>
    </row>
    <row r="889" spans="1:28" ht="22.15" customHeight="1" x14ac:dyDescent="0.25">
      <c r="A889" s="21" t="s">
        <v>682</v>
      </c>
      <c r="B889" s="276" t="s">
        <v>1940</v>
      </c>
      <c r="C889" s="81">
        <v>36</v>
      </c>
      <c r="D889" s="23" t="s">
        <v>1941</v>
      </c>
      <c r="H889" s="346">
        <v>10.5</v>
      </c>
      <c r="I889" s="21">
        <v>9.9702400000000004</v>
      </c>
      <c r="J889" s="23" t="s">
        <v>663</v>
      </c>
      <c r="K889" s="21" t="s">
        <v>1942</v>
      </c>
      <c r="O889" s="347"/>
      <c r="R889" s="84" t="s">
        <v>687</v>
      </c>
      <c r="Y889" s="20">
        <f t="shared" si="39"/>
        <v>1</v>
      </c>
      <c r="AA889" s="98">
        <f t="shared" si="40"/>
        <v>0.52975999999999956</v>
      </c>
      <c r="AB889" s="98" t="e">
        <f t="shared" si="41"/>
        <v>#VALUE!</v>
      </c>
    </row>
    <row r="890" spans="1:28" ht="22.15" customHeight="1" x14ac:dyDescent="0.25">
      <c r="A890" s="21" t="s">
        <v>682</v>
      </c>
      <c r="B890" s="276" t="s">
        <v>1943</v>
      </c>
      <c r="C890" s="81">
        <v>36</v>
      </c>
      <c r="D890" s="23" t="s">
        <v>1944</v>
      </c>
      <c r="H890" s="346">
        <v>10.5</v>
      </c>
      <c r="I890" s="21">
        <v>9.9702400000000004</v>
      </c>
      <c r="J890" s="23" t="s">
        <v>663</v>
      </c>
      <c r="K890" s="21" t="s">
        <v>1945</v>
      </c>
      <c r="O890" s="347"/>
      <c r="R890" s="84" t="s">
        <v>687</v>
      </c>
      <c r="Y890" s="20">
        <f t="shared" si="39"/>
        <v>1</v>
      </c>
      <c r="AA890" s="98">
        <f t="shared" si="40"/>
        <v>0.52975999999999956</v>
      </c>
      <c r="AB890" s="98" t="e">
        <f t="shared" si="41"/>
        <v>#VALUE!</v>
      </c>
    </row>
    <row r="891" spans="1:28" ht="22.15" customHeight="1" x14ac:dyDescent="0.25">
      <c r="A891" s="21" t="s">
        <v>103</v>
      </c>
      <c r="B891" s="276" t="s">
        <v>1946</v>
      </c>
      <c r="C891" s="81">
        <v>24</v>
      </c>
      <c r="D891" s="23" t="s">
        <v>1947</v>
      </c>
      <c r="H891" s="346">
        <v>36.9</v>
      </c>
      <c r="I891" s="21">
        <v>36.299999999999997</v>
      </c>
      <c r="J891" s="23" t="s">
        <v>109</v>
      </c>
      <c r="K891" s="21" t="s">
        <v>1948</v>
      </c>
      <c r="O891" s="347"/>
      <c r="R891" s="84" t="s">
        <v>111</v>
      </c>
      <c r="Y891" s="20">
        <f t="shared" si="39"/>
        <v>1</v>
      </c>
      <c r="AA891" s="98">
        <f t="shared" si="40"/>
        <v>0.60000000000000142</v>
      </c>
      <c r="AB891" s="98" t="e">
        <f t="shared" si="41"/>
        <v>#VALUE!</v>
      </c>
    </row>
    <row r="892" spans="1:28" ht="22.15" customHeight="1" x14ac:dyDescent="0.25">
      <c r="A892" s="21" t="s">
        <v>103</v>
      </c>
      <c r="B892" s="276" t="s">
        <v>1949</v>
      </c>
      <c r="C892" s="81">
        <v>24</v>
      </c>
      <c r="D892" s="23" t="s">
        <v>1950</v>
      </c>
      <c r="H892" s="346">
        <v>36.9</v>
      </c>
      <c r="I892" s="21">
        <v>36.299999999999997</v>
      </c>
      <c r="J892" s="23" t="s">
        <v>109</v>
      </c>
      <c r="K892" s="21" t="s">
        <v>1951</v>
      </c>
      <c r="O892" s="347"/>
      <c r="R892" s="84" t="s">
        <v>111</v>
      </c>
      <c r="Y892" s="20">
        <f t="shared" si="39"/>
        <v>1</v>
      </c>
      <c r="AA892" s="98">
        <f t="shared" si="40"/>
        <v>0.60000000000000142</v>
      </c>
      <c r="AB892" s="98" t="e">
        <f t="shared" si="41"/>
        <v>#VALUE!</v>
      </c>
    </row>
    <row r="893" spans="1:28" ht="22.15" customHeight="1" x14ac:dyDescent="0.25">
      <c r="A893" s="21" t="s">
        <v>103</v>
      </c>
      <c r="B893" s="276" t="s">
        <v>1952</v>
      </c>
      <c r="C893" s="81">
        <v>24</v>
      </c>
      <c r="D893" s="23" t="s">
        <v>1953</v>
      </c>
      <c r="H893" s="346">
        <v>36.9</v>
      </c>
      <c r="I893" s="21">
        <v>36.299999999999997</v>
      </c>
      <c r="J893" s="23" t="s">
        <v>109</v>
      </c>
      <c r="K893" s="21" t="s">
        <v>1954</v>
      </c>
      <c r="O893" s="347"/>
      <c r="R893" s="84" t="s">
        <v>111</v>
      </c>
      <c r="Y893" s="20">
        <f t="shared" si="39"/>
        <v>1</v>
      </c>
      <c r="AA893" s="98">
        <f t="shared" si="40"/>
        <v>0.60000000000000142</v>
      </c>
      <c r="AB893" s="98" t="e">
        <f t="shared" si="41"/>
        <v>#VALUE!</v>
      </c>
    </row>
    <row r="894" spans="1:28" ht="22.15" customHeight="1" x14ac:dyDescent="0.25">
      <c r="A894" s="21" t="s">
        <v>103</v>
      </c>
      <c r="B894" s="276" t="s">
        <v>1955</v>
      </c>
      <c r="C894" s="81">
        <v>24</v>
      </c>
      <c r="D894" s="23" t="s">
        <v>1956</v>
      </c>
      <c r="H894" s="346">
        <v>36.9</v>
      </c>
      <c r="I894" s="21">
        <v>36.299999999999997</v>
      </c>
      <c r="J894" s="23" t="s">
        <v>109</v>
      </c>
      <c r="K894" s="21" t="s">
        <v>1957</v>
      </c>
      <c r="O894" s="347"/>
      <c r="R894" s="84" t="s">
        <v>111</v>
      </c>
      <c r="Y894" s="20">
        <f t="shared" si="39"/>
        <v>1</v>
      </c>
      <c r="AA894" s="98">
        <f t="shared" si="40"/>
        <v>0.60000000000000142</v>
      </c>
      <c r="AB894" s="98" t="e">
        <f t="shared" si="41"/>
        <v>#VALUE!</v>
      </c>
    </row>
    <row r="895" spans="1:28" ht="22.15" customHeight="1" x14ac:dyDescent="0.25">
      <c r="A895" s="21" t="s">
        <v>103</v>
      </c>
      <c r="B895" s="276" t="s">
        <v>1958</v>
      </c>
      <c r="C895" s="81">
        <v>24</v>
      </c>
      <c r="D895" s="23" t="s">
        <v>1959</v>
      </c>
      <c r="H895" s="346">
        <v>36.9</v>
      </c>
      <c r="I895" s="21">
        <v>36.299999999999997</v>
      </c>
      <c r="J895" s="23" t="s">
        <v>109</v>
      </c>
      <c r="K895" s="21" t="s">
        <v>1960</v>
      </c>
      <c r="O895" s="347"/>
      <c r="R895" s="84" t="s">
        <v>111</v>
      </c>
      <c r="Y895" s="20">
        <f t="shared" si="39"/>
        <v>1</v>
      </c>
      <c r="AA895" s="98">
        <f t="shared" si="40"/>
        <v>0.60000000000000142</v>
      </c>
      <c r="AB895" s="98" t="e">
        <f t="shared" si="41"/>
        <v>#VALUE!</v>
      </c>
    </row>
    <row r="896" spans="1:28" ht="22.15" customHeight="1" x14ac:dyDescent="0.25">
      <c r="A896" s="21" t="s">
        <v>103</v>
      </c>
      <c r="B896" s="276" t="s">
        <v>1961</v>
      </c>
      <c r="C896" s="81">
        <v>24</v>
      </c>
      <c r="D896" s="23" t="s">
        <v>1962</v>
      </c>
      <c r="H896" s="346">
        <v>36.9</v>
      </c>
      <c r="I896" s="21">
        <v>36.299999999999997</v>
      </c>
      <c r="J896" s="23" t="s">
        <v>109</v>
      </c>
      <c r="K896" s="21" t="s">
        <v>1963</v>
      </c>
      <c r="O896" s="347"/>
      <c r="R896" s="84" t="s">
        <v>111</v>
      </c>
      <c r="Y896" s="20">
        <f t="shared" si="39"/>
        <v>1</v>
      </c>
      <c r="AA896" s="98">
        <f t="shared" si="40"/>
        <v>0.60000000000000142</v>
      </c>
      <c r="AB896" s="98" t="e">
        <f t="shared" si="41"/>
        <v>#VALUE!</v>
      </c>
    </row>
    <row r="897" spans="1:28" ht="22.15" customHeight="1" x14ac:dyDescent="0.25">
      <c r="A897" s="21" t="s">
        <v>103</v>
      </c>
      <c r="B897" s="276" t="s">
        <v>1964</v>
      </c>
      <c r="C897" s="81">
        <v>24</v>
      </c>
      <c r="D897" s="23" t="s">
        <v>1965</v>
      </c>
      <c r="H897" s="346">
        <v>36.9</v>
      </c>
      <c r="I897" s="21">
        <v>36.299999999999997</v>
      </c>
      <c r="J897" s="23" t="s">
        <v>109</v>
      </c>
      <c r="K897" s="21" t="s">
        <v>1966</v>
      </c>
      <c r="O897" s="347"/>
      <c r="R897" s="84" t="s">
        <v>111</v>
      </c>
      <c r="Y897" s="20">
        <f t="shared" si="39"/>
        <v>1</v>
      </c>
      <c r="AA897" s="98">
        <f t="shared" si="40"/>
        <v>0.60000000000000142</v>
      </c>
      <c r="AB897" s="98" t="e">
        <f t="shared" si="41"/>
        <v>#VALUE!</v>
      </c>
    </row>
    <row r="898" spans="1:28" ht="22.15" customHeight="1" x14ac:dyDescent="0.25">
      <c r="A898" s="21" t="s">
        <v>815</v>
      </c>
      <c r="B898" s="276" t="s">
        <v>1967</v>
      </c>
      <c r="C898" s="81">
        <v>12</v>
      </c>
      <c r="D898" s="23" t="s">
        <v>1968</v>
      </c>
      <c r="H898" s="346">
        <v>16.899999999999999</v>
      </c>
      <c r="I898" s="21">
        <v>16.17952</v>
      </c>
      <c r="J898" s="23" t="s">
        <v>1969</v>
      </c>
      <c r="K898" s="21" t="s">
        <v>1970</v>
      </c>
      <c r="O898" s="347"/>
      <c r="R898" s="84">
        <v>18.899999999999999</v>
      </c>
      <c r="Y898" s="20">
        <f t="shared" si="39"/>
        <v>1</v>
      </c>
      <c r="AA898" s="98">
        <f t="shared" si="40"/>
        <v>0.72047999999999845</v>
      </c>
      <c r="AB898" s="98">
        <f t="shared" si="41"/>
        <v>2</v>
      </c>
    </row>
    <row r="899" spans="1:28" ht="22.15" customHeight="1" x14ac:dyDescent="0.25">
      <c r="A899" s="21" t="s">
        <v>815</v>
      </c>
      <c r="B899" s="276" t="s">
        <v>1971</v>
      </c>
      <c r="C899" s="81">
        <v>10</v>
      </c>
      <c r="D899" s="23" t="s">
        <v>1972</v>
      </c>
      <c r="H899" s="346">
        <v>16.899999999999999</v>
      </c>
      <c r="I899" s="21">
        <v>16.17952</v>
      </c>
      <c r="J899" s="23" t="s">
        <v>1969</v>
      </c>
      <c r="K899" s="21" t="s">
        <v>1973</v>
      </c>
      <c r="O899" s="347"/>
      <c r="R899" s="84">
        <v>18.899999999999999</v>
      </c>
      <c r="Y899" s="20">
        <f t="shared" si="39"/>
        <v>1</v>
      </c>
      <c r="AA899" s="98">
        <f t="shared" si="40"/>
        <v>0.72047999999999845</v>
      </c>
      <c r="AB899" s="98">
        <f t="shared" si="41"/>
        <v>2</v>
      </c>
    </row>
    <row r="900" spans="1:28" ht="22.15" customHeight="1" x14ac:dyDescent="0.25">
      <c r="A900" s="21" t="s">
        <v>815</v>
      </c>
      <c r="B900" s="276" t="s">
        <v>1974</v>
      </c>
      <c r="C900" s="81">
        <v>12</v>
      </c>
      <c r="D900" s="23" t="s">
        <v>1975</v>
      </c>
      <c r="H900" s="346">
        <v>16.899999999999999</v>
      </c>
      <c r="I900" s="21">
        <v>16.17952</v>
      </c>
      <c r="J900" s="23" t="s">
        <v>1969</v>
      </c>
      <c r="K900" s="21" t="s">
        <v>1976</v>
      </c>
      <c r="O900" s="347"/>
      <c r="R900" s="84">
        <v>18.899999999999999</v>
      </c>
      <c r="Y900" s="20">
        <f t="shared" si="39"/>
        <v>1</v>
      </c>
      <c r="AA900" s="98">
        <f t="shared" si="40"/>
        <v>0.72047999999999845</v>
      </c>
      <c r="AB900" s="98">
        <f t="shared" si="41"/>
        <v>2</v>
      </c>
    </row>
    <row r="901" spans="1:28" ht="22.15" customHeight="1" x14ac:dyDescent="0.25">
      <c r="A901" s="21" t="s">
        <v>815</v>
      </c>
      <c r="B901" s="276" t="s">
        <v>1977</v>
      </c>
      <c r="C901" s="81">
        <v>10</v>
      </c>
      <c r="D901" s="23" t="s">
        <v>1978</v>
      </c>
      <c r="H901" s="346">
        <v>16.899999999999999</v>
      </c>
      <c r="I901" s="21">
        <v>16.17952</v>
      </c>
      <c r="J901" s="23" t="s">
        <v>1969</v>
      </c>
      <c r="K901" s="21" t="s">
        <v>1979</v>
      </c>
      <c r="O901" s="347"/>
      <c r="R901" s="84">
        <v>18.899999999999999</v>
      </c>
      <c r="Y901" s="20">
        <f t="shared" si="39"/>
        <v>1</v>
      </c>
      <c r="AA901" s="98">
        <f t="shared" si="40"/>
        <v>0.72047999999999845</v>
      </c>
      <c r="AB901" s="98">
        <f t="shared" si="41"/>
        <v>2</v>
      </c>
    </row>
    <row r="902" spans="1:28" ht="22.15" customHeight="1" x14ac:dyDescent="0.25">
      <c r="A902" s="21" t="s">
        <v>815</v>
      </c>
      <c r="B902" s="276" t="s">
        <v>1980</v>
      </c>
      <c r="C902" s="81">
        <v>12</v>
      </c>
      <c r="D902" s="23" t="s">
        <v>1981</v>
      </c>
      <c r="H902" s="346">
        <v>16.899999999999999</v>
      </c>
      <c r="I902" s="21">
        <v>16.17952</v>
      </c>
      <c r="J902" s="23" t="s">
        <v>1969</v>
      </c>
      <c r="K902" s="21" t="s">
        <v>1982</v>
      </c>
      <c r="O902" s="347"/>
      <c r="R902" s="84">
        <v>18.899999999999999</v>
      </c>
      <c r="Y902" s="20">
        <f t="shared" si="39"/>
        <v>1</v>
      </c>
      <c r="AA902" s="98">
        <f t="shared" si="40"/>
        <v>0.72047999999999845</v>
      </c>
      <c r="AB902" s="98">
        <f t="shared" si="41"/>
        <v>2</v>
      </c>
    </row>
    <row r="903" spans="1:28" ht="22.15" customHeight="1" x14ac:dyDescent="0.25">
      <c r="A903" s="21" t="s">
        <v>815</v>
      </c>
      <c r="B903" s="276" t="s">
        <v>1983</v>
      </c>
      <c r="C903" s="81">
        <v>12</v>
      </c>
      <c r="D903" s="23" t="s">
        <v>1984</v>
      </c>
      <c r="H903" s="346">
        <v>16.899999999999999</v>
      </c>
      <c r="I903" s="21">
        <v>16.17952</v>
      </c>
      <c r="J903" s="23" t="s">
        <v>1969</v>
      </c>
      <c r="K903" s="21" t="s">
        <v>1985</v>
      </c>
      <c r="O903" s="347"/>
      <c r="R903" s="84">
        <v>18.899999999999999</v>
      </c>
      <c r="Y903" s="20">
        <f t="shared" ref="Y903:Y966" si="42">COUNTIF(K:K,K903)</f>
        <v>1</v>
      </c>
      <c r="AA903" s="98">
        <f t="shared" si="40"/>
        <v>0.72047999999999845</v>
      </c>
      <c r="AB903" s="98">
        <f t="shared" si="41"/>
        <v>2</v>
      </c>
    </row>
    <row r="904" spans="1:28" ht="22.15" customHeight="1" x14ac:dyDescent="0.25">
      <c r="A904" s="21" t="s">
        <v>815</v>
      </c>
      <c r="B904" s="276" t="s">
        <v>1986</v>
      </c>
      <c r="C904" s="81">
        <v>10</v>
      </c>
      <c r="D904" s="23" t="s">
        <v>1987</v>
      </c>
      <c r="H904" s="346">
        <v>16.899999999999999</v>
      </c>
      <c r="I904" s="21">
        <v>16.17952</v>
      </c>
      <c r="J904" s="23" t="s">
        <v>1969</v>
      </c>
      <c r="K904" s="21" t="s">
        <v>1988</v>
      </c>
      <c r="O904" s="347"/>
      <c r="R904" s="84">
        <v>18.899999999999999</v>
      </c>
      <c r="Y904" s="20">
        <f t="shared" si="42"/>
        <v>1</v>
      </c>
      <c r="AA904" s="98">
        <f t="shared" si="40"/>
        <v>0.72047999999999845</v>
      </c>
      <c r="AB904" s="98">
        <f t="shared" si="41"/>
        <v>2</v>
      </c>
    </row>
    <row r="905" spans="1:28" ht="22.15" customHeight="1" x14ac:dyDescent="0.25">
      <c r="A905" s="21" t="s">
        <v>815</v>
      </c>
      <c r="B905" s="276" t="s">
        <v>1989</v>
      </c>
      <c r="C905" s="81">
        <v>12</v>
      </c>
      <c r="D905" s="23" t="s">
        <v>1990</v>
      </c>
      <c r="H905" s="346">
        <v>16.899999999999999</v>
      </c>
      <c r="I905" s="21">
        <v>16.17952</v>
      </c>
      <c r="J905" s="23" t="s">
        <v>1969</v>
      </c>
      <c r="K905" s="21" t="s">
        <v>1991</v>
      </c>
      <c r="O905" s="347"/>
      <c r="R905" s="84">
        <v>18.899999999999999</v>
      </c>
      <c r="Y905" s="20">
        <f t="shared" si="42"/>
        <v>1</v>
      </c>
      <c r="AA905" s="98">
        <f t="shared" si="40"/>
        <v>0.72047999999999845</v>
      </c>
      <c r="AB905" s="98">
        <f t="shared" si="41"/>
        <v>2</v>
      </c>
    </row>
    <row r="906" spans="1:28" ht="22.15" customHeight="1" x14ac:dyDescent="0.25">
      <c r="A906" s="21" t="s">
        <v>815</v>
      </c>
      <c r="B906" s="276" t="s">
        <v>1992</v>
      </c>
      <c r="C906" s="81">
        <v>12</v>
      </c>
      <c r="D906" s="23" t="s">
        <v>1993</v>
      </c>
      <c r="H906" s="346">
        <v>16.899999999999999</v>
      </c>
      <c r="I906" s="21">
        <v>16.17952</v>
      </c>
      <c r="J906" s="23" t="s">
        <v>1969</v>
      </c>
      <c r="K906" s="21" t="s">
        <v>1994</v>
      </c>
      <c r="O906" s="347"/>
      <c r="R906" s="84">
        <v>18.899999999999999</v>
      </c>
      <c r="Y906" s="20">
        <f t="shared" si="42"/>
        <v>1</v>
      </c>
      <c r="AA906" s="98">
        <f t="shared" si="40"/>
        <v>0.72047999999999845</v>
      </c>
      <c r="AB906" s="98">
        <f t="shared" si="41"/>
        <v>2</v>
      </c>
    </row>
    <row r="907" spans="1:28" ht="22.15" customHeight="1" x14ac:dyDescent="0.25">
      <c r="A907" s="21" t="s">
        <v>815</v>
      </c>
      <c r="B907" s="276" t="s">
        <v>1995</v>
      </c>
      <c r="C907" s="81">
        <v>12</v>
      </c>
      <c r="D907" s="23" t="s">
        <v>1996</v>
      </c>
      <c r="H907" s="346">
        <v>16.899999999999999</v>
      </c>
      <c r="I907" s="21">
        <v>16.17952</v>
      </c>
      <c r="J907" s="23" t="s">
        <v>1969</v>
      </c>
      <c r="K907" s="21" t="s">
        <v>1997</v>
      </c>
      <c r="O907" s="347"/>
      <c r="R907" s="84">
        <v>18.899999999999999</v>
      </c>
      <c r="Y907" s="20">
        <f t="shared" si="42"/>
        <v>1</v>
      </c>
      <c r="AA907" s="98">
        <f t="shared" si="40"/>
        <v>0.72047999999999845</v>
      </c>
      <c r="AB907" s="98">
        <f t="shared" si="41"/>
        <v>2</v>
      </c>
    </row>
    <row r="908" spans="1:28" ht="22.15" customHeight="1" x14ac:dyDescent="0.25">
      <c r="A908" s="21" t="s">
        <v>328</v>
      </c>
      <c r="B908" s="276" t="s">
        <v>1998</v>
      </c>
      <c r="C908" s="81">
        <v>6</v>
      </c>
      <c r="D908" s="23" t="s">
        <v>1999</v>
      </c>
      <c r="H908" s="346">
        <v>47.9</v>
      </c>
      <c r="I908" s="21">
        <v>50.290239999999997</v>
      </c>
      <c r="J908" s="23" t="s">
        <v>766</v>
      </c>
      <c r="K908" s="21" t="s">
        <v>2000</v>
      </c>
      <c r="O908" s="347"/>
      <c r="R908" s="84">
        <v>50.9</v>
      </c>
      <c r="Y908" s="20">
        <f t="shared" si="42"/>
        <v>1</v>
      </c>
      <c r="AA908" s="98">
        <f t="shared" si="40"/>
        <v>-2.3902399999999986</v>
      </c>
      <c r="AB908" s="98">
        <f t="shared" si="41"/>
        <v>3</v>
      </c>
    </row>
    <row r="909" spans="1:28" ht="22.15" customHeight="1" x14ac:dyDescent="0.25">
      <c r="A909" s="21" t="s">
        <v>328</v>
      </c>
      <c r="B909" s="276" t="s">
        <v>2001</v>
      </c>
      <c r="C909" s="81">
        <v>6</v>
      </c>
      <c r="D909" s="23" t="s">
        <v>2002</v>
      </c>
      <c r="H909" s="346">
        <v>47.9</v>
      </c>
      <c r="I909" s="21">
        <v>40.880000000000003</v>
      </c>
      <c r="J909" s="23" t="s">
        <v>766</v>
      </c>
      <c r="K909" s="21" t="s">
        <v>2003</v>
      </c>
      <c r="O909" s="347"/>
      <c r="R909" s="84">
        <v>50.9</v>
      </c>
      <c r="Y909" s="20">
        <f t="shared" si="42"/>
        <v>1</v>
      </c>
      <c r="AA909" s="98">
        <f t="shared" si="40"/>
        <v>7.019999999999996</v>
      </c>
      <c r="AB909" s="98">
        <f t="shared" si="41"/>
        <v>3</v>
      </c>
    </row>
    <row r="910" spans="1:28" ht="22.15" customHeight="1" x14ac:dyDescent="0.25">
      <c r="A910" s="21" t="s">
        <v>328</v>
      </c>
      <c r="B910" s="276" t="s">
        <v>2004</v>
      </c>
      <c r="C910" s="81">
        <v>6</v>
      </c>
      <c r="D910" s="23" t="s">
        <v>2005</v>
      </c>
      <c r="H910" s="346">
        <v>47.9</v>
      </c>
      <c r="I910" s="21">
        <v>40.880000000000003</v>
      </c>
      <c r="J910" s="23" t="s">
        <v>766</v>
      </c>
      <c r="K910" s="21" t="s">
        <v>2006</v>
      </c>
      <c r="O910" s="347"/>
      <c r="R910" s="84">
        <v>50.9</v>
      </c>
      <c r="Y910" s="20">
        <f t="shared" si="42"/>
        <v>1</v>
      </c>
      <c r="AA910" s="98">
        <f t="shared" si="40"/>
        <v>7.019999999999996</v>
      </c>
      <c r="AB910" s="98">
        <f t="shared" si="41"/>
        <v>3</v>
      </c>
    </row>
    <row r="911" spans="1:28" ht="22.15" customHeight="1" x14ac:dyDescent="0.25">
      <c r="A911" s="21" t="s">
        <v>328</v>
      </c>
      <c r="B911" s="276" t="s">
        <v>2007</v>
      </c>
      <c r="C911" s="81">
        <v>6</v>
      </c>
      <c r="D911" s="23" t="s">
        <v>2008</v>
      </c>
      <c r="H911" s="346">
        <v>47.9</v>
      </c>
      <c r="I911" s="21">
        <v>40.880000000000003</v>
      </c>
      <c r="J911" s="23" t="s">
        <v>766</v>
      </c>
      <c r="K911" s="21" t="s">
        <v>2009</v>
      </c>
      <c r="O911" s="347"/>
      <c r="R911" s="84">
        <v>50.9</v>
      </c>
      <c r="Y911" s="20">
        <f t="shared" si="42"/>
        <v>1</v>
      </c>
      <c r="AA911" s="98">
        <f t="shared" si="40"/>
        <v>7.019999999999996</v>
      </c>
      <c r="AB911" s="98">
        <f t="shared" si="41"/>
        <v>3</v>
      </c>
    </row>
    <row r="912" spans="1:28" ht="22.15" customHeight="1" x14ac:dyDescent="0.25">
      <c r="A912" s="21" t="s">
        <v>255</v>
      </c>
      <c r="B912" s="276" t="s">
        <v>2010</v>
      </c>
      <c r="C912" s="81">
        <v>30</v>
      </c>
      <c r="D912" s="23" t="s">
        <v>2011</v>
      </c>
      <c r="H912" s="346">
        <v>8.9</v>
      </c>
      <c r="I912" s="21">
        <v>7.9598399999999998</v>
      </c>
      <c r="J912" s="23" t="s">
        <v>755</v>
      </c>
      <c r="K912" s="21" t="s">
        <v>2012</v>
      </c>
      <c r="O912" s="347"/>
      <c r="R912" s="84" t="s">
        <v>779</v>
      </c>
      <c r="Y912" s="20">
        <f t="shared" si="42"/>
        <v>1</v>
      </c>
      <c r="AA912" s="98">
        <f t="shared" si="40"/>
        <v>0.94016000000000055</v>
      </c>
      <c r="AB912" s="98" t="e">
        <f t="shared" si="41"/>
        <v>#VALUE!</v>
      </c>
    </row>
    <row r="913" spans="1:28" ht="22.15" customHeight="1" x14ac:dyDescent="0.25">
      <c r="A913" s="21" t="s">
        <v>255</v>
      </c>
      <c r="B913" s="276" t="s">
        <v>2013</v>
      </c>
      <c r="C913" s="81">
        <v>24</v>
      </c>
      <c r="D913" s="23" t="s">
        <v>2014</v>
      </c>
      <c r="H913" s="346">
        <v>8.9</v>
      </c>
      <c r="I913" s="21">
        <v>7.9598399999999998</v>
      </c>
      <c r="J913" s="23" t="s">
        <v>755</v>
      </c>
      <c r="K913" s="21" t="s">
        <v>2015</v>
      </c>
      <c r="O913" s="347"/>
      <c r="R913" s="84" t="s">
        <v>779</v>
      </c>
      <c r="Y913" s="20">
        <f t="shared" si="42"/>
        <v>1</v>
      </c>
      <c r="AA913" s="98">
        <f t="shared" si="40"/>
        <v>0.94016000000000055</v>
      </c>
      <c r="AB913" s="98" t="e">
        <f t="shared" si="41"/>
        <v>#VALUE!</v>
      </c>
    </row>
    <row r="914" spans="1:28" ht="22.15" customHeight="1" x14ac:dyDescent="0.25">
      <c r="A914" s="21" t="s">
        <v>2016</v>
      </c>
      <c r="B914" s="276" t="s">
        <v>2017</v>
      </c>
      <c r="C914" s="81">
        <v>24</v>
      </c>
      <c r="D914" s="23" t="s">
        <v>2018</v>
      </c>
      <c r="H914" s="346">
        <v>8.9</v>
      </c>
      <c r="I914" s="21">
        <v>8.5601599999999998</v>
      </c>
      <c r="J914" s="23" t="s">
        <v>755</v>
      </c>
      <c r="K914" s="21" t="s">
        <v>2019</v>
      </c>
      <c r="O914" s="347"/>
      <c r="R914" s="84" t="s">
        <v>779</v>
      </c>
      <c r="Y914" s="20">
        <f t="shared" si="42"/>
        <v>1</v>
      </c>
      <c r="AA914" s="98">
        <f t="shared" si="40"/>
        <v>0.33984000000000059</v>
      </c>
      <c r="AB914" s="98" t="e">
        <f t="shared" si="41"/>
        <v>#VALUE!</v>
      </c>
    </row>
    <row r="915" spans="1:28" ht="22.15" customHeight="1" x14ac:dyDescent="0.25">
      <c r="A915" s="21" t="s">
        <v>255</v>
      </c>
      <c r="B915" s="276" t="s">
        <v>2020</v>
      </c>
      <c r="C915" s="81">
        <v>27</v>
      </c>
      <c r="D915" s="23" t="s">
        <v>2021</v>
      </c>
      <c r="H915" s="346">
        <v>8.9</v>
      </c>
      <c r="I915" s="21">
        <v>7.9598399999999998</v>
      </c>
      <c r="J915" s="23" t="s">
        <v>755</v>
      </c>
      <c r="K915" s="21" t="s">
        <v>2022</v>
      </c>
      <c r="O915" s="347"/>
      <c r="R915" s="84" t="s">
        <v>779</v>
      </c>
      <c r="Y915" s="20">
        <f t="shared" si="42"/>
        <v>1</v>
      </c>
      <c r="AA915" s="98">
        <f t="shared" si="40"/>
        <v>0.94016000000000055</v>
      </c>
      <c r="AB915" s="98" t="e">
        <f t="shared" si="41"/>
        <v>#VALUE!</v>
      </c>
    </row>
    <row r="916" spans="1:28" ht="22.15" customHeight="1" x14ac:dyDescent="0.25">
      <c r="A916" s="21" t="s">
        <v>255</v>
      </c>
      <c r="B916" s="276" t="s">
        <v>2023</v>
      </c>
      <c r="C916" s="81">
        <v>33</v>
      </c>
      <c r="D916" s="23" t="s">
        <v>2024</v>
      </c>
      <c r="H916" s="346">
        <v>8.9</v>
      </c>
      <c r="I916" s="21">
        <v>7.9598399999999998</v>
      </c>
      <c r="J916" s="23" t="s">
        <v>755</v>
      </c>
      <c r="K916" s="21" t="s">
        <v>2025</v>
      </c>
      <c r="O916" s="347"/>
      <c r="R916" s="84" t="s">
        <v>779</v>
      </c>
      <c r="Y916" s="20">
        <f t="shared" si="42"/>
        <v>1</v>
      </c>
      <c r="AA916" s="98">
        <f t="shared" si="40"/>
        <v>0.94016000000000055</v>
      </c>
      <c r="AB916" s="98" t="e">
        <f t="shared" si="41"/>
        <v>#VALUE!</v>
      </c>
    </row>
    <row r="917" spans="1:28" ht="22.15" customHeight="1" x14ac:dyDescent="0.25">
      <c r="A917" s="21" t="s">
        <v>255</v>
      </c>
      <c r="B917" s="276" t="s">
        <v>2026</v>
      </c>
      <c r="C917" s="81">
        <v>22</v>
      </c>
      <c r="D917" s="23" t="s">
        <v>2027</v>
      </c>
      <c r="H917" s="346">
        <v>8.9</v>
      </c>
      <c r="I917" s="21">
        <v>8.5601599999999998</v>
      </c>
      <c r="J917" s="23" t="s">
        <v>755</v>
      </c>
      <c r="K917" s="21" t="s">
        <v>2028</v>
      </c>
      <c r="O917" s="347"/>
      <c r="R917" s="84" t="s">
        <v>779</v>
      </c>
      <c r="Y917" s="20">
        <f t="shared" si="42"/>
        <v>1</v>
      </c>
      <c r="AA917" s="98">
        <f t="shared" si="40"/>
        <v>0.33984000000000059</v>
      </c>
      <c r="AB917" s="98" t="e">
        <f t="shared" si="41"/>
        <v>#VALUE!</v>
      </c>
    </row>
    <row r="918" spans="1:28" ht="22.15" customHeight="1" x14ac:dyDescent="0.25">
      <c r="A918" s="21" t="s">
        <v>255</v>
      </c>
      <c r="B918" s="276" t="s">
        <v>2029</v>
      </c>
      <c r="C918" s="81">
        <v>24</v>
      </c>
      <c r="D918" s="23" t="s">
        <v>2030</v>
      </c>
      <c r="H918" s="346">
        <v>8.9</v>
      </c>
      <c r="I918" s="21">
        <v>8.5601599999999998</v>
      </c>
      <c r="J918" s="23" t="s">
        <v>755</v>
      </c>
      <c r="K918" s="21" t="s">
        <v>2031</v>
      </c>
      <c r="O918" s="347"/>
      <c r="R918" s="84" t="s">
        <v>779</v>
      </c>
      <c r="Y918" s="20">
        <f t="shared" si="42"/>
        <v>1</v>
      </c>
      <c r="AA918" s="98">
        <f t="shared" si="40"/>
        <v>0.33984000000000059</v>
      </c>
      <c r="AB918" s="98" t="e">
        <f t="shared" si="41"/>
        <v>#VALUE!</v>
      </c>
    </row>
    <row r="919" spans="1:28" ht="22.15" customHeight="1" x14ac:dyDescent="0.25">
      <c r="A919" s="21" t="s">
        <v>255</v>
      </c>
      <c r="B919" s="276" t="s">
        <v>2032</v>
      </c>
      <c r="C919" s="81">
        <v>25</v>
      </c>
      <c r="D919" s="23" t="s">
        <v>2033</v>
      </c>
      <c r="H919" s="346">
        <v>8.9</v>
      </c>
      <c r="I919" s="21">
        <v>7.9598399999999998</v>
      </c>
      <c r="J919" s="23" t="s">
        <v>755</v>
      </c>
      <c r="K919" s="21" t="s">
        <v>2034</v>
      </c>
      <c r="O919" s="347"/>
      <c r="R919" s="84" t="s">
        <v>779</v>
      </c>
      <c r="Y919" s="20">
        <f t="shared" si="42"/>
        <v>1</v>
      </c>
      <c r="AA919" s="98">
        <f t="shared" si="40"/>
        <v>0.94016000000000055</v>
      </c>
      <c r="AB919" s="98" t="e">
        <f t="shared" si="41"/>
        <v>#VALUE!</v>
      </c>
    </row>
    <row r="920" spans="1:28" ht="22.15" customHeight="1" x14ac:dyDescent="0.25">
      <c r="A920" s="21" t="s">
        <v>255</v>
      </c>
      <c r="B920" s="276" t="s">
        <v>2035</v>
      </c>
      <c r="C920" s="81">
        <v>25</v>
      </c>
      <c r="D920" s="23" t="s">
        <v>2036</v>
      </c>
      <c r="H920" s="346">
        <v>8.9</v>
      </c>
      <c r="I920" s="21">
        <v>8.5601599999999998</v>
      </c>
      <c r="J920" s="23" t="s">
        <v>755</v>
      </c>
      <c r="K920" s="21" t="s">
        <v>2037</v>
      </c>
      <c r="O920" s="347"/>
      <c r="R920" s="84" t="s">
        <v>779</v>
      </c>
      <c r="Y920" s="20">
        <f t="shared" si="42"/>
        <v>1</v>
      </c>
      <c r="AA920" s="98">
        <f t="shared" si="40"/>
        <v>0.33984000000000059</v>
      </c>
      <c r="AB920" s="98" t="e">
        <f t="shared" si="41"/>
        <v>#VALUE!</v>
      </c>
    </row>
    <row r="921" spans="1:28" ht="22.15" customHeight="1" x14ac:dyDescent="0.25">
      <c r="A921" s="21" t="s">
        <v>255</v>
      </c>
      <c r="B921" s="276" t="s">
        <v>2038</v>
      </c>
      <c r="C921" s="81">
        <v>27</v>
      </c>
      <c r="D921" s="23" t="s">
        <v>2039</v>
      </c>
      <c r="H921" s="346">
        <v>8.9</v>
      </c>
      <c r="I921" s="21">
        <v>7.9598399999999998</v>
      </c>
      <c r="J921" s="23" t="s">
        <v>755</v>
      </c>
      <c r="K921" s="21" t="s">
        <v>2040</v>
      </c>
      <c r="O921" s="347"/>
      <c r="R921" s="84" t="s">
        <v>779</v>
      </c>
      <c r="Y921" s="20">
        <f t="shared" si="42"/>
        <v>1</v>
      </c>
      <c r="AA921" s="98">
        <f t="shared" si="40"/>
        <v>0.94016000000000055</v>
      </c>
      <c r="AB921" s="98" t="e">
        <f t="shared" si="41"/>
        <v>#VALUE!</v>
      </c>
    </row>
    <row r="922" spans="1:28" ht="22.15" customHeight="1" x14ac:dyDescent="0.25">
      <c r="A922" s="21" t="s">
        <v>255</v>
      </c>
      <c r="B922" s="276" t="s">
        <v>2041</v>
      </c>
      <c r="C922" s="81">
        <v>24</v>
      </c>
      <c r="D922" s="23" t="s">
        <v>2042</v>
      </c>
      <c r="H922" s="346">
        <v>8.9</v>
      </c>
      <c r="I922" s="21">
        <v>8.5601599999999998</v>
      </c>
      <c r="J922" s="23" t="s">
        <v>755</v>
      </c>
      <c r="K922" s="21" t="s">
        <v>2043</v>
      </c>
      <c r="O922" s="347"/>
      <c r="R922" s="84" t="s">
        <v>779</v>
      </c>
      <c r="Y922" s="20">
        <f t="shared" si="42"/>
        <v>1</v>
      </c>
      <c r="AA922" s="98">
        <f t="shared" si="40"/>
        <v>0.33984000000000059</v>
      </c>
      <c r="AB922" s="98" t="e">
        <f t="shared" si="41"/>
        <v>#VALUE!</v>
      </c>
    </row>
    <row r="923" spans="1:28" ht="22.15" customHeight="1" x14ac:dyDescent="0.25">
      <c r="A923" s="21" t="s">
        <v>103</v>
      </c>
      <c r="B923" s="276" t="s">
        <v>2044</v>
      </c>
      <c r="C923" s="81">
        <v>25</v>
      </c>
      <c r="D923" s="23" t="s">
        <v>2045</v>
      </c>
      <c r="H923" s="346">
        <v>7.5</v>
      </c>
      <c r="I923" s="21">
        <v>7.45024</v>
      </c>
      <c r="J923" s="23" t="s">
        <v>824</v>
      </c>
      <c r="K923" s="21" t="s">
        <v>2046</v>
      </c>
      <c r="O923" s="347"/>
      <c r="R923" s="84" t="s">
        <v>840</v>
      </c>
      <c r="Y923" s="20">
        <f t="shared" si="42"/>
        <v>1</v>
      </c>
      <c r="AA923" s="98">
        <f t="shared" si="40"/>
        <v>4.9760000000000026E-2</v>
      </c>
      <c r="AB923" s="98" t="e">
        <f t="shared" si="41"/>
        <v>#VALUE!</v>
      </c>
    </row>
    <row r="924" spans="1:28" ht="22.15" customHeight="1" x14ac:dyDescent="0.25">
      <c r="A924" s="21" t="s">
        <v>103</v>
      </c>
      <c r="B924" s="276" t="s">
        <v>2047</v>
      </c>
      <c r="C924" s="81">
        <v>25</v>
      </c>
      <c r="D924" s="23" t="s">
        <v>2048</v>
      </c>
      <c r="H924" s="346">
        <v>7.5</v>
      </c>
      <c r="I924" s="21">
        <v>7.45024</v>
      </c>
      <c r="J924" s="23" t="s">
        <v>824</v>
      </c>
      <c r="K924" s="21" t="s">
        <v>2049</v>
      </c>
      <c r="O924" s="347"/>
      <c r="R924" s="84" t="s">
        <v>840</v>
      </c>
      <c r="Y924" s="20">
        <f t="shared" si="42"/>
        <v>1</v>
      </c>
      <c r="AA924" s="98">
        <f t="shared" si="40"/>
        <v>4.9760000000000026E-2</v>
      </c>
      <c r="AB924" s="98" t="e">
        <f t="shared" si="41"/>
        <v>#VALUE!</v>
      </c>
    </row>
    <row r="925" spans="1:28" ht="22.15" customHeight="1" x14ac:dyDescent="0.25">
      <c r="A925" s="21" t="s">
        <v>103</v>
      </c>
      <c r="B925" s="276" t="s">
        <v>2050</v>
      </c>
      <c r="C925" s="81">
        <v>25</v>
      </c>
      <c r="D925" s="23" t="s">
        <v>2051</v>
      </c>
      <c r="H925" s="346">
        <v>7.5</v>
      </c>
      <c r="I925" s="21">
        <v>6.6203200000000004</v>
      </c>
      <c r="J925" s="23" t="s">
        <v>435</v>
      </c>
      <c r="K925" s="21" t="s">
        <v>2052</v>
      </c>
      <c r="O925" s="347"/>
      <c r="R925" s="84" t="s">
        <v>840</v>
      </c>
      <c r="Y925" s="20">
        <f t="shared" si="42"/>
        <v>1</v>
      </c>
      <c r="AA925" s="98">
        <f t="shared" si="40"/>
        <v>0.87967999999999957</v>
      </c>
      <c r="AB925" s="98" t="e">
        <f t="shared" si="41"/>
        <v>#VALUE!</v>
      </c>
    </row>
    <row r="926" spans="1:28" ht="22.15" customHeight="1" x14ac:dyDescent="0.25">
      <c r="A926" s="21" t="s">
        <v>103</v>
      </c>
      <c r="B926" s="276" t="s">
        <v>2053</v>
      </c>
      <c r="C926" s="81">
        <v>25</v>
      </c>
      <c r="D926" s="23" t="s">
        <v>2054</v>
      </c>
      <c r="H926" s="346">
        <v>7.5</v>
      </c>
      <c r="I926" s="21">
        <v>6.6203200000000004</v>
      </c>
      <c r="J926" s="23" t="s">
        <v>435</v>
      </c>
      <c r="K926" s="21" t="s">
        <v>2055</v>
      </c>
      <c r="O926" s="347"/>
      <c r="R926" s="84" t="s">
        <v>840</v>
      </c>
      <c r="Y926" s="20">
        <f t="shared" si="42"/>
        <v>1</v>
      </c>
      <c r="AA926" s="98">
        <f t="shared" si="40"/>
        <v>0.87967999999999957</v>
      </c>
      <c r="AB926" s="98" t="e">
        <f t="shared" si="41"/>
        <v>#VALUE!</v>
      </c>
    </row>
    <row r="927" spans="1:28" ht="22.15" customHeight="1" x14ac:dyDescent="0.25">
      <c r="A927" s="21" t="s">
        <v>103</v>
      </c>
      <c r="B927" s="276" t="s">
        <v>2056</v>
      </c>
      <c r="C927" s="81">
        <v>25</v>
      </c>
      <c r="D927" s="23" t="s">
        <v>2057</v>
      </c>
      <c r="H927" s="346">
        <v>7.5</v>
      </c>
      <c r="I927" s="21">
        <v>7.45024</v>
      </c>
      <c r="J927" s="23" t="s">
        <v>824</v>
      </c>
      <c r="K927" s="21" t="s">
        <v>2058</v>
      </c>
      <c r="O927" s="347"/>
      <c r="R927" s="84" t="s">
        <v>840</v>
      </c>
      <c r="Y927" s="20">
        <f t="shared" si="42"/>
        <v>1</v>
      </c>
      <c r="AA927" s="98">
        <f t="shared" si="40"/>
        <v>4.9760000000000026E-2</v>
      </c>
      <c r="AB927" s="98" t="e">
        <f t="shared" si="41"/>
        <v>#VALUE!</v>
      </c>
    </row>
    <row r="928" spans="1:28" ht="22.15" customHeight="1" x14ac:dyDescent="0.25">
      <c r="A928" s="21" t="s">
        <v>103</v>
      </c>
      <c r="B928" s="276" t="s">
        <v>2059</v>
      </c>
      <c r="C928" s="81">
        <v>36</v>
      </c>
      <c r="D928" s="23" t="s">
        <v>2060</v>
      </c>
      <c r="H928" s="346">
        <v>12.5</v>
      </c>
      <c r="I928" s="21">
        <v>12.32</v>
      </c>
      <c r="J928" s="23" t="s">
        <v>846</v>
      </c>
      <c r="K928" s="21" t="s">
        <v>2061</v>
      </c>
      <c r="O928" s="347"/>
      <c r="R928" s="84" t="s">
        <v>590</v>
      </c>
      <c r="Y928" s="20">
        <f t="shared" si="42"/>
        <v>1</v>
      </c>
      <c r="AA928" s="98">
        <f t="shared" si="40"/>
        <v>0.17999999999999972</v>
      </c>
      <c r="AB928" s="98" t="e">
        <f t="shared" si="41"/>
        <v>#VALUE!</v>
      </c>
    </row>
    <row r="929" spans="1:28" ht="22.15" customHeight="1" x14ac:dyDescent="0.25">
      <c r="A929" s="21" t="s">
        <v>103</v>
      </c>
      <c r="B929" s="276" t="s">
        <v>2062</v>
      </c>
      <c r="C929" s="81">
        <v>48</v>
      </c>
      <c r="D929" s="23" t="s">
        <v>2063</v>
      </c>
      <c r="H929" s="346">
        <v>36.9</v>
      </c>
      <c r="I929" s="21">
        <v>32.579680000000003</v>
      </c>
      <c r="J929" s="23" t="s">
        <v>435</v>
      </c>
      <c r="K929" s="21" t="s">
        <v>2064</v>
      </c>
      <c r="O929" s="347"/>
      <c r="R929" s="84" t="s">
        <v>712</v>
      </c>
      <c r="Y929" s="20">
        <f t="shared" si="42"/>
        <v>1</v>
      </c>
      <c r="AA929" s="98">
        <f t="shared" si="40"/>
        <v>4.3203199999999953</v>
      </c>
      <c r="AB929" s="98" t="e">
        <f t="shared" si="41"/>
        <v>#VALUE!</v>
      </c>
    </row>
    <row r="930" spans="1:28" ht="22.15" customHeight="1" x14ac:dyDescent="0.25">
      <c r="A930" s="21" t="s">
        <v>103</v>
      </c>
      <c r="B930" s="276" t="s">
        <v>2065</v>
      </c>
      <c r="C930" s="81">
        <v>48</v>
      </c>
      <c r="D930" s="23" t="s">
        <v>2066</v>
      </c>
      <c r="H930" s="346">
        <v>36.9</v>
      </c>
      <c r="I930" s="21">
        <v>32.579680000000003</v>
      </c>
      <c r="J930" s="23" t="s">
        <v>435</v>
      </c>
      <c r="K930" s="21" t="s">
        <v>2067</v>
      </c>
      <c r="O930" s="347"/>
      <c r="R930" s="84" t="s">
        <v>712</v>
      </c>
      <c r="Y930" s="20">
        <f t="shared" si="42"/>
        <v>1</v>
      </c>
      <c r="AA930" s="98">
        <f t="shared" si="40"/>
        <v>4.3203199999999953</v>
      </c>
      <c r="AB930" s="98" t="e">
        <f t="shared" si="41"/>
        <v>#VALUE!</v>
      </c>
    </row>
    <row r="931" spans="1:28" ht="22.15" customHeight="1" x14ac:dyDescent="0.25">
      <c r="A931" s="21" t="s">
        <v>103</v>
      </c>
      <c r="B931" s="276" t="s">
        <v>2068</v>
      </c>
      <c r="C931" s="81">
        <v>48</v>
      </c>
      <c r="D931" s="23" t="s">
        <v>2069</v>
      </c>
      <c r="H931" s="346">
        <v>36.9</v>
      </c>
      <c r="I931" s="21">
        <v>36.064</v>
      </c>
      <c r="J931" s="23" t="s">
        <v>846</v>
      </c>
      <c r="K931" s="21" t="s">
        <v>2070</v>
      </c>
      <c r="O931" s="347"/>
      <c r="R931" s="84" t="s">
        <v>712</v>
      </c>
      <c r="Y931" s="20">
        <f t="shared" si="42"/>
        <v>1</v>
      </c>
      <c r="AA931" s="98">
        <f t="shared" si="40"/>
        <v>0.83599999999999852</v>
      </c>
      <c r="AB931" s="98" t="e">
        <f t="shared" si="41"/>
        <v>#VALUE!</v>
      </c>
    </row>
    <row r="932" spans="1:28" ht="22.15" customHeight="1" x14ac:dyDescent="0.25">
      <c r="A932" s="21" t="s">
        <v>103</v>
      </c>
      <c r="B932" s="276" t="s">
        <v>2071</v>
      </c>
      <c r="C932" s="81">
        <v>48</v>
      </c>
      <c r="D932" s="23" t="s">
        <v>2072</v>
      </c>
      <c r="H932" s="346">
        <v>36.9</v>
      </c>
      <c r="I932" s="21">
        <v>32.579680000000003</v>
      </c>
      <c r="J932" s="23" t="s">
        <v>435</v>
      </c>
      <c r="K932" s="21" t="s">
        <v>2073</v>
      </c>
      <c r="O932" s="347"/>
      <c r="R932" s="84" t="s">
        <v>712</v>
      </c>
      <c r="Y932" s="20">
        <f t="shared" si="42"/>
        <v>1</v>
      </c>
      <c r="AA932" s="98">
        <f t="shared" si="40"/>
        <v>4.3203199999999953</v>
      </c>
      <c r="AB932" s="98" t="e">
        <f t="shared" si="41"/>
        <v>#VALUE!</v>
      </c>
    </row>
    <row r="933" spans="1:28" ht="22.15" customHeight="1" x14ac:dyDescent="0.25">
      <c r="A933" s="21" t="s">
        <v>255</v>
      </c>
      <c r="B933" s="276" t="s">
        <v>2074</v>
      </c>
      <c r="C933" s="81">
        <v>4</v>
      </c>
      <c r="D933" s="23" t="s">
        <v>2075</v>
      </c>
      <c r="H933" s="346">
        <v>41.9</v>
      </c>
      <c r="I933" s="21">
        <v>41.310079999999999</v>
      </c>
      <c r="J933" s="23" t="s">
        <v>856</v>
      </c>
      <c r="K933" s="21" t="s">
        <v>2076</v>
      </c>
      <c r="O933" s="347"/>
      <c r="R933" s="84" t="s">
        <v>738</v>
      </c>
      <c r="Y933" s="20">
        <f t="shared" si="42"/>
        <v>1</v>
      </c>
      <c r="AA933" s="98">
        <f t="shared" si="40"/>
        <v>0.58991999999999933</v>
      </c>
      <c r="AB933" s="98" t="e">
        <f t="shared" si="41"/>
        <v>#VALUE!</v>
      </c>
    </row>
    <row r="934" spans="1:28" ht="22.15" customHeight="1" x14ac:dyDescent="0.25">
      <c r="A934" s="21" t="s">
        <v>769</v>
      </c>
      <c r="B934" s="276" t="s">
        <v>2077</v>
      </c>
      <c r="C934" s="81">
        <v>20</v>
      </c>
      <c r="D934" s="23" t="s">
        <v>2078</v>
      </c>
      <c r="H934" s="346">
        <v>5.5</v>
      </c>
      <c r="I934" s="21">
        <v>5.0803200000000004</v>
      </c>
      <c r="J934" s="23" t="s">
        <v>773</v>
      </c>
      <c r="K934" s="21" t="s">
        <v>2079</v>
      </c>
      <c r="O934" s="347"/>
      <c r="R934" s="84" t="s">
        <v>2080</v>
      </c>
      <c r="Y934" s="20">
        <f t="shared" si="42"/>
        <v>1</v>
      </c>
      <c r="AA934" s="98">
        <f t="shared" si="40"/>
        <v>0.41967999999999961</v>
      </c>
      <c r="AB934" s="98" t="e">
        <f t="shared" si="41"/>
        <v>#VALUE!</v>
      </c>
    </row>
    <row r="935" spans="1:28" ht="22.15" customHeight="1" x14ac:dyDescent="0.25">
      <c r="A935" s="21" t="s">
        <v>769</v>
      </c>
      <c r="B935" s="276" t="s">
        <v>2081</v>
      </c>
      <c r="C935" s="81">
        <v>20</v>
      </c>
      <c r="D935" s="23" t="s">
        <v>2082</v>
      </c>
      <c r="H935" s="346">
        <v>6.5</v>
      </c>
      <c r="I935" s="21">
        <v>5.9998400000000007</v>
      </c>
      <c r="J935" s="23" t="s">
        <v>773</v>
      </c>
      <c r="K935" s="21" t="s">
        <v>2083</v>
      </c>
      <c r="O935" s="347"/>
      <c r="R935" s="84" t="s">
        <v>2084</v>
      </c>
      <c r="Y935" s="20">
        <f t="shared" si="42"/>
        <v>1</v>
      </c>
      <c r="AA935" s="98">
        <f t="shared" si="40"/>
        <v>0.50015999999999927</v>
      </c>
      <c r="AB935" s="98" t="e">
        <f t="shared" si="41"/>
        <v>#VALUE!</v>
      </c>
    </row>
    <row r="936" spans="1:28" ht="22.15" customHeight="1" x14ac:dyDescent="0.25">
      <c r="A936" s="21" t="s">
        <v>769</v>
      </c>
      <c r="B936" s="276" t="s">
        <v>2085</v>
      </c>
      <c r="C936" s="81">
        <v>25</v>
      </c>
      <c r="D936" s="23" t="s">
        <v>2086</v>
      </c>
      <c r="H936" s="346">
        <v>6.5</v>
      </c>
      <c r="I936" s="21">
        <v>6.0704000000000002</v>
      </c>
      <c r="J936" s="23" t="s">
        <v>773</v>
      </c>
      <c r="K936" s="21" t="s">
        <v>2087</v>
      </c>
      <c r="O936" s="347"/>
      <c r="R936" s="84" t="s">
        <v>2084</v>
      </c>
      <c r="Y936" s="20">
        <f t="shared" si="42"/>
        <v>1</v>
      </c>
      <c r="AA936" s="98">
        <f t="shared" si="40"/>
        <v>0.42959999999999976</v>
      </c>
      <c r="AB936" s="98" t="e">
        <f t="shared" si="41"/>
        <v>#VALUE!</v>
      </c>
    </row>
    <row r="937" spans="1:28" ht="22.15" customHeight="1" x14ac:dyDescent="0.25">
      <c r="A937" s="21" t="s">
        <v>769</v>
      </c>
      <c r="B937" s="276" t="s">
        <v>2088</v>
      </c>
      <c r="C937" s="81">
        <v>20</v>
      </c>
      <c r="D937" s="23" t="s">
        <v>2089</v>
      </c>
      <c r="H937" s="346">
        <v>6.5</v>
      </c>
      <c r="I937" s="21">
        <v>6.2798400000000001</v>
      </c>
      <c r="J937" s="23" t="s">
        <v>773</v>
      </c>
      <c r="K937" s="21" t="s">
        <v>2090</v>
      </c>
      <c r="O937" s="347"/>
      <c r="R937" s="84" t="s">
        <v>840</v>
      </c>
      <c r="Y937" s="20">
        <f t="shared" si="42"/>
        <v>1</v>
      </c>
      <c r="AA937" s="98">
        <f t="shared" si="40"/>
        <v>0.22015999999999991</v>
      </c>
      <c r="AB937" s="98" t="e">
        <f t="shared" si="41"/>
        <v>#VALUE!</v>
      </c>
    </row>
    <row r="938" spans="1:28" ht="22.15" customHeight="1" x14ac:dyDescent="0.25">
      <c r="A938" s="21" t="s">
        <v>769</v>
      </c>
      <c r="B938" s="276" t="s">
        <v>2091</v>
      </c>
      <c r="C938" s="81">
        <v>25</v>
      </c>
      <c r="D938" s="23" t="s">
        <v>2092</v>
      </c>
      <c r="H938" s="346">
        <v>7.5</v>
      </c>
      <c r="I938" s="21">
        <v>6.96976</v>
      </c>
      <c r="J938" s="23" t="s">
        <v>773</v>
      </c>
      <c r="K938" s="21" t="s">
        <v>2093</v>
      </c>
      <c r="O938" s="347"/>
      <c r="R938" s="84" t="s">
        <v>1075</v>
      </c>
      <c r="Y938" s="20">
        <f t="shared" si="42"/>
        <v>1</v>
      </c>
      <c r="AA938" s="98">
        <f t="shared" si="40"/>
        <v>0.53024000000000004</v>
      </c>
      <c r="AB938" s="98" t="e">
        <f t="shared" si="41"/>
        <v>#VALUE!</v>
      </c>
    </row>
    <row r="939" spans="1:28" ht="22.15" customHeight="1" x14ac:dyDescent="0.25">
      <c r="A939" s="21" t="s">
        <v>769</v>
      </c>
      <c r="B939" s="276" t="s">
        <v>2094</v>
      </c>
      <c r="C939" s="81">
        <v>20</v>
      </c>
      <c r="D939" s="23" t="s">
        <v>2095</v>
      </c>
      <c r="H939" s="346">
        <v>7.9</v>
      </c>
      <c r="I939" s="21">
        <v>7.6204800000000006</v>
      </c>
      <c r="J939" s="23" t="s">
        <v>773</v>
      </c>
      <c r="K939" s="21" t="s">
        <v>2096</v>
      </c>
      <c r="O939" s="347"/>
      <c r="R939" s="84" t="s">
        <v>409</v>
      </c>
      <c r="Y939" s="20">
        <f t="shared" si="42"/>
        <v>1</v>
      </c>
      <c r="AA939" s="98">
        <f t="shared" si="40"/>
        <v>0.27951999999999977</v>
      </c>
      <c r="AB939" s="98" t="e">
        <f t="shared" si="41"/>
        <v>#VALUE!</v>
      </c>
    </row>
    <row r="940" spans="1:28" ht="22.15" customHeight="1" x14ac:dyDescent="0.25">
      <c r="A940" s="21" t="s">
        <v>103</v>
      </c>
      <c r="B940" s="276" t="s">
        <v>2097</v>
      </c>
      <c r="C940" s="81">
        <v>20</v>
      </c>
      <c r="D940" s="23" t="s">
        <v>2098</v>
      </c>
      <c r="H940" s="346">
        <v>7.9</v>
      </c>
      <c r="I940" s="21">
        <v>7.6204800000000006</v>
      </c>
      <c r="J940" s="23" t="s">
        <v>773</v>
      </c>
      <c r="K940" s="21" t="s">
        <v>2099</v>
      </c>
      <c r="O940" s="347"/>
      <c r="R940" s="84" t="s">
        <v>409</v>
      </c>
      <c r="Y940" s="20">
        <f t="shared" si="42"/>
        <v>1</v>
      </c>
      <c r="AA940" s="98">
        <f t="shared" si="40"/>
        <v>0.27951999999999977</v>
      </c>
      <c r="AB940" s="98" t="e">
        <f t="shared" si="41"/>
        <v>#VALUE!</v>
      </c>
    </row>
    <row r="941" spans="1:28" ht="22.15" customHeight="1" x14ac:dyDescent="0.25">
      <c r="A941" s="21" t="s">
        <v>103</v>
      </c>
      <c r="B941" s="276" t="s">
        <v>2100</v>
      </c>
      <c r="C941" s="81">
        <v>20</v>
      </c>
      <c r="D941" s="23" t="s">
        <v>2101</v>
      </c>
      <c r="H941" s="346">
        <v>7.9</v>
      </c>
      <c r="I941" s="21">
        <v>7.8097600000000007</v>
      </c>
      <c r="J941" s="23" t="s">
        <v>773</v>
      </c>
      <c r="K941" s="21" t="s">
        <v>2102</v>
      </c>
      <c r="O941" s="347"/>
      <c r="R941" s="84" t="s">
        <v>779</v>
      </c>
      <c r="Y941" s="20">
        <f t="shared" si="42"/>
        <v>1</v>
      </c>
      <c r="AA941" s="98">
        <f t="shared" si="40"/>
        <v>9.0239999999999654E-2</v>
      </c>
      <c r="AB941" s="98" t="e">
        <f t="shared" si="41"/>
        <v>#VALUE!</v>
      </c>
    </row>
    <row r="942" spans="1:28" ht="22.15" customHeight="1" x14ac:dyDescent="0.25">
      <c r="A942" s="21" t="s">
        <v>769</v>
      </c>
      <c r="B942" s="276" t="s">
        <v>2103</v>
      </c>
      <c r="C942" s="81">
        <v>20</v>
      </c>
      <c r="D942" s="23" t="s">
        <v>2104</v>
      </c>
      <c r="H942" s="346">
        <v>8.5</v>
      </c>
      <c r="I942" s="21">
        <v>7.9004799999999999</v>
      </c>
      <c r="J942" s="23" t="s">
        <v>773</v>
      </c>
      <c r="K942" s="21" t="s">
        <v>2105</v>
      </c>
      <c r="O942" s="347"/>
      <c r="R942" s="84" t="s">
        <v>409</v>
      </c>
      <c r="Y942" s="20">
        <f t="shared" si="42"/>
        <v>1</v>
      </c>
      <c r="AA942" s="98">
        <f t="shared" ref="AA942:AA1005" si="43">H942-I942</f>
        <v>0.59952000000000005</v>
      </c>
      <c r="AB942" s="98" t="e">
        <f t="shared" ref="AB942:AB1005" si="44">R942-H942</f>
        <v>#VALUE!</v>
      </c>
    </row>
    <row r="943" spans="1:28" ht="22.15" customHeight="1" x14ac:dyDescent="0.25">
      <c r="A943" s="21" t="s">
        <v>769</v>
      </c>
      <c r="B943" s="276" t="s">
        <v>2106</v>
      </c>
      <c r="C943" s="81">
        <v>20</v>
      </c>
      <c r="D943" s="23" t="s">
        <v>2107</v>
      </c>
      <c r="H943" s="346">
        <v>8.5</v>
      </c>
      <c r="I943" s="21">
        <v>8.1502400000000002</v>
      </c>
      <c r="J943" s="23" t="s">
        <v>773</v>
      </c>
      <c r="K943" s="21" t="s">
        <v>2108</v>
      </c>
      <c r="O943" s="347"/>
      <c r="R943" s="84" t="s">
        <v>2109</v>
      </c>
      <c r="Y943" s="20">
        <f t="shared" si="42"/>
        <v>1</v>
      </c>
      <c r="AA943" s="98">
        <f t="shared" si="43"/>
        <v>0.34975999999999985</v>
      </c>
      <c r="AB943" s="98" t="e">
        <f t="shared" si="44"/>
        <v>#VALUE!</v>
      </c>
    </row>
    <row r="944" spans="1:28" ht="22.15" customHeight="1" x14ac:dyDescent="0.25">
      <c r="A944" s="21" t="s">
        <v>103</v>
      </c>
      <c r="B944" s="276" t="s">
        <v>2110</v>
      </c>
      <c r="C944" s="81">
        <v>25</v>
      </c>
      <c r="D944" s="23" t="s">
        <v>2111</v>
      </c>
      <c r="H944" s="346">
        <v>8.5</v>
      </c>
      <c r="I944" s="21">
        <v>8.1502400000000002</v>
      </c>
      <c r="J944" s="23" t="s">
        <v>773</v>
      </c>
      <c r="K944" s="21" t="s">
        <v>2112</v>
      </c>
      <c r="O944" s="347"/>
      <c r="R944" s="84" t="s">
        <v>2109</v>
      </c>
      <c r="Y944" s="20">
        <f t="shared" si="42"/>
        <v>1</v>
      </c>
      <c r="AA944" s="98">
        <f t="shared" si="43"/>
        <v>0.34975999999999985</v>
      </c>
      <c r="AB944" s="98" t="e">
        <f t="shared" si="44"/>
        <v>#VALUE!</v>
      </c>
    </row>
    <row r="945" spans="1:28" ht="22.15" customHeight="1" x14ac:dyDescent="0.25">
      <c r="A945" s="21" t="s">
        <v>769</v>
      </c>
      <c r="B945" s="276" t="s">
        <v>2113</v>
      </c>
      <c r="C945" s="81">
        <v>15</v>
      </c>
      <c r="D945" s="23" t="s">
        <v>2114</v>
      </c>
      <c r="H945" s="346">
        <v>8.9</v>
      </c>
      <c r="I945" s="21">
        <v>8.5803200000000004</v>
      </c>
      <c r="J945" s="23" t="s">
        <v>773</v>
      </c>
      <c r="K945" s="21" t="s">
        <v>2115</v>
      </c>
      <c r="O945" s="347"/>
      <c r="R945" s="84" t="s">
        <v>641</v>
      </c>
      <c r="Y945" s="20">
        <f t="shared" si="42"/>
        <v>1</v>
      </c>
      <c r="AA945" s="98">
        <f t="shared" si="43"/>
        <v>0.31967999999999996</v>
      </c>
      <c r="AB945" s="98" t="e">
        <f t="shared" si="44"/>
        <v>#VALUE!</v>
      </c>
    </row>
    <row r="946" spans="1:28" ht="22.15" customHeight="1" x14ac:dyDescent="0.25">
      <c r="A946" s="21" t="s">
        <v>731</v>
      </c>
      <c r="B946" s="276" t="s">
        <v>2116</v>
      </c>
      <c r="C946" s="81">
        <v>25</v>
      </c>
      <c r="D946" s="23" t="s">
        <v>2117</v>
      </c>
      <c r="H946" s="346">
        <v>9.5</v>
      </c>
      <c r="I946" s="21">
        <v>8.9499200000000005</v>
      </c>
      <c r="J946" s="23" t="s">
        <v>773</v>
      </c>
      <c r="K946" s="21" t="s">
        <v>2118</v>
      </c>
      <c r="O946" s="347"/>
      <c r="R946" s="84" t="s">
        <v>409</v>
      </c>
      <c r="Y946" s="20">
        <f t="shared" si="42"/>
        <v>1</v>
      </c>
      <c r="AA946" s="98">
        <f t="shared" si="43"/>
        <v>0.55007999999999946</v>
      </c>
      <c r="AB946" s="98" t="e">
        <f t="shared" si="44"/>
        <v>#VALUE!</v>
      </c>
    </row>
    <row r="947" spans="1:28" ht="22.15" customHeight="1" x14ac:dyDescent="0.25">
      <c r="A947" s="21" t="s">
        <v>769</v>
      </c>
      <c r="B947" s="276" t="s">
        <v>2119</v>
      </c>
      <c r="C947" s="81">
        <v>20</v>
      </c>
      <c r="D947" s="23" t="s">
        <v>2120</v>
      </c>
      <c r="H947" s="346">
        <v>9.5</v>
      </c>
      <c r="I947" s="21">
        <v>8.9801599999999997</v>
      </c>
      <c r="J947" s="23" t="s">
        <v>773</v>
      </c>
      <c r="K947" s="21" t="s">
        <v>2121</v>
      </c>
      <c r="O947" s="347"/>
      <c r="R947" s="84" t="s">
        <v>409</v>
      </c>
      <c r="Y947" s="20">
        <f t="shared" si="42"/>
        <v>1</v>
      </c>
      <c r="AA947" s="98">
        <f t="shared" si="43"/>
        <v>0.5198400000000003</v>
      </c>
      <c r="AB947" s="98" t="e">
        <f t="shared" si="44"/>
        <v>#VALUE!</v>
      </c>
    </row>
    <row r="948" spans="1:28" ht="22.15" customHeight="1" x14ac:dyDescent="0.25">
      <c r="A948" s="21" t="s">
        <v>769</v>
      </c>
      <c r="B948" s="276" t="s">
        <v>2122</v>
      </c>
      <c r="C948" s="81">
        <v>25</v>
      </c>
      <c r="D948" s="23" t="s">
        <v>2123</v>
      </c>
      <c r="H948" s="346">
        <v>9.9</v>
      </c>
      <c r="I948" s="21">
        <v>9.59056</v>
      </c>
      <c r="J948" s="23" t="s">
        <v>773</v>
      </c>
      <c r="K948" s="21" t="s">
        <v>2124</v>
      </c>
      <c r="O948" s="347"/>
      <c r="R948" s="84" t="s">
        <v>2109</v>
      </c>
      <c r="Y948" s="20">
        <f t="shared" si="42"/>
        <v>1</v>
      </c>
      <c r="AA948" s="98">
        <f t="shared" si="43"/>
        <v>0.30944000000000038</v>
      </c>
      <c r="AB948" s="98" t="e">
        <f t="shared" si="44"/>
        <v>#VALUE!</v>
      </c>
    </row>
    <row r="949" spans="1:28" ht="22.15" customHeight="1" x14ac:dyDescent="0.25">
      <c r="A949" s="21" t="s">
        <v>815</v>
      </c>
      <c r="B949" s="276" t="s">
        <v>2125</v>
      </c>
      <c r="C949" s="81">
        <v>20</v>
      </c>
      <c r="D949" s="23" t="s">
        <v>2126</v>
      </c>
      <c r="H949" s="346">
        <v>9.9</v>
      </c>
      <c r="I949" s="21">
        <v>9.8000000000000007</v>
      </c>
      <c r="J949" s="23" t="s">
        <v>773</v>
      </c>
      <c r="K949" s="21" t="s">
        <v>2127</v>
      </c>
      <c r="O949" s="347"/>
      <c r="R949" s="84" t="s">
        <v>1116</v>
      </c>
      <c r="Y949" s="20">
        <f t="shared" si="42"/>
        <v>1</v>
      </c>
      <c r="AA949" s="98">
        <f t="shared" si="43"/>
        <v>9.9999999999999645E-2</v>
      </c>
      <c r="AB949" s="98" t="e">
        <f t="shared" si="44"/>
        <v>#VALUE!</v>
      </c>
    </row>
    <row r="950" spans="1:28" ht="22.15" customHeight="1" x14ac:dyDescent="0.25">
      <c r="A950" s="21" t="s">
        <v>815</v>
      </c>
      <c r="B950" s="276" t="s">
        <v>2128</v>
      </c>
      <c r="C950" s="81">
        <v>20</v>
      </c>
      <c r="D950" s="23" t="s">
        <v>2129</v>
      </c>
      <c r="H950" s="346">
        <v>9.9</v>
      </c>
      <c r="I950" s="21">
        <v>9.8895999999999997</v>
      </c>
      <c r="J950" s="23" t="s">
        <v>773</v>
      </c>
      <c r="K950" s="21" t="s">
        <v>2130</v>
      </c>
      <c r="O950" s="347"/>
      <c r="R950" s="84" t="s">
        <v>1116</v>
      </c>
      <c r="Y950" s="20">
        <f t="shared" si="42"/>
        <v>1</v>
      </c>
      <c r="AA950" s="98">
        <f t="shared" si="43"/>
        <v>1.0400000000000631E-2</v>
      </c>
      <c r="AB950" s="98" t="e">
        <f t="shared" si="44"/>
        <v>#VALUE!</v>
      </c>
    </row>
    <row r="951" spans="1:28" ht="22.15" customHeight="1" x14ac:dyDescent="0.25">
      <c r="A951" s="21" t="s">
        <v>103</v>
      </c>
      <c r="B951" s="276" t="s">
        <v>2131</v>
      </c>
      <c r="C951" s="81">
        <v>25</v>
      </c>
      <c r="D951" s="23" t="s">
        <v>2132</v>
      </c>
      <c r="H951" s="346">
        <v>9.9</v>
      </c>
      <c r="I951" s="21">
        <v>9.8895999999999997</v>
      </c>
      <c r="J951" s="23" t="s">
        <v>773</v>
      </c>
      <c r="K951" s="21" t="s">
        <v>2133</v>
      </c>
      <c r="O951" s="347"/>
      <c r="R951" s="84" t="s">
        <v>1116</v>
      </c>
      <c r="Y951" s="20">
        <f t="shared" si="42"/>
        <v>1</v>
      </c>
      <c r="AA951" s="98">
        <f t="shared" si="43"/>
        <v>1.0400000000000631E-2</v>
      </c>
      <c r="AB951" s="98" t="e">
        <f t="shared" si="44"/>
        <v>#VALUE!</v>
      </c>
    </row>
    <row r="952" spans="1:28" ht="22.15" customHeight="1" x14ac:dyDescent="0.25">
      <c r="A952" s="21" t="s">
        <v>731</v>
      </c>
      <c r="B952" s="276" t="s">
        <v>2134</v>
      </c>
      <c r="C952" s="81">
        <v>20</v>
      </c>
      <c r="D952" s="23" t="s">
        <v>2135</v>
      </c>
      <c r="H952" s="346">
        <v>10.5</v>
      </c>
      <c r="I952" s="21">
        <v>10.20992</v>
      </c>
      <c r="J952" s="23" t="s">
        <v>773</v>
      </c>
      <c r="K952" s="21" t="s">
        <v>2136</v>
      </c>
      <c r="O952" s="347"/>
      <c r="R952" s="84" t="s">
        <v>832</v>
      </c>
      <c r="Y952" s="20">
        <f t="shared" si="42"/>
        <v>1</v>
      </c>
      <c r="AA952" s="98">
        <f t="shared" si="43"/>
        <v>0.29007999999999967</v>
      </c>
      <c r="AB952" s="98" t="e">
        <f t="shared" si="44"/>
        <v>#VALUE!</v>
      </c>
    </row>
    <row r="953" spans="1:28" ht="22.15" customHeight="1" x14ac:dyDescent="0.25">
      <c r="A953" s="21" t="s">
        <v>103</v>
      </c>
      <c r="B953" s="276" t="s">
        <v>2137</v>
      </c>
      <c r="C953" s="81">
        <v>15</v>
      </c>
      <c r="D953" s="23" t="s">
        <v>2138</v>
      </c>
      <c r="H953" s="346">
        <v>11.5</v>
      </c>
      <c r="I953" s="21">
        <v>10.99952</v>
      </c>
      <c r="J953" s="23" t="s">
        <v>773</v>
      </c>
      <c r="K953" s="21" t="s">
        <v>2139</v>
      </c>
      <c r="O953" s="347"/>
      <c r="R953" s="84" t="s">
        <v>590</v>
      </c>
      <c r="Y953" s="20">
        <f t="shared" si="42"/>
        <v>1</v>
      </c>
      <c r="AA953" s="98">
        <f t="shared" si="43"/>
        <v>0.50047999999999959</v>
      </c>
      <c r="AB953" s="98" t="e">
        <f t="shared" si="44"/>
        <v>#VALUE!</v>
      </c>
    </row>
    <row r="954" spans="1:28" ht="22.15" customHeight="1" x14ac:dyDescent="0.25">
      <c r="A954" s="21" t="s">
        <v>655</v>
      </c>
      <c r="B954" s="80" t="s">
        <v>2140</v>
      </c>
      <c r="C954" s="81">
        <v>12</v>
      </c>
      <c r="D954" s="23" t="s">
        <v>2141</v>
      </c>
      <c r="H954" s="346">
        <v>17.899999999999999</v>
      </c>
      <c r="I954" s="21">
        <v>17.85952</v>
      </c>
      <c r="J954" s="23" t="s">
        <v>109</v>
      </c>
      <c r="K954" s="86" t="s">
        <v>2142</v>
      </c>
      <c r="L954" s="86"/>
      <c r="M954" s="86"/>
      <c r="O954" s="347"/>
      <c r="R954" s="84" t="s">
        <v>645</v>
      </c>
      <c r="Y954" s="20">
        <f t="shared" si="42"/>
        <v>1</v>
      </c>
      <c r="AA954" s="98">
        <f t="shared" si="43"/>
        <v>4.0479999999998739E-2</v>
      </c>
      <c r="AB954" s="98" t="e">
        <f t="shared" si="44"/>
        <v>#VALUE!</v>
      </c>
    </row>
    <row r="955" spans="1:28" ht="22.15" customHeight="1" x14ac:dyDescent="0.25">
      <c r="A955" s="21" t="s">
        <v>655</v>
      </c>
      <c r="B955" s="80" t="s">
        <v>2143</v>
      </c>
      <c r="C955" s="81">
        <v>12</v>
      </c>
      <c r="D955" s="23" t="s">
        <v>2144</v>
      </c>
      <c r="H955" s="346">
        <v>17.899999999999999</v>
      </c>
      <c r="I955" s="21">
        <v>17.85952</v>
      </c>
      <c r="J955" s="23" t="s">
        <v>109</v>
      </c>
      <c r="K955" s="86" t="s">
        <v>2145</v>
      </c>
      <c r="L955" s="86"/>
      <c r="M955" s="86"/>
      <c r="O955" s="347"/>
      <c r="R955" s="84" t="s">
        <v>645</v>
      </c>
      <c r="Y955" s="20">
        <f t="shared" si="42"/>
        <v>1</v>
      </c>
      <c r="AA955" s="98">
        <f t="shared" si="43"/>
        <v>4.0479999999998739E-2</v>
      </c>
      <c r="AB955" s="98" t="e">
        <f t="shared" si="44"/>
        <v>#VALUE!</v>
      </c>
    </row>
    <row r="956" spans="1:28" ht="22.15" customHeight="1" x14ac:dyDescent="0.25">
      <c r="A956" s="21" t="s">
        <v>655</v>
      </c>
      <c r="B956" s="80" t="s">
        <v>2146</v>
      </c>
      <c r="C956" s="81">
        <v>12</v>
      </c>
      <c r="D956" s="23" t="s">
        <v>2147</v>
      </c>
      <c r="H956" s="346">
        <v>17.899999999999999</v>
      </c>
      <c r="I956" s="21">
        <v>17.85952</v>
      </c>
      <c r="J956" s="23" t="s">
        <v>109</v>
      </c>
      <c r="K956" s="86" t="s">
        <v>2148</v>
      </c>
      <c r="L956" s="86"/>
      <c r="M956" s="86"/>
      <c r="O956" s="347"/>
      <c r="R956" s="84" t="s">
        <v>645</v>
      </c>
      <c r="Y956" s="20">
        <f t="shared" si="42"/>
        <v>1</v>
      </c>
      <c r="AA956" s="98">
        <f t="shared" si="43"/>
        <v>4.0479999999998739E-2</v>
      </c>
      <c r="AB956" s="98" t="e">
        <f t="shared" si="44"/>
        <v>#VALUE!</v>
      </c>
    </row>
    <row r="957" spans="1:28" ht="22.15" customHeight="1" x14ac:dyDescent="0.25">
      <c r="A957" s="21" t="s">
        <v>103</v>
      </c>
      <c r="B957" s="276" t="s">
        <v>2149</v>
      </c>
      <c r="C957" s="81">
        <v>10</v>
      </c>
      <c r="D957" s="23" t="s">
        <v>2150</v>
      </c>
      <c r="H957" s="346">
        <v>39.9</v>
      </c>
      <c r="I957" s="21">
        <v>37.389000000000003</v>
      </c>
      <c r="J957" s="23" t="s">
        <v>962</v>
      </c>
      <c r="K957" s="21" t="s">
        <v>2151</v>
      </c>
      <c r="O957" s="347"/>
      <c r="R957" s="84">
        <v>41.9</v>
      </c>
      <c r="Y957" s="20">
        <f t="shared" si="42"/>
        <v>1</v>
      </c>
      <c r="AA957" s="98">
        <f t="shared" si="43"/>
        <v>2.5109999999999957</v>
      </c>
      <c r="AB957" s="98">
        <f t="shared" si="44"/>
        <v>2</v>
      </c>
    </row>
    <row r="958" spans="1:28" ht="22.15" customHeight="1" x14ac:dyDescent="0.25">
      <c r="A958" s="21" t="s">
        <v>103</v>
      </c>
      <c r="B958" s="276" t="s">
        <v>2152</v>
      </c>
      <c r="C958" s="81">
        <v>10</v>
      </c>
      <c r="D958" s="23" t="s">
        <v>2153</v>
      </c>
      <c r="H958" s="346">
        <v>39.9</v>
      </c>
      <c r="I958" s="21">
        <v>37.389000000000003</v>
      </c>
      <c r="J958" s="23" t="s">
        <v>962</v>
      </c>
      <c r="K958" s="21" t="s">
        <v>2154</v>
      </c>
      <c r="O958" s="347"/>
      <c r="R958" s="84">
        <v>41.9</v>
      </c>
      <c r="Y958" s="20">
        <f t="shared" si="42"/>
        <v>1</v>
      </c>
      <c r="AA958" s="98">
        <f t="shared" si="43"/>
        <v>2.5109999999999957</v>
      </c>
      <c r="AB958" s="98">
        <f t="shared" si="44"/>
        <v>2</v>
      </c>
    </row>
    <row r="959" spans="1:28" ht="22.15" customHeight="1" x14ac:dyDescent="0.25">
      <c r="A959" s="21" t="s">
        <v>103</v>
      </c>
      <c r="B959" s="276" t="s">
        <v>2155</v>
      </c>
      <c r="C959" s="81">
        <v>10</v>
      </c>
      <c r="D959" s="23" t="s">
        <v>2156</v>
      </c>
      <c r="H959" s="346">
        <v>39.9</v>
      </c>
      <c r="I959" s="21">
        <v>37.389000000000003</v>
      </c>
      <c r="J959" s="23" t="s">
        <v>962</v>
      </c>
      <c r="K959" s="21" t="s">
        <v>2157</v>
      </c>
      <c r="O959" s="347"/>
      <c r="R959" s="84">
        <v>41.9</v>
      </c>
      <c r="Y959" s="20">
        <f t="shared" si="42"/>
        <v>1</v>
      </c>
      <c r="AA959" s="98">
        <f t="shared" si="43"/>
        <v>2.5109999999999957</v>
      </c>
      <c r="AB959" s="98">
        <f t="shared" si="44"/>
        <v>2</v>
      </c>
    </row>
    <row r="960" spans="1:28" ht="22.15" customHeight="1" x14ac:dyDescent="0.25">
      <c r="A960" s="21" t="s">
        <v>103</v>
      </c>
      <c r="B960" s="276" t="s">
        <v>2158</v>
      </c>
      <c r="C960" s="81">
        <v>6</v>
      </c>
      <c r="D960" s="23" t="s">
        <v>2159</v>
      </c>
      <c r="H960" s="346">
        <v>136.9</v>
      </c>
      <c r="I960" s="21">
        <v>127.05</v>
      </c>
      <c r="J960" s="23" t="s">
        <v>899</v>
      </c>
      <c r="K960" s="21" t="s">
        <v>2160</v>
      </c>
      <c r="O960" s="347"/>
      <c r="R960" s="84">
        <v>144.9</v>
      </c>
      <c r="Y960" s="20">
        <f t="shared" si="42"/>
        <v>1</v>
      </c>
      <c r="AA960" s="98">
        <f t="shared" si="43"/>
        <v>9.8500000000000085</v>
      </c>
      <c r="AB960" s="98">
        <f t="shared" si="44"/>
        <v>8</v>
      </c>
    </row>
    <row r="961" spans="1:28" ht="22.15" customHeight="1" x14ac:dyDescent="0.25">
      <c r="A961" s="21" t="s">
        <v>103</v>
      </c>
      <c r="B961" s="276" t="s">
        <v>2161</v>
      </c>
      <c r="C961" s="81">
        <v>6</v>
      </c>
      <c r="D961" s="23" t="s">
        <v>2162</v>
      </c>
      <c r="H961" s="346">
        <v>136.9</v>
      </c>
      <c r="I961" s="21">
        <v>127.05</v>
      </c>
      <c r="J961" s="23" t="s">
        <v>899</v>
      </c>
      <c r="K961" s="21" t="s">
        <v>2163</v>
      </c>
      <c r="O961" s="347"/>
      <c r="R961" s="84">
        <v>144.9</v>
      </c>
      <c r="Y961" s="20">
        <f t="shared" si="42"/>
        <v>1</v>
      </c>
      <c r="AA961" s="98">
        <f t="shared" si="43"/>
        <v>9.8500000000000085</v>
      </c>
      <c r="AB961" s="98">
        <f t="shared" si="44"/>
        <v>8</v>
      </c>
    </row>
    <row r="962" spans="1:28" ht="22.15" customHeight="1" x14ac:dyDescent="0.25">
      <c r="A962" s="21">
        <v>999</v>
      </c>
      <c r="B962" s="276" t="s">
        <v>2164</v>
      </c>
      <c r="C962" s="81">
        <v>12</v>
      </c>
      <c r="D962" s="23" t="s">
        <v>2165</v>
      </c>
      <c r="H962" s="346">
        <v>36.5</v>
      </c>
      <c r="I962" s="21">
        <v>34.396999999999998</v>
      </c>
      <c r="J962" s="23" t="s">
        <v>1151</v>
      </c>
      <c r="K962" s="21" t="s">
        <v>2166</v>
      </c>
      <c r="O962" s="347">
        <v>34.396999999999998</v>
      </c>
      <c r="P962" s="87" t="s">
        <v>2167</v>
      </c>
      <c r="R962" s="84" t="s">
        <v>334</v>
      </c>
      <c r="Y962" s="20">
        <f t="shared" si="42"/>
        <v>1</v>
      </c>
      <c r="AA962" s="98">
        <f t="shared" si="43"/>
        <v>2.1030000000000015</v>
      </c>
      <c r="AB962" s="98" t="e">
        <f t="shared" si="44"/>
        <v>#VALUE!</v>
      </c>
    </row>
    <row r="963" spans="1:28" ht="22.15" customHeight="1" x14ac:dyDescent="0.25">
      <c r="A963" s="21" t="s">
        <v>1141</v>
      </c>
      <c r="B963" s="276">
        <v>5900516111359</v>
      </c>
      <c r="C963" s="81">
        <v>24</v>
      </c>
      <c r="D963" s="23" t="s">
        <v>2168</v>
      </c>
      <c r="H963" s="346">
        <v>20.9</v>
      </c>
      <c r="I963" s="21">
        <v>19.940000000000001</v>
      </c>
      <c r="J963" s="23" t="s">
        <v>1145</v>
      </c>
      <c r="K963" s="21">
        <v>7122771</v>
      </c>
      <c r="O963" s="347">
        <v>19.940000000000001</v>
      </c>
      <c r="P963" s="87" t="s">
        <v>2169</v>
      </c>
      <c r="R963" s="84" t="s">
        <v>2170</v>
      </c>
      <c r="Y963" s="20">
        <f t="shared" si="42"/>
        <v>1</v>
      </c>
      <c r="AA963" s="98">
        <f t="shared" si="43"/>
        <v>0.9599999999999973</v>
      </c>
      <c r="AB963" s="98" t="e">
        <f t="shared" si="44"/>
        <v>#VALUE!</v>
      </c>
    </row>
    <row r="964" spans="1:28" ht="22.15" customHeight="1" x14ac:dyDescent="0.25">
      <c r="A964" s="21" t="s">
        <v>1141</v>
      </c>
      <c r="B964" s="276">
        <v>5900516113841</v>
      </c>
      <c r="C964" s="81">
        <v>12</v>
      </c>
      <c r="D964" s="23" t="s">
        <v>2171</v>
      </c>
      <c r="H964" s="346">
        <v>28.9</v>
      </c>
      <c r="I964" s="21">
        <v>27.57</v>
      </c>
      <c r="J964" s="23" t="s">
        <v>1145</v>
      </c>
      <c r="K964" s="21">
        <v>7122773</v>
      </c>
      <c r="O964" s="347">
        <v>27.57</v>
      </c>
      <c r="P964" s="87" t="s">
        <v>2169</v>
      </c>
      <c r="R964" s="84" t="s">
        <v>2172</v>
      </c>
      <c r="Y964" s="20">
        <f t="shared" si="42"/>
        <v>1</v>
      </c>
      <c r="AA964" s="98">
        <f t="shared" si="43"/>
        <v>1.3299999999999983</v>
      </c>
      <c r="AB964" s="98" t="e">
        <f t="shared" si="44"/>
        <v>#VALUE!</v>
      </c>
    </row>
    <row r="965" spans="1:28" ht="22.15" customHeight="1" x14ac:dyDescent="0.25">
      <c r="A965" s="21" t="s">
        <v>1141</v>
      </c>
      <c r="B965" s="276">
        <v>5900516402877</v>
      </c>
      <c r="C965" s="81">
        <v>12</v>
      </c>
      <c r="D965" s="23" t="s">
        <v>2173</v>
      </c>
      <c r="H965" s="346">
        <v>31.9</v>
      </c>
      <c r="I965" s="21">
        <v>29.548200000000001</v>
      </c>
      <c r="J965" s="23" t="s">
        <v>1145</v>
      </c>
      <c r="K965" s="21" t="s">
        <v>2174</v>
      </c>
      <c r="O965" s="347">
        <v>29.548200000000001</v>
      </c>
      <c r="P965" s="87" t="s">
        <v>2175</v>
      </c>
      <c r="R965" s="84" t="s">
        <v>791</v>
      </c>
      <c r="Y965" s="20">
        <f t="shared" si="42"/>
        <v>1</v>
      </c>
      <c r="AA965" s="98">
        <f t="shared" si="43"/>
        <v>2.3517999999999972</v>
      </c>
      <c r="AB965" s="98" t="e">
        <f t="shared" si="44"/>
        <v>#VALUE!</v>
      </c>
    </row>
    <row r="966" spans="1:28" ht="22.15" customHeight="1" x14ac:dyDescent="0.25">
      <c r="B966" s="276">
        <v>5900649085534</v>
      </c>
      <c r="C966" s="81">
        <v>7</v>
      </c>
      <c r="D966" s="23" t="s">
        <v>2176</v>
      </c>
      <c r="H966" s="346">
        <v>9.5</v>
      </c>
      <c r="I966" s="21">
        <v>8.85</v>
      </c>
      <c r="J966" s="23" t="s">
        <v>363</v>
      </c>
      <c r="K966" s="21">
        <v>1052000</v>
      </c>
      <c r="O966" s="347">
        <v>347</v>
      </c>
      <c r="P966" s="87">
        <v>1</v>
      </c>
      <c r="Q966" s="87">
        <v>1</v>
      </c>
      <c r="R966" s="84">
        <v>10.199999999999999</v>
      </c>
      <c r="Y966" s="20">
        <f t="shared" si="42"/>
        <v>1</v>
      </c>
      <c r="AA966" s="98">
        <f t="shared" si="43"/>
        <v>0.65000000000000036</v>
      </c>
      <c r="AB966" s="98">
        <f t="shared" si="44"/>
        <v>0.69999999999999929</v>
      </c>
    </row>
    <row r="967" spans="1:28" ht="22.15" customHeight="1" x14ac:dyDescent="0.25">
      <c r="B967" s="276">
        <v>5900649085510</v>
      </c>
      <c r="C967" s="81">
        <v>7</v>
      </c>
      <c r="D967" s="23" t="s">
        <v>2177</v>
      </c>
      <c r="H967" s="346">
        <v>9.5</v>
      </c>
      <c r="I967" s="21">
        <v>8.85</v>
      </c>
      <c r="J967" s="23" t="s">
        <v>363</v>
      </c>
      <c r="K967" s="21">
        <v>1051999</v>
      </c>
      <c r="O967" s="347">
        <v>373</v>
      </c>
      <c r="P967" s="87">
        <v>1</v>
      </c>
      <c r="Q967" s="87">
        <v>1</v>
      </c>
      <c r="R967" s="84">
        <v>10.199999999999999</v>
      </c>
      <c r="Y967" s="20">
        <f t="shared" ref="Y967:Y999" si="45">COUNTIF(K:K,K967)</f>
        <v>1</v>
      </c>
      <c r="AA967" s="98">
        <f t="shared" si="43"/>
        <v>0.65000000000000036</v>
      </c>
      <c r="AB967" s="98">
        <f t="shared" si="44"/>
        <v>0.69999999999999929</v>
      </c>
    </row>
    <row r="968" spans="1:28" ht="22.15" customHeight="1" x14ac:dyDescent="0.25">
      <c r="B968" s="276">
        <v>5900649084070</v>
      </c>
      <c r="C968" s="81">
        <v>7</v>
      </c>
      <c r="D968" s="23" t="s">
        <v>2178</v>
      </c>
      <c r="H968" s="346">
        <v>9.5</v>
      </c>
      <c r="I968" s="21">
        <v>8.85</v>
      </c>
      <c r="J968" s="23" t="s">
        <v>363</v>
      </c>
      <c r="K968" s="21">
        <v>1051998</v>
      </c>
      <c r="O968" s="347">
        <v>241</v>
      </c>
      <c r="P968" s="87">
        <v>1</v>
      </c>
      <c r="Q968" s="87">
        <v>1</v>
      </c>
      <c r="R968" s="84">
        <v>10.199999999999999</v>
      </c>
      <c r="Y968" s="20">
        <f t="shared" si="45"/>
        <v>1</v>
      </c>
      <c r="AA968" s="98">
        <f t="shared" si="43"/>
        <v>0.65000000000000036</v>
      </c>
      <c r="AB968" s="98">
        <f t="shared" si="44"/>
        <v>0.69999999999999929</v>
      </c>
    </row>
    <row r="969" spans="1:28" ht="22.15" customHeight="1" x14ac:dyDescent="0.25">
      <c r="B969" s="276">
        <v>5900649084063</v>
      </c>
      <c r="C969" s="81">
        <v>7</v>
      </c>
      <c r="D969" s="23" t="s">
        <v>2179</v>
      </c>
      <c r="H969" s="346">
        <v>9.5</v>
      </c>
      <c r="I969" s="21">
        <v>8.85</v>
      </c>
      <c r="J969" s="23" t="s">
        <v>363</v>
      </c>
      <c r="K969" s="21">
        <v>1051997</v>
      </c>
      <c r="O969" s="347">
        <v>282</v>
      </c>
      <c r="P969" s="87">
        <v>1</v>
      </c>
      <c r="Q969" s="87">
        <v>1</v>
      </c>
      <c r="R969" s="84">
        <v>10.199999999999999</v>
      </c>
      <c r="Y969" s="20">
        <f t="shared" si="45"/>
        <v>1</v>
      </c>
      <c r="AA969" s="98">
        <f t="shared" si="43"/>
        <v>0.65000000000000036</v>
      </c>
      <c r="AB969" s="98">
        <f t="shared" si="44"/>
        <v>0.69999999999999929</v>
      </c>
    </row>
    <row r="970" spans="1:28" ht="22.15" customHeight="1" x14ac:dyDescent="0.25">
      <c r="B970" s="276">
        <v>8445290140227</v>
      </c>
      <c r="C970" s="81">
        <v>18</v>
      </c>
      <c r="D970" s="23" t="s">
        <v>2180</v>
      </c>
      <c r="H970" s="346">
        <v>84.9</v>
      </c>
      <c r="I970" s="21">
        <v>82.28</v>
      </c>
      <c r="J970" s="23" t="s">
        <v>421</v>
      </c>
      <c r="K970" s="21">
        <v>1051508</v>
      </c>
      <c r="O970" s="347">
        <v>401</v>
      </c>
      <c r="P970" s="87">
        <v>1</v>
      </c>
      <c r="Q970" s="87">
        <v>1</v>
      </c>
      <c r="R970" s="84">
        <v>94.9</v>
      </c>
      <c r="Y970" s="20">
        <f t="shared" si="45"/>
        <v>1</v>
      </c>
      <c r="AA970" s="98">
        <f t="shared" si="43"/>
        <v>2.6200000000000045</v>
      </c>
      <c r="AB970" s="350">
        <f t="shared" si="44"/>
        <v>10</v>
      </c>
    </row>
    <row r="971" spans="1:28" ht="22.15" customHeight="1" x14ac:dyDescent="0.25">
      <c r="B971" s="276">
        <v>8445290140012</v>
      </c>
      <c r="C971" s="81">
        <v>18</v>
      </c>
      <c r="D971" s="23" t="s">
        <v>2181</v>
      </c>
      <c r="H971" s="346">
        <v>84.9</v>
      </c>
      <c r="I971" s="21">
        <v>82.28</v>
      </c>
      <c r="J971" s="23" t="s">
        <v>421</v>
      </c>
      <c r="K971" s="21">
        <v>1051509</v>
      </c>
      <c r="O971" s="347">
        <v>138</v>
      </c>
      <c r="P971" s="87">
        <v>1</v>
      </c>
      <c r="Q971" s="87">
        <v>1</v>
      </c>
      <c r="R971" s="84">
        <v>94.9</v>
      </c>
      <c r="Y971" s="20">
        <f t="shared" si="45"/>
        <v>1</v>
      </c>
      <c r="AA971" s="98">
        <f t="shared" si="43"/>
        <v>2.6200000000000045</v>
      </c>
      <c r="AB971" s="350">
        <f t="shared" si="44"/>
        <v>10</v>
      </c>
    </row>
    <row r="972" spans="1:28" ht="22.15" customHeight="1" x14ac:dyDescent="0.25">
      <c r="B972" s="276">
        <v>8445290140036</v>
      </c>
      <c r="C972" s="81">
        <v>18</v>
      </c>
      <c r="D972" s="23" t="s">
        <v>2182</v>
      </c>
      <c r="H972" s="346">
        <v>84.9</v>
      </c>
      <c r="I972" s="21">
        <v>82.28</v>
      </c>
      <c r="J972" s="23" t="s">
        <v>421</v>
      </c>
      <c r="K972" s="21">
        <v>1051506</v>
      </c>
      <c r="O972" s="347">
        <v>472</v>
      </c>
      <c r="P972" s="87">
        <v>1</v>
      </c>
      <c r="Q972" s="87">
        <v>1</v>
      </c>
      <c r="R972" s="84">
        <v>94.9</v>
      </c>
      <c r="Y972" s="20">
        <f t="shared" si="45"/>
        <v>1</v>
      </c>
      <c r="AA972" s="98">
        <f t="shared" si="43"/>
        <v>2.6200000000000045</v>
      </c>
      <c r="AB972" s="350">
        <f t="shared" si="44"/>
        <v>10</v>
      </c>
    </row>
    <row r="973" spans="1:28" ht="22.15" customHeight="1" x14ac:dyDescent="0.25">
      <c r="B973" s="276">
        <v>8593893007468</v>
      </c>
      <c r="C973" s="81">
        <v>16</v>
      </c>
      <c r="D973" s="23" t="s">
        <v>2183</v>
      </c>
      <c r="H973" s="346">
        <v>8.1999999999999993</v>
      </c>
      <c r="I973" s="21">
        <v>7.8</v>
      </c>
      <c r="J973" s="23" t="s">
        <v>421</v>
      </c>
      <c r="K973" s="21">
        <v>2050136</v>
      </c>
      <c r="O973" s="347">
        <v>1352</v>
      </c>
      <c r="P973" s="87">
        <v>1</v>
      </c>
      <c r="Q973" s="87">
        <v>1</v>
      </c>
      <c r="R973" s="84">
        <v>8.9</v>
      </c>
      <c r="Y973" s="20">
        <f t="shared" si="45"/>
        <v>1</v>
      </c>
      <c r="AA973" s="98">
        <f t="shared" si="43"/>
        <v>0.39999999999999947</v>
      </c>
      <c r="AB973" s="350">
        <f t="shared" si="44"/>
        <v>0.70000000000000107</v>
      </c>
    </row>
    <row r="974" spans="1:28" ht="22.15" customHeight="1" x14ac:dyDescent="0.25">
      <c r="B974" s="276">
        <v>8593893007499</v>
      </c>
      <c r="C974" s="81">
        <v>16</v>
      </c>
      <c r="D974" s="23" t="s">
        <v>2184</v>
      </c>
      <c r="H974" s="346">
        <v>8.1999999999999993</v>
      </c>
      <c r="I974" s="21">
        <v>7.8</v>
      </c>
      <c r="J974" s="23" t="s">
        <v>421</v>
      </c>
      <c r="K974" s="21">
        <v>2050137</v>
      </c>
      <c r="O974" s="347">
        <v>2268</v>
      </c>
      <c r="P974" s="87">
        <v>1</v>
      </c>
      <c r="Q974" s="87">
        <v>1</v>
      </c>
      <c r="R974" s="84">
        <v>8.9</v>
      </c>
      <c r="Y974" s="20">
        <f t="shared" si="45"/>
        <v>1</v>
      </c>
      <c r="AA974" s="98">
        <f t="shared" si="43"/>
        <v>0.39999999999999947</v>
      </c>
      <c r="AB974" s="350">
        <f t="shared" si="44"/>
        <v>0.70000000000000107</v>
      </c>
    </row>
    <row r="975" spans="1:28" ht="22.15" customHeight="1" x14ac:dyDescent="0.25">
      <c r="B975" s="276">
        <v>5900020030412</v>
      </c>
      <c r="C975" s="81">
        <v>16</v>
      </c>
      <c r="D975" s="23" t="s">
        <v>2185</v>
      </c>
      <c r="H975" s="346">
        <v>8.1999999999999993</v>
      </c>
      <c r="I975" s="21">
        <v>7.8</v>
      </c>
      <c r="J975" s="23" t="s">
        <v>421</v>
      </c>
      <c r="K975" s="21">
        <v>2052337</v>
      </c>
      <c r="O975" s="347">
        <v>1837</v>
      </c>
      <c r="P975" s="87">
        <v>1</v>
      </c>
      <c r="Q975" s="87">
        <v>1</v>
      </c>
      <c r="R975" s="84">
        <v>8.9</v>
      </c>
      <c r="Y975" s="20">
        <f t="shared" si="45"/>
        <v>1</v>
      </c>
      <c r="AA975" s="98">
        <f t="shared" si="43"/>
        <v>0.39999999999999947</v>
      </c>
      <c r="AB975" s="350">
        <f t="shared" si="44"/>
        <v>0.70000000000000107</v>
      </c>
    </row>
    <row r="976" spans="1:28" ht="22.15" customHeight="1" x14ac:dyDescent="0.25">
      <c r="B976" s="276">
        <v>5900020038333</v>
      </c>
      <c r="C976" s="81">
        <v>12</v>
      </c>
      <c r="D976" s="23" t="s">
        <v>2186</v>
      </c>
      <c r="H976" s="346">
        <v>8.1999999999999993</v>
      </c>
      <c r="I976" s="21">
        <v>7.8</v>
      </c>
      <c r="J976" s="23" t="s">
        <v>421</v>
      </c>
      <c r="K976" s="21">
        <v>2051376</v>
      </c>
      <c r="O976" s="347">
        <v>731</v>
      </c>
      <c r="P976" s="87">
        <v>1</v>
      </c>
      <c r="Q976" s="87">
        <v>1</v>
      </c>
      <c r="R976" s="84">
        <v>8.9</v>
      </c>
      <c r="Y976" s="20">
        <f t="shared" si="45"/>
        <v>1</v>
      </c>
      <c r="AA976" s="98">
        <f t="shared" si="43"/>
        <v>0.39999999999999947</v>
      </c>
      <c r="AB976" s="350">
        <f t="shared" si="44"/>
        <v>0.70000000000000107</v>
      </c>
    </row>
    <row r="977" spans="2:28" ht="22.15" customHeight="1" x14ac:dyDescent="0.25">
      <c r="B977" s="276">
        <v>8445290595713</v>
      </c>
      <c r="C977" s="81">
        <v>24</v>
      </c>
      <c r="D977" s="23" t="s">
        <v>2187</v>
      </c>
      <c r="H977" s="346">
        <v>11.5</v>
      </c>
      <c r="I977" s="21">
        <v>10.73</v>
      </c>
      <c r="J977" s="23" t="s">
        <v>421</v>
      </c>
      <c r="K977" s="21">
        <v>2113259</v>
      </c>
      <c r="O977" s="347">
        <v>10436</v>
      </c>
      <c r="P977" s="87">
        <v>1</v>
      </c>
      <c r="Q977" s="87">
        <v>1</v>
      </c>
      <c r="R977" s="84">
        <v>11.5</v>
      </c>
      <c r="Y977" s="20">
        <f t="shared" si="45"/>
        <v>1</v>
      </c>
      <c r="AA977" s="98">
        <f t="shared" si="43"/>
        <v>0.76999999999999957</v>
      </c>
      <c r="AB977" s="350">
        <f t="shared" si="44"/>
        <v>0</v>
      </c>
    </row>
    <row r="978" spans="2:28" ht="22.15" customHeight="1" x14ac:dyDescent="0.25">
      <c r="B978" s="276">
        <v>8445290552174</v>
      </c>
      <c r="C978" s="81">
        <v>24</v>
      </c>
      <c r="D978" s="23" t="s">
        <v>2188</v>
      </c>
      <c r="H978" s="346">
        <v>11.5</v>
      </c>
      <c r="I978" s="21">
        <v>10.73</v>
      </c>
      <c r="J978" s="23" t="s">
        <v>421</v>
      </c>
      <c r="K978" s="21">
        <v>2111473</v>
      </c>
      <c r="O978" s="347">
        <v>16128</v>
      </c>
      <c r="P978" s="87">
        <v>1</v>
      </c>
      <c r="Q978" s="87">
        <v>1</v>
      </c>
      <c r="R978" s="84">
        <v>11.5</v>
      </c>
      <c r="Y978" s="20">
        <f t="shared" si="45"/>
        <v>1</v>
      </c>
      <c r="AA978" s="98">
        <f t="shared" si="43"/>
        <v>0.76999999999999957</v>
      </c>
      <c r="AB978" s="350">
        <f t="shared" si="44"/>
        <v>0</v>
      </c>
    </row>
    <row r="979" spans="2:28" ht="22.15" customHeight="1" x14ac:dyDescent="0.25">
      <c r="B979" s="276">
        <v>3800020401538</v>
      </c>
      <c r="C979" s="81">
        <v>24</v>
      </c>
      <c r="D979" s="23" t="s">
        <v>2189</v>
      </c>
      <c r="H979" s="346">
        <v>11.5</v>
      </c>
      <c r="I979" s="21">
        <v>10.73</v>
      </c>
      <c r="J979" s="23" t="s">
        <v>421</v>
      </c>
      <c r="K979" s="21">
        <v>2115524</v>
      </c>
      <c r="O979" s="347">
        <v>16241</v>
      </c>
      <c r="P979" s="87">
        <v>1</v>
      </c>
      <c r="Q979" s="87">
        <v>1</v>
      </c>
      <c r="R979" s="84">
        <v>11.5</v>
      </c>
      <c r="Y979" s="20">
        <f t="shared" si="45"/>
        <v>1</v>
      </c>
      <c r="AA979" s="98">
        <f t="shared" si="43"/>
        <v>0.76999999999999957</v>
      </c>
      <c r="AB979" s="350">
        <f t="shared" si="44"/>
        <v>0</v>
      </c>
    </row>
    <row r="980" spans="2:28" ht="22.15" customHeight="1" x14ac:dyDescent="0.25">
      <c r="B980" s="276">
        <v>3800020423578</v>
      </c>
      <c r="C980" s="81">
        <v>24</v>
      </c>
      <c r="D980" s="23" t="s">
        <v>2190</v>
      </c>
      <c r="H980" s="346">
        <v>11.5</v>
      </c>
      <c r="I980" s="21">
        <v>10.73</v>
      </c>
      <c r="J980" s="23" t="s">
        <v>421</v>
      </c>
      <c r="K980" s="21">
        <v>2010970</v>
      </c>
      <c r="O980" s="347">
        <v>26234</v>
      </c>
      <c r="P980" s="87">
        <v>1</v>
      </c>
      <c r="Q980" s="87">
        <v>1</v>
      </c>
      <c r="R980" s="84">
        <v>11.5</v>
      </c>
      <c r="Y980" s="20">
        <f t="shared" si="45"/>
        <v>1</v>
      </c>
      <c r="AA980" s="98">
        <f t="shared" si="43"/>
        <v>0.76999999999999957</v>
      </c>
      <c r="AB980" s="350">
        <f t="shared" si="44"/>
        <v>0</v>
      </c>
    </row>
    <row r="981" spans="2:28" ht="22.15" customHeight="1" x14ac:dyDescent="0.25">
      <c r="B981" s="276">
        <v>3800020493939</v>
      </c>
      <c r="C981" s="81">
        <v>24</v>
      </c>
      <c r="D981" s="23" t="s">
        <v>2191</v>
      </c>
      <c r="H981" s="346">
        <v>11.5</v>
      </c>
      <c r="I981" s="21">
        <v>10.73</v>
      </c>
      <c r="J981" s="23" t="s">
        <v>421</v>
      </c>
      <c r="K981" s="21">
        <v>2010718</v>
      </c>
      <c r="O981" s="347">
        <v>14239</v>
      </c>
      <c r="P981" s="87">
        <v>1</v>
      </c>
      <c r="Q981" s="87">
        <v>1</v>
      </c>
      <c r="R981" s="84">
        <v>11.5</v>
      </c>
      <c r="Y981" s="20">
        <f t="shared" si="45"/>
        <v>1</v>
      </c>
      <c r="AA981" s="98">
        <f t="shared" si="43"/>
        <v>0.76999999999999957</v>
      </c>
      <c r="AB981" s="350">
        <f t="shared" si="44"/>
        <v>0</v>
      </c>
    </row>
    <row r="982" spans="2:28" ht="22.15" customHeight="1" x14ac:dyDescent="0.25">
      <c r="B982" s="276">
        <v>3800020418772</v>
      </c>
      <c r="C982" s="81">
        <v>24</v>
      </c>
      <c r="D982" s="23" t="s">
        <v>2192</v>
      </c>
      <c r="H982" s="346">
        <v>11.5</v>
      </c>
      <c r="I982" s="21">
        <v>10.73</v>
      </c>
      <c r="J982" s="23" t="s">
        <v>421</v>
      </c>
      <c r="K982" s="21">
        <v>2012404</v>
      </c>
      <c r="O982" s="347">
        <v>18030</v>
      </c>
      <c r="P982" s="87">
        <v>1</v>
      </c>
      <c r="Q982" s="87">
        <v>1</v>
      </c>
      <c r="R982" s="84">
        <v>11.5</v>
      </c>
      <c r="Y982" s="20">
        <f t="shared" si="45"/>
        <v>1</v>
      </c>
      <c r="AA982" s="98">
        <f t="shared" si="43"/>
        <v>0.76999999999999957</v>
      </c>
      <c r="AB982" s="350">
        <f t="shared" si="44"/>
        <v>0</v>
      </c>
    </row>
    <row r="983" spans="2:28" ht="22.15" customHeight="1" x14ac:dyDescent="0.25">
      <c r="B983" s="276">
        <v>3800020401828</v>
      </c>
      <c r="C983" s="81">
        <v>24</v>
      </c>
      <c r="D983" s="23" t="s">
        <v>2193</v>
      </c>
      <c r="H983" s="346">
        <v>11.5</v>
      </c>
      <c r="I983" s="21">
        <v>10.73</v>
      </c>
      <c r="J983" s="23" t="s">
        <v>421</v>
      </c>
      <c r="K983" s="21">
        <v>2115926</v>
      </c>
      <c r="O983" s="347">
        <v>15903</v>
      </c>
      <c r="P983" s="87">
        <v>1</v>
      </c>
      <c r="Q983" s="87">
        <v>1</v>
      </c>
      <c r="R983" s="84">
        <v>12.5</v>
      </c>
      <c r="Y983" s="20">
        <f t="shared" si="45"/>
        <v>1</v>
      </c>
      <c r="AA983" s="98">
        <f t="shared" si="43"/>
        <v>0.76999999999999957</v>
      </c>
      <c r="AB983" s="350">
        <f t="shared" si="44"/>
        <v>1</v>
      </c>
    </row>
    <row r="984" spans="2:28" ht="22.15" customHeight="1" x14ac:dyDescent="0.25">
      <c r="B984" s="276">
        <v>8445291034433</v>
      </c>
      <c r="C984" s="81">
        <v>30</v>
      </c>
      <c r="D984" s="23" t="s">
        <v>2194</v>
      </c>
      <c r="H984" s="346">
        <v>7.5</v>
      </c>
      <c r="I984" s="21">
        <v>7.26</v>
      </c>
      <c r="J984" s="23" t="s">
        <v>421</v>
      </c>
      <c r="K984" s="21">
        <v>2114184</v>
      </c>
      <c r="O984" s="347">
        <v>1723</v>
      </c>
      <c r="P984" s="87">
        <v>1</v>
      </c>
      <c r="Q984" s="87">
        <v>1</v>
      </c>
      <c r="R984" s="84">
        <v>8.5</v>
      </c>
      <c r="Y984" s="20">
        <f t="shared" si="45"/>
        <v>1</v>
      </c>
      <c r="AA984" s="98">
        <f t="shared" si="43"/>
        <v>0.24000000000000021</v>
      </c>
      <c r="AB984" s="350">
        <f t="shared" si="44"/>
        <v>1</v>
      </c>
    </row>
    <row r="985" spans="2:28" ht="22.15" customHeight="1" x14ac:dyDescent="0.25">
      <c r="B985" s="276">
        <v>8445291111110</v>
      </c>
      <c r="C985" s="81">
        <v>30</v>
      </c>
      <c r="D985" s="23" t="s">
        <v>2195</v>
      </c>
      <c r="H985" s="346">
        <v>7.5</v>
      </c>
      <c r="I985" s="21">
        <v>7.26</v>
      </c>
      <c r="J985" s="23" t="s">
        <v>421</v>
      </c>
      <c r="K985" s="21">
        <v>2114182</v>
      </c>
      <c r="O985" s="347">
        <v>1079</v>
      </c>
      <c r="P985" s="87">
        <v>1</v>
      </c>
      <c r="Q985" s="87">
        <v>1</v>
      </c>
      <c r="R985" s="84">
        <v>8.5</v>
      </c>
      <c r="Y985" s="20">
        <f t="shared" si="45"/>
        <v>1</v>
      </c>
      <c r="AA985" s="98">
        <f t="shared" si="43"/>
        <v>0.24000000000000021</v>
      </c>
      <c r="AB985" s="350">
        <f t="shared" si="44"/>
        <v>1</v>
      </c>
    </row>
    <row r="986" spans="2:28" ht="22.15" customHeight="1" x14ac:dyDescent="0.25">
      <c r="B986" s="276">
        <v>8445291023819</v>
      </c>
      <c r="C986" s="81">
        <v>30</v>
      </c>
      <c r="D986" s="23" t="s">
        <v>2196</v>
      </c>
      <c r="H986" s="346">
        <v>7.5</v>
      </c>
      <c r="I986" s="21">
        <v>7.26</v>
      </c>
      <c r="J986" s="23" t="s">
        <v>421</v>
      </c>
      <c r="K986" s="21">
        <v>2114186</v>
      </c>
      <c r="O986" s="347">
        <v>2701</v>
      </c>
      <c r="P986" s="87">
        <v>1</v>
      </c>
      <c r="Q986" s="87">
        <v>1</v>
      </c>
      <c r="R986" s="84">
        <v>8.5</v>
      </c>
      <c r="Y986" s="20">
        <f t="shared" si="45"/>
        <v>1</v>
      </c>
      <c r="AA986" s="98">
        <f t="shared" si="43"/>
        <v>0.24000000000000021</v>
      </c>
      <c r="AB986" s="350">
        <f t="shared" si="44"/>
        <v>1</v>
      </c>
    </row>
    <row r="987" spans="2:28" ht="22.15" customHeight="1" x14ac:dyDescent="0.25">
      <c r="B987" s="276">
        <v>8445291034624</v>
      </c>
      <c r="C987" s="81">
        <v>30</v>
      </c>
      <c r="D987" s="23" t="s">
        <v>2197</v>
      </c>
      <c r="H987" s="346">
        <v>7.5</v>
      </c>
      <c r="I987" s="21">
        <v>7.26</v>
      </c>
      <c r="J987" s="23" t="s">
        <v>421</v>
      </c>
      <c r="K987" s="21">
        <v>2114185</v>
      </c>
      <c r="O987" s="347">
        <v>2592</v>
      </c>
      <c r="P987" s="87">
        <v>1</v>
      </c>
      <c r="Q987" s="87">
        <v>1</v>
      </c>
      <c r="R987" s="84">
        <v>8.5</v>
      </c>
      <c r="Y987" s="20">
        <f t="shared" si="45"/>
        <v>1</v>
      </c>
      <c r="AA987" s="98">
        <f t="shared" si="43"/>
        <v>0.24000000000000021</v>
      </c>
      <c r="AB987" s="350">
        <f t="shared" si="44"/>
        <v>1</v>
      </c>
    </row>
    <row r="988" spans="2:28" ht="22.15" customHeight="1" x14ac:dyDescent="0.25">
      <c r="B988" s="276">
        <v>9002859040986</v>
      </c>
      <c r="C988" s="81">
        <v>22</v>
      </c>
      <c r="D988" s="23" t="s">
        <v>2198</v>
      </c>
      <c r="H988" s="346">
        <v>40.9</v>
      </c>
      <c r="I988" s="21">
        <v>40.24</v>
      </c>
      <c r="J988" s="23" t="s">
        <v>521</v>
      </c>
      <c r="K988" s="21">
        <v>2010129</v>
      </c>
      <c r="O988" s="347">
        <v>1446</v>
      </c>
      <c r="P988" s="87">
        <v>1</v>
      </c>
      <c r="Q988" s="87">
        <v>1</v>
      </c>
      <c r="R988" s="84">
        <v>47.9</v>
      </c>
      <c r="Y988" s="20">
        <f t="shared" si="45"/>
        <v>1</v>
      </c>
      <c r="AA988" s="98">
        <f t="shared" si="43"/>
        <v>0.65999999999999659</v>
      </c>
      <c r="AB988" s="350">
        <f t="shared" si="44"/>
        <v>7</v>
      </c>
    </row>
    <row r="989" spans="2:28" ht="22.15" customHeight="1" x14ac:dyDescent="0.25">
      <c r="B989" s="276">
        <v>9002859036583</v>
      </c>
      <c r="C989" s="81">
        <v>22</v>
      </c>
      <c r="D989" s="23" t="s">
        <v>2199</v>
      </c>
      <c r="H989" s="346">
        <v>40.9</v>
      </c>
      <c r="I989" s="21">
        <v>40.24</v>
      </c>
      <c r="J989" s="23" t="s">
        <v>521</v>
      </c>
      <c r="K989" s="21">
        <v>2010130</v>
      </c>
      <c r="O989" s="347">
        <v>1453</v>
      </c>
      <c r="P989" s="87">
        <v>1</v>
      </c>
      <c r="Q989" s="87">
        <v>1</v>
      </c>
      <c r="R989" s="84">
        <v>47.9</v>
      </c>
      <c r="Y989" s="20">
        <f t="shared" si="45"/>
        <v>1</v>
      </c>
      <c r="AA989" s="98">
        <f t="shared" si="43"/>
        <v>0.65999999999999659</v>
      </c>
      <c r="AB989" s="350">
        <f t="shared" si="44"/>
        <v>7</v>
      </c>
    </row>
    <row r="990" spans="2:28" ht="22.15" customHeight="1" x14ac:dyDescent="0.25">
      <c r="B990" s="276">
        <v>7622210266972</v>
      </c>
      <c r="C990" s="81">
        <v>18</v>
      </c>
      <c r="D990" s="23" t="s">
        <v>2200</v>
      </c>
      <c r="H990" s="346">
        <v>72.900000000000006</v>
      </c>
      <c r="I990" s="21">
        <v>69.790000000000006</v>
      </c>
      <c r="J990" s="23" t="s">
        <v>526</v>
      </c>
      <c r="K990" s="21">
        <v>2013639</v>
      </c>
      <c r="O990" s="347">
        <v>518</v>
      </c>
      <c r="P990" s="87">
        <v>0</v>
      </c>
      <c r="Q990" s="87">
        <v>1</v>
      </c>
      <c r="R990" s="84">
        <v>79.900000000000006</v>
      </c>
      <c r="Y990" s="20">
        <f t="shared" si="45"/>
        <v>1</v>
      </c>
      <c r="AA990" s="98">
        <f t="shared" si="43"/>
        <v>3.1099999999999994</v>
      </c>
      <c r="AB990" s="350">
        <f t="shared" si="44"/>
        <v>7</v>
      </c>
    </row>
    <row r="991" spans="2:28" ht="22.15" customHeight="1" x14ac:dyDescent="0.25">
      <c r="B991" s="276">
        <v>8593894401227</v>
      </c>
      <c r="C991" s="81">
        <v>18</v>
      </c>
      <c r="D991" s="23" t="s">
        <v>2201</v>
      </c>
      <c r="H991" s="346">
        <v>72.900000000000006</v>
      </c>
      <c r="I991" s="21">
        <v>69.790000000000006</v>
      </c>
      <c r="J991" s="23" t="s">
        <v>526</v>
      </c>
      <c r="K991" s="21">
        <v>2012450</v>
      </c>
      <c r="O991" s="347">
        <v>93</v>
      </c>
      <c r="P991" s="87">
        <v>0</v>
      </c>
      <c r="Q991" s="87">
        <v>1</v>
      </c>
      <c r="R991" s="84">
        <v>79.900000000000006</v>
      </c>
      <c r="Y991" s="20">
        <f t="shared" si="45"/>
        <v>1</v>
      </c>
      <c r="AA991" s="98">
        <f t="shared" si="43"/>
        <v>3.1099999999999994</v>
      </c>
      <c r="AB991" s="350">
        <f t="shared" si="44"/>
        <v>7</v>
      </c>
    </row>
    <row r="992" spans="2:28" ht="22.15" customHeight="1" x14ac:dyDescent="0.25">
      <c r="B992" s="276">
        <v>7622210265043</v>
      </c>
      <c r="C992" s="81">
        <v>18</v>
      </c>
      <c r="D992" s="23" t="s">
        <v>2202</v>
      </c>
      <c r="H992" s="346">
        <v>72.900000000000006</v>
      </c>
      <c r="I992" s="21">
        <v>69.790000000000006</v>
      </c>
      <c r="J992" s="23" t="s">
        <v>526</v>
      </c>
      <c r="K992" s="21">
        <v>2012449</v>
      </c>
      <c r="O992" s="347">
        <v>567</v>
      </c>
      <c r="P992" s="87">
        <v>0</v>
      </c>
      <c r="Q992" s="87">
        <v>1</v>
      </c>
      <c r="R992" s="84">
        <v>79.900000000000006</v>
      </c>
      <c r="Y992" s="20">
        <f t="shared" si="45"/>
        <v>1</v>
      </c>
      <c r="AA992" s="98">
        <f t="shared" si="43"/>
        <v>3.1099999999999994</v>
      </c>
      <c r="AB992" s="350">
        <f t="shared" si="44"/>
        <v>7</v>
      </c>
    </row>
    <row r="993" spans="2:28" ht="22.15" customHeight="1" x14ac:dyDescent="0.25">
      <c r="B993" s="276">
        <v>4014400933079</v>
      </c>
      <c r="C993" s="81">
        <v>7</v>
      </c>
      <c r="D993" s="23" t="s">
        <v>2203</v>
      </c>
      <c r="H993" s="346">
        <v>88.9</v>
      </c>
      <c r="I993" s="21">
        <v>84.45</v>
      </c>
      <c r="J993" s="23" t="s">
        <v>518</v>
      </c>
      <c r="K993" s="21">
        <v>2114526</v>
      </c>
      <c r="O993" s="347">
        <v>474</v>
      </c>
      <c r="P993" s="87">
        <v>1</v>
      </c>
      <c r="Q993" s="87">
        <v>1</v>
      </c>
      <c r="R993" s="84">
        <v>86.9</v>
      </c>
      <c r="Y993" s="20">
        <f t="shared" si="45"/>
        <v>1</v>
      </c>
      <c r="AA993" s="98">
        <f t="shared" si="43"/>
        <v>4.4500000000000028</v>
      </c>
      <c r="AB993" s="350">
        <f t="shared" si="44"/>
        <v>-2</v>
      </c>
    </row>
    <row r="994" spans="2:28" ht="22.15" customHeight="1" x14ac:dyDescent="0.25">
      <c r="B994" s="276">
        <v>4014400933062</v>
      </c>
      <c r="C994" s="81">
        <v>7</v>
      </c>
      <c r="D994" s="23" t="s">
        <v>2204</v>
      </c>
      <c r="H994" s="346">
        <v>88.9</v>
      </c>
      <c r="I994" s="21">
        <v>84.45</v>
      </c>
      <c r="J994" s="23" t="s">
        <v>518</v>
      </c>
      <c r="K994" s="21">
        <v>2114527</v>
      </c>
      <c r="O994" s="347">
        <v>530</v>
      </c>
      <c r="P994" s="87">
        <v>1</v>
      </c>
      <c r="Q994" s="87">
        <v>1</v>
      </c>
      <c r="R994" s="84">
        <v>86.9</v>
      </c>
      <c r="Y994" s="20">
        <f t="shared" si="45"/>
        <v>1</v>
      </c>
      <c r="AA994" s="98">
        <f t="shared" si="43"/>
        <v>4.4500000000000028</v>
      </c>
      <c r="AB994" s="350">
        <f t="shared" si="44"/>
        <v>-2</v>
      </c>
    </row>
    <row r="995" spans="2:28" ht="22.15" customHeight="1" x14ac:dyDescent="0.25">
      <c r="B995" s="276">
        <v>4014400929058</v>
      </c>
      <c r="C995" s="81">
        <v>15</v>
      </c>
      <c r="D995" s="23" t="s">
        <v>2205</v>
      </c>
      <c r="H995" s="346">
        <v>28.9</v>
      </c>
      <c r="I995" s="21">
        <v>27.33</v>
      </c>
      <c r="J995" s="23" t="s">
        <v>518</v>
      </c>
      <c r="K995" s="21">
        <v>2110962</v>
      </c>
      <c r="O995" s="347">
        <v>59</v>
      </c>
      <c r="P995" s="87">
        <v>1</v>
      </c>
      <c r="Q995" s="87">
        <v>1</v>
      </c>
      <c r="R995" s="84">
        <v>31.9</v>
      </c>
      <c r="Y995" s="20">
        <f t="shared" si="45"/>
        <v>1</v>
      </c>
      <c r="AA995" s="98">
        <f t="shared" si="43"/>
        <v>1.5700000000000003</v>
      </c>
      <c r="AB995" s="350">
        <f t="shared" si="44"/>
        <v>3</v>
      </c>
    </row>
    <row r="996" spans="2:28" ht="22.15" customHeight="1" x14ac:dyDescent="0.25">
      <c r="B996" s="276">
        <v>8720892211644</v>
      </c>
      <c r="C996" s="81">
        <v>12</v>
      </c>
      <c r="D996" s="23" t="s">
        <v>2206</v>
      </c>
      <c r="H996" s="346">
        <v>46.9</v>
      </c>
      <c r="I996" s="21">
        <v>44.69</v>
      </c>
      <c r="J996" s="23" t="s">
        <v>534</v>
      </c>
      <c r="K996" s="21">
        <v>2115574</v>
      </c>
      <c r="O996" s="347">
        <v>308</v>
      </c>
      <c r="P996" s="87">
        <v>1</v>
      </c>
      <c r="Q996" s="87">
        <v>1</v>
      </c>
      <c r="R996" s="84">
        <v>52.9</v>
      </c>
      <c r="Y996" s="20">
        <f t="shared" si="45"/>
        <v>1</v>
      </c>
      <c r="AA996" s="98">
        <f t="shared" si="43"/>
        <v>2.2100000000000009</v>
      </c>
      <c r="AB996" s="350">
        <f t="shared" si="44"/>
        <v>6</v>
      </c>
    </row>
    <row r="997" spans="2:28" ht="22.15" customHeight="1" x14ac:dyDescent="0.25">
      <c r="B997" s="276">
        <v>8720892211637</v>
      </c>
      <c r="C997" s="81">
        <v>12</v>
      </c>
      <c r="D997" s="23" t="s">
        <v>2207</v>
      </c>
      <c r="H997" s="346">
        <v>46.9</v>
      </c>
      <c r="I997" s="21">
        <v>44.69</v>
      </c>
      <c r="J997" s="23" t="s">
        <v>534</v>
      </c>
      <c r="K997" s="21">
        <v>2115572</v>
      </c>
      <c r="O997" s="347">
        <v>243</v>
      </c>
      <c r="P997" s="87">
        <v>1</v>
      </c>
      <c r="Q997" s="87">
        <v>1</v>
      </c>
      <c r="R997" s="84">
        <v>52.9</v>
      </c>
      <c r="Y997" s="20">
        <f t="shared" si="45"/>
        <v>1</v>
      </c>
      <c r="AA997" s="98">
        <f t="shared" si="43"/>
        <v>2.2100000000000009</v>
      </c>
      <c r="AB997" s="350">
        <f t="shared" si="44"/>
        <v>6</v>
      </c>
    </row>
    <row r="998" spans="2:28" ht="22.15" customHeight="1" x14ac:dyDescent="0.25">
      <c r="B998" s="276">
        <v>8720892211620</v>
      </c>
      <c r="C998" s="81">
        <v>12</v>
      </c>
      <c r="D998" s="23" t="s">
        <v>2208</v>
      </c>
      <c r="H998" s="346">
        <v>46.9</v>
      </c>
      <c r="I998" s="21">
        <v>44.69</v>
      </c>
      <c r="J998" s="23" t="s">
        <v>534</v>
      </c>
      <c r="K998" s="21">
        <v>2115573</v>
      </c>
      <c r="O998" s="347">
        <v>177</v>
      </c>
      <c r="P998" s="87">
        <v>1</v>
      </c>
      <c r="Q998" s="87">
        <v>1</v>
      </c>
      <c r="R998" s="84">
        <v>52.9</v>
      </c>
      <c r="Y998" s="20">
        <f t="shared" si="45"/>
        <v>1</v>
      </c>
      <c r="AA998" s="98">
        <f t="shared" si="43"/>
        <v>2.2100000000000009</v>
      </c>
      <c r="AB998" s="350">
        <f t="shared" si="44"/>
        <v>6</v>
      </c>
    </row>
    <row r="999" spans="2:28" ht="22.15" customHeight="1" x14ac:dyDescent="0.25">
      <c r="B999" s="276">
        <v>8410525185731</v>
      </c>
      <c r="C999" s="81">
        <v>6</v>
      </c>
      <c r="D999" s="23" t="s">
        <v>2209</v>
      </c>
      <c r="H999" s="346">
        <v>215</v>
      </c>
      <c r="I999" s="21">
        <v>204.96</v>
      </c>
      <c r="J999" s="23" t="s">
        <v>539</v>
      </c>
      <c r="K999" s="21">
        <v>2011617</v>
      </c>
      <c r="O999" s="347">
        <v>100</v>
      </c>
      <c r="P999" s="87">
        <v>1</v>
      </c>
      <c r="Q999" s="87">
        <v>1</v>
      </c>
      <c r="R999" s="84">
        <v>235</v>
      </c>
      <c r="Y999" s="20">
        <f t="shared" si="45"/>
        <v>1</v>
      </c>
      <c r="AA999" s="98">
        <f t="shared" si="43"/>
        <v>10.039999999999992</v>
      </c>
      <c r="AB999" s="350">
        <f t="shared" si="44"/>
        <v>20</v>
      </c>
    </row>
    <row r="1000" spans="2:28" ht="22.15" customHeight="1" x14ac:dyDescent="0.25">
      <c r="B1000" s="276">
        <v>8410525184598</v>
      </c>
      <c r="C1000" s="81">
        <v>6</v>
      </c>
      <c r="D1000" s="23" t="s">
        <v>2210</v>
      </c>
      <c r="H1000" s="346">
        <v>215</v>
      </c>
      <c r="I1000" s="21">
        <v>204.96</v>
      </c>
      <c r="J1000" s="23" t="s">
        <v>539</v>
      </c>
      <c r="K1000" s="21">
        <v>2011256</v>
      </c>
      <c r="O1000" s="347">
        <v>46</v>
      </c>
      <c r="P1000" s="87">
        <v>1</v>
      </c>
      <c r="Q1000" s="87">
        <v>1</v>
      </c>
      <c r="R1000" s="84">
        <v>235</v>
      </c>
      <c r="Y1000" s="20">
        <f>COUNTIF(K:K,K999)</f>
        <v>1</v>
      </c>
      <c r="AA1000" s="98">
        <f>H999-I999</f>
        <v>10.039999999999992</v>
      </c>
      <c r="AB1000" s="350">
        <f>R999-H999</f>
        <v>20</v>
      </c>
    </row>
    <row r="1001" spans="2:28" ht="22.15" customHeight="1" x14ac:dyDescent="0.25">
      <c r="B1001" s="276">
        <v>8410525173950</v>
      </c>
      <c r="C1001" s="81">
        <v>8</v>
      </c>
      <c r="D1001" s="23" t="s">
        <v>2211</v>
      </c>
      <c r="H1001" s="346">
        <v>275</v>
      </c>
      <c r="I1001" s="21">
        <v>260.95999999999998</v>
      </c>
      <c r="J1001" s="23" t="s">
        <v>539</v>
      </c>
      <c r="K1001" s="21">
        <v>2110362</v>
      </c>
      <c r="O1001" s="347">
        <v>137</v>
      </c>
      <c r="P1001" s="87">
        <v>1</v>
      </c>
      <c r="Q1001" s="87">
        <v>1</v>
      </c>
      <c r="R1001" s="84">
        <v>295</v>
      </c>
      <c r="Y1001" s="20">
        <f>COUNTIF(K:K,K1000)</f>
        <v>1</v>
      </c>
      <c r="AA1001" s="98">
        <f>H1000-I1000</f>
        <v>10.039999999999992</v>
      </c>
      <c r="AB1001" s="350">
        <f>R1000-H1000</f>
        <v>20</v>
      </c>
    </row>
    <row r="1002" spans="2:28" ht="22.15" customHeight="1" x14ac:dyDescent="0.25">
      <c r="B1002" s="276">
        <v>12112301</v>
      </c>
      <c r="C1002" s="81">
        <v>8</v>
      </c>
      <c r="D1002" s="23" t="s">
        <v>2212</v>
      </c>
      <c r="H1002" s="346">
        <v>275</v>
      </c>
      <c r="I1002" s="21">
        <v>260.95999999999998</v>
      </c>
      <c r="J1002" s="23" t="s">
        <v>539</v>
      </c>
      <c r="K1002" s="21">
        <v>2112301</v>
      </c>
      <c r="O1002" s="347">
        <v>26</v>
      </c>
      <c r="P1002" s="87">
        <v>1</v>
      </c>
      <c r="Q1002" s="87">
        <v>1</v>
      </c>
      <c r="R1002" s="84">
        <v>295</v>
      </c>
      <c r="Y1002" s="20">
        <f>COUNTIF(K:K,K1001)</f>
        <v>1</v>
      </c>
      <c r="AA1002" s="98">
        <f>H1001-I1001</f>
        <v>14.04000000000002</v>
      </c>
      <c r="AB1002" s="350">
        <f>R1001-H1001</f>
        <v>20</v>
      </c>
    </row>
    <row r="1003" spans="2:28" ht="22.15" customHeight="1" x14ac:dyDescent="0.25">
      <c r="B1003" s="276">
        <v>9015810001063</v>
      </c>
      <c r="C1003" s="81">
        <v>12</v>
      </c>
      <c r="D1003" s="23" t="s">
        <v>2213</v>
      </c>
      <c r="H1003" s="346">
        <v>57.9</v>
      </c>
      <c r="I1003" s="21">
        <v>54.53</v>
      </c>
      <c r="J1003" s="23" t="s">
        <v>550</v>
      </c>
      <c r="K1003" s="21">
        <v>2115552</v>
      </c>
      <c r="O1003" s="347">
        <v>235</v>
      </c>
      <c r="P1003" s="87">
        <v>1</v>
      </c>
      <c r="Q1003" s="87">
        <v>1</v>
      </c>
      <c r="R1003" s="84">
        <v>62.9</v>
      </c>
      <c r="Y1003" s="20">
        <f t="shared" ref="Y1003:Y1034" si="46">COUNTIF(K:K,K1003)</f>
        <v>1</v>
      </c>
      <c r="AA1003" s="98">
        <f t="shared" si="43"/>
        <v>3.3699999999999974</v>
      </c>
      <c r="AB1003" s="350">
        <f t="shared" si="44"/>
        <v>5</v>
      </c>
    </row>
    <row r="1004" spans="2:28" ht="22.15" customHeight="1" x14ac:dyDescent="0.25">
      <c r="B1004" s="276">
        <v>9001508084722</v>
      </c>
      <c r="C1004" s="81">
        <v>32</v>
      </c>
      <c r="D1004" s="23" t="s">
        <v>2214</v>
      </c>
      <c r="H1004" s="346">
        <v>52.9</v>
      </c>
      <c r="I1004" s="21">
        <v>50.09</v>
      </c>
      <c r="J1004" s="23" t="s">
        <v>550</v>
      </c>
      <c r="K1004" s="21">
        <v>2014738</v>
      </c>
      <c r="O1004" s="347">
        <v>317</v>
      </c>
      <c r="P1004" s="87">
        <v>1</v>
      </c>
      <c r="Q1004" s="87">
        <v>1</v>
      </c>
      <c r="R1004" s="84">
        <v>57.9</v>
      </c>
      <c r="Y1004" s="20">
        <f t="shared" si="46"/>
        <v>1</v>
      </c>
      <c r="AA1004" s="98">
        <f t="shared" si="43"/>
        <v>2.8099999999999952</v>
      </c>
      <c r="AB1004" s="350">
        <f t="shared" si="44"/>
        <v>5</v>
      </c>
    </row>
    <row r="1005" spans="2:28" ht="22.15" customHeight="1" x14ac:dyDescent="0.25">
      <c r="B1005" s="276">
        <v>9001508084609</v>
      </c>
      <c r="C1005" s="81">
        <v>18</v>
      </c>
      <c r="D1005" s="23" t="s">
        <v>2215</v>
      </c>
      <c r="H1005" s="346">
        <v>95.9</v>
      </c>
      <c r="I1005" s="21">
        <v>91.74</v>
      </c>
      <c r="J1005" s="23" t="s">
        <v>550</v>
      </c>
      <c r="K1005" s="21">
        <v>2010535</v>
      </c>
      <c r="O1005" s="347">
        <v>181</v>
      </c>
      <c r="P1005" s="87">
        <v>1</v>
      </c>
      <c r="Q1005" s="87">
        <v>1</v>
      </c>
      <c r="R1005" s="84">
        <v>104.9</v>
      </c>
      <c r="Y1005" s="20">
        <f t="shared" si="46"/>
        <v>1</v>
      </c>
      <c r="AA1005" s="98">
        <f t="shared" si="43"/>
        <v>4.1600000000000108</v>
      </c>
      <c r="AB1005" s="350">
        <f t="shared" si="44"/>
        <v>9</v>
      </c>
    </row>
    <row r="1006" spans="2:28" ht="22.15" customHeight="1" x14ac:dyDescent="0.25">
      <c r="B1006" s="276">
        <v>9001508084920</v>
      </c>
      <c r="C1006" s="81">
        <v>18</v>
      </c>
      <c r="D1006" s="23" t="s">
        <v>2216</v>
      </c>
      <c r="H1006" s="346">
        <v>110</v>
      </c>
      <c r="I1006" s="21">
        <v>104.94</v>
      </c>
      <c r="J1006" s="23" t="s">
        <v>550</v>
      </c>
      <c r="K1006" s="21">
        <v>2014739</v>
      </c>
      <c r="O1006" s="347">
        <v>62</v>
      </c>
      <c r="P1006" s="87">
        <v>1</v>
      </c>
      <c r="Q1006" s="87">
        <v>1</v>
      </c>
      <c r="R1006" s="84">
        <v>119.9</v>
      </c>
      <c r="Y1006" s="20">
        <f t="shared" si="46"/>
        <v>1</v>
      </c>
      <c r="AA1006" s="98">
        <f t="shared" ref="AA1006:AA1069" si="47">H1006-I1006</f>
        <v>5.0600000000000023</v>
      </c>
      <c r="AB1006" s="350">
        <f t="shared" ref="AB1006:AB1069" si="48">R1006-H1006</f>
        <v>9.9000000000000057</v>
      </c>
    </row>
    <row r="1007" spans="2:28" ht="22.15" customHeight="1" x14ac:dyDescent="0.25">
      <c r="B1007" s="276">
        <v>8690481003175</v>
      </c>
      <c r="C1007" s="81">
        <v>24</v>
      </c>
      <c r="D1007" s="23" t="s">
        <v>2217</v>
      </c>
      <c r="H1007" s="346">
        <v>9.1999999999999993</v>
      </c>
      <c r="I1007" s="21">
        <v>8.74</v>
      </c>
      <c r="J1007" s="23" t="s">
        <v>554</v>
      </c>
      <c r="K1007" s="21">
        <v>2014128</v>
      </c>
      <c r="O1007" s="347">
        <v>3444</v>
      </c>
      <c r="P1007" s="87">
        <v>1</v>
      </c>
      <c r="Q1007" s="87">
        <v>1</v>
      </c>
      <c r="R1007" s="84">
        <v>9.9</v>
      </c>
      <c r="Y1007" s="20">
        <f t="shared" si="46"/>
        <v>1</v>
      </c>
      <c r="AA1007" s="98">
        <f t="shared" si="47"/>
        <v>0.45999999999999908</v>
      </c>
      <c r="AB1007" s="350">
        <f t="shared" si="48"/>
        <v>0.70000000000000107</v>
      </c>
    </row>
    <row r="1008" spans="2:28" ht="22.15" customHeight="1" x14ac:dyDescent="0.25">
      <c r="B1008" s="276">
        <v>8693029204775</v>
      </c>
      <c r="C1008" s="81">
        <v>8</v>
      </c>
      <c r="D1008" s="23" t="s">
        <v>2218</v>
      </c>
      <c r="H1008" s="346">
        <v>109</v>
      </c>
      <c r="I1008" s="21">
        <v>101.08</v>
      </c>
      <c r="J1008" s="23" t="s">
        <v>557</v>
      </c>
      <c r="K1008" s="21">
        <v>2110896</v>
      </c>
      <c r="O1008" s="347">
        <v>340</v>
      </c>
      <c r="P1008" s="87">
        <v>1</v>
      </c>
      <c r="Q1008" s="87">
        <v>1</v>
      </c>
      <c r="R1008" s="84">
        <v>115</v>
      </c>
      <c r="Y1008" s="20">
        <f t="shared" si="46"/>
        <v>1</v>
      </c>
      <c r="AA1008" s="98">
        <f t="shared" si="47"/>
        <v>7.9200000000000017</v>
      </c>
      <c r="AB1008" s="350">
        <f t="shared" si="48"/>
        <v>6</v>
      </c>
    </row>
    <row r="1009" spans="2:28" ht="22.15" customHeight="1" x14ac:dyDescent="0.25">
      <c r="B1009" s="276">
        <v>8693029204034</v>
      </c>
      <c r="C1009" s="81">
        <v>8</v>
      </c>
      <c r="D1009" s="23" t="s">
        <v>2219</v>
      </c>
      <c r="H1009" s="346">
        <v>109</v>
      </c>
      <c r="I1009" s="21">
        <v>101.08</v>
      </c>
      <c r="J1009" s="23" t="s">
        <v>557</v>
      </c>
      <c r="K1009" s="21">
        <v>2010171</v>
      </c>
      <c r="O1009" s="347">
        <v>345</v>
      </c>
      <c r="P1009" s="87">
        <v>1</v>
      </c>
      <c r="Q1009" s="87">
        <v>1</v>
      </c>
      <c r="R1009" s="84">
        <v>115</v>
      </c>
      <c r="Y1009" s="20">
        <f t="shared" si="46"/>
        <v>1</v>
      </c>
      <c r="AA1009" s="98">
        <f t="shared" si="47"/>
        <v>7.9200000000000017</v>
      </c>
      <c r="AB1009" s="350">
        <f t="shared" si="48"/>
        <v>6</v>
      </c>
    </row>
    <row r="1010" spans="2:28" ht="22.15" customHeight="1" x14ac:dyDescent="0.25">
      <c r="B1010" s="276">
        <v>8693029204782</v>
      </c>
      <c r="C1010" s="81">
        <v>8</v>
      </c>
      <c r="D1010" s="23" t="s">
        <v>2220</v>
      </c>
      <c r="H1010" s="346">
        <v>109</v>
      </c>
      <c r="I1010" s="21">
        <v>101.08</v>
      </c>
      <c r="J1010" s="23" t="s">
        <v>557</v>
      </c>
      <c r="K1010" s="21">
        <v>2010174</v>
      </c>
      <c r="O1010" s="347">
        <v>926</v>
      </c>
      <c r="P1010" s="87">
        <v>1</v>
      </c>
      <c r="Q1010" s="87">
        <v>1</v>
      </c>
      <c r="R1010" s="84">
        <v>115</v>
      </c>
      <c r="Y1010" s="20">
        <f t="shared" si="46"/>
        <v>1</v>
      </c>
      <c r="AA1010" s="98">
        <f t="shared" si="47"/>
        <v>7.9200000000000017</v>
      </c>
      <c r="AB1010" s="350">
        <f t="shared" si="48"/>
        <v>6</v>
      </c>
    </row>
    <row r="1011" spans="2:28" ht="22.15" customHeight="1" x14ac:dyDescent="0.25">
      <c r="B1011" s="276">
        <v>8693029204027</v>
      </c>
      <c r="C1011" s="81">
        <v>8</v>
      </c>
      <c r="D1011" s="23" t="s">
        <v>2221</v>
      </c>
      <c r="H1011" s="346">
        <v>109</v>
      </c>
      <c r="I1011" s="21">
        <v>101.08</v>
      </c>
      <c r="J1011" s="23" t="s">
        <v>557</v>
      </c>
      <c r="K1011" s="21">
        <v>2110894</v>
      </c>
      <c r="O1011" s="347">
        <v>330</v>
      </c>
      <c r="P1011" s="87">
        <v>1</v>
      </c>
      <c r="Q1011" s="87">
        <v>1</v>
      </c>
      <c r="R1011" s="84">
        <v>115</v>
      </c>
      <c r="Y1011" s="20">
        <f t="shared" si="46"/>
        <v>1</v>
      </c>
      <c r="AA1011" s="98">
        <f t="shared" si="47"/>
        <v>7.9200000000000017</v>
      </c>
      <c r="AB1011" s="350">
        <f t="shared" si="48"/>
        <v>6</v>
      </c>
    </row>
    <row r="1012" spans="2:28" ht="22.15" customHeight="1" x14ac:dyDescent="0.25">
      <c r="B1012" s="276">
        <v>5900951310430</v>
      </c>
      <c r="C1012" s="81">
        <v>24</v>
      </c>
      <c r="D1012" s="23" t="s">
        <v>2222</v>
      </c>
      <c r="H1012" s="346">
        <v>11.5</v>
      </c>
      <c r="I1012" s="21">
        <v>11.32</v>
      </c>
      <c r="J1012" s="23" t="s">
        <v>560</v>
      </c>
      <c r="K1012" s="21">
        <v>2112377</v>
      </c>
      <c r="O1012" s="347">
        <v>9549</v>
      </c>
      <c r="P1012" s="87">
        <v>1</v>
      </c>
      <c r="Q1012" s="87">
        <v>1</v>
      </c>
      <c r="R1012" s="84">
        <v>12.9</v>
      </c>
      <c r="Y1012" s="20">
        <f t="shared" si="46"/>
        <v>1</v>
      </c>
      <c r="AA1012" s="98">
        <f t="shared" si="47"/>
        <v>0.17999999999999972</v>
      </c>
      <c r="AB1012" s="350">
        <f t="shared" si="48"/>
        <v>1.4000000000000004</v>
      </c>
    </row>
    <row r="1013" spans="2:28" ht="22.15" customHeight="1" x14ac:dyDescent="0.25">
      <c r="B1013" s="276">
        <v>5900951313592</v>
      </c>
      <c r="C1013" s="81">
        <v>30</v>
      </c>
      <c r="D1013" s="23" t="s">
        <v>2223</v>
      </c>
      <c r="H1013" s="346">
        <v>11.5</v>
      </c>
      <c r="I1013" s="21">
        <v>11.32</v>
      </c>
      <c r="J1013" s="23" t="s">
        <v>560</v>
      </c>
      <c r="K1013" s="21">
        <v>2010041</v>
      </c>
      <c r="O1013" s="347">
        <v>14731</v>
      </c>
      <c r="P1013" s="87">
        <v>1</v>
      </c>
      <c r="Q1013" s="87">
        <v>1</v>
      </c>
      <c r="R1013" s="84">
        <v>12.9</v>
      </c>
      <c r="Y1013" s="20">
        <f t="shared" si="46"/>
        <v>1</v>
      </c>
      <c r="AA1013" s="98">
        <f t="shared" si="47"/>
        <v>0.17999999999999972</v>
      </c>
      <c r="AB1013" s="350">
        <f t="shared" si="48"/>
        <v>1.4000000000000004</v>
      </c>
    </row>
    <row r="1014" spans="2:28" ht="22.15" customHeight="1" x14ac:dyDescent="0.25">
      <c r="B1014" s="276">
        <v>5000159556804</v>
      </c>
      <c r="C1014" s="81">
        <v>32</v>
      </c>
      <c r="D1014" s="23" t="s">
        <v>2224</v>
      </c>
      <c r="H1014" s="346">
        <v>11.5</v>
      </c>
      <c r="I1014" s="21">
        <v>11.32</v>
      </c>
      <c r="J1014" s="23" t="s">
        <v>560</v>
      </c>
      <c r="K1014" s="21">
        <v>2013829</v>
      </c>
      <c r="O1014" s="347">
        <v>9840</v>
      </c>
      <c r="P1014" s="87">
        <v>1</v>
      </c>
      <c r="Q1014" s="87">
        <v>1</v>
      </c>
      <c r="R1014" s="84">
        <v>12.9</v>
      </c>
      <c r="Y1014" s="20">
        <f t="shared" si="46"/>
        <v>1</v>
      </c>
      <c r="AA1014" s="98">
        <f t="shared" si="47"/>
        <v>0.17999999999999972</v>
      </c>
      <c r="AB1014" s="350">
        <f t="shared" si="48"/>
        <v>1.4000000000000004</v>
      </c>
    </row>
    <row r="1015" spans="2:28" ht="22.15" customHeight="1" x14ac:dyDescent="0.25">
      <c r="B1015" s="276">
        <v>5900951311321</v>
      </c>
      <c r="C1015" s="81">
        <v>40</v>
      </c>
      <c r="D1015" s="23" t="s">
        <v>2225</v>
      </c>
      <c r="H1015" s="346">
        <v>11.5</v>
      </c>
      <c r="I1015" s="21">
        <v>11.32</v>
      </c>
      <c r="J1015" s="23" t="s">
        <v>560</v>
      </c>
      <c r="K1015" s="21">
        <v>2010046</v>
      </c>
      <c r="O1015" s="347">
        <v>19381</v>
      </c>
      <c r="P1015" s="87">
        <v>1</v>
      </c>
      <c r="Q1015" s="87">
        <v>1</v>
      </c>
      <c r="R1015" s="84">
        <v>12.9</v>
      </c>
      <c r="Y1015" s="20">
        <f t="shared" si="46"/>
        <v>1</v>
      </c>
      <c r="AA1015" s="98">
        <f t="shared" si="47"/>
        <v>0.17999999999999972</v>
      </c>
      <c r="AB1015" s="350">
        <f t="shared" si="48"/>
        <v>1.4000000000000004</v>
      </c>
    </row>
    <row r="1016" spans="2:28" ht="22.15" customHeight="1" x14ac:dyDescent="0.25">
      <c r="B1016" s="276">
        <v>5000159556873</v>
      </c>
      <c r="C1016" s="81">
        <v>30</v>
      </c>
      <c r="D1016" s="23" t="s">
        <v>2226</v>
      </c>
      <c r="H1016" s="346">
        <v>11.5</v>
      </c>
      <c r="I1016" s="21">
        <v>11.32</v>
      </c>
      <c r="J1016" s="23" t="s">
        <v>560</v>
      </c>
      <c r="K1016" s="21">
        <v>2110033</v>
      </c>
      <c r="O1016" s="347">
        <v>7300</v>
      </c>
      <c r="P1016" s="87">
        <v>1</v>
      </c>
      <c r="Q1016" s="87">
        <v>1</v>
      </c>
      <c r="R1016" s="84">
        <v>12.9</v>
      </c>
      <c r="Y1016" s="20">
        <f t="shared" si="46"/>
        <v>1</v>
      </c>
      <c r="AA1016" s="98">
        <f t="shared" si="47"/>
        <v>0.17999999999999972</v>
      </c>
      <c r="AB1016" s="350">
        <f t="shared" si="48"/>
        <v>1.4000000000000004</v>
      </c>
    </row>
    <row r="1017" spans="2:28" ht="22.15" customHeight="1" x14ac:dyDescent="0.25">
      <c r="B1017" s="276">
        <v>8585000208691</v>
      </c>
      <c r="C1017" s="81">
        <v>18</v>
      </c>
      <c r="D1017" s="23" t="s">
        <v>2227</v>
      </c>
      <c r="H1017" s="346">
        <v>13.9</v>
      </c>
      <c r="I1017" s="21">
        <v>13.31</v>
      </c>
      <c r="J1017" s="23" t="s">
        <v>562</v>
      </c>
      <c r="K1017" s="21">
        <v>2016688</v>
      </c>
      <c r="O1017" s="347">
        <v>803</v>
      </c>
      <c r="P1017" s="87">
        <v>1</v>
      </c>
      <c r="Q1017" s="87">
        <v>1</v>
      </c>
      <c r="R1017" s="84">
        <v>14.9</v>
      </c>
      <c r="Y1017" s="20">
        <f t="shared" si="46"/>
        <v>1</v>
      </c>
      <c r="AA1017" s="98">
        <f t="shared" si="47"/>
        <v>0.58999999999999986</v>
      </c>
      <c r="AB1017" s="350">
        <f t="shared" si="48"/>
        <v>1</v>
      </c>
    </row>
    <row r="1018" spans="2:28" ht="22.15" customHeight="1" x14ac:dyDescent="0.25">
      <c r="B1018" s="276">
        <v>8585000208530</v>
      </c>
      <c r="C1018" s="81">
        <v>18</v>
      </c>
      <c r="D1018" s="23" t="s">
        <v>2228</v>
      </c>
      <c r="H1018" s="346">
        <v>13.9</v>
      </c>
      <c r="I1018" s="21">
        <v>13.31</v>
      </c>
      <c r="J1018" s="23" t="s">
        <v>562</v>
      </c>
      <c r="K1018" s="21">
        <v>2016689</v>
      </c>
      <c r="O1018" s="347">
        <v>1281</v>
      </c>
      <c r="P1018" s="87">
        <v>1</v>
      </c>
      <c r="Q1018" s="87">
        <v>1</v>
      </c>
      <c r="R1018" s="84">
        <v>14.9</v>
      </c>
      <c r="Y1018" s="20">
        <f t="shared" si="46"/>
        <v>1</v>
      </c>
      <c r="AA1018" s="98">
        <f t="shared" si="47"/>
        <v>0.58999999999999986</v>
      </c>
      <c r="AB1018" s="350">
        <f t="shared" si="48"/>
        <v>1</v>
      </c>
    </row>
    <row r="1019" spans="2:28" ht="22.15" customHeight="1" x14ac:dyDescent="0.25">
      <c r="B1019" s="276">
        <v>8594027771026</v>
      </c>
      <c r="C1019" s="81">
        <v>280</v>
      </c>
      <c r="D1019" s="23" t="s">
        <v>2229</v>
      </c>
      <c r="H1019" s="346">
        <v>5.9</v>
      </c>
      <c r="I1019" s="21">
        <v>5.54</v>
      </c>
      <c r="J1019" s="23" t="s">
        <v>571</v>
      </c>
      <c r="K1019" s="21">
        <v>2014357</v>
      </c>
      <c r="O1019" s="347">
        <v>16622</v>
      </c>
      <c r="P1019" s="87">
        <v>1</v>
      </c>
      <c r="Q1019" s="87">
        <v>1</v>
      </c>
      <c r="R1019" s="84">
        <v>6.5</v>
      </c>
      <c r="Y1019" s="20">
        <f t="shared" si="46"/>
        <v>1</v>
      </c>
      <c r="AA1019" s="98">
        <f t="shared" si="47"/>
        <v>0.36000000000000032</v>
      </c>
      <c r="AB1019" s="350">
        <f t="shared" si="48"/>
        <v>0.59999999999999964</v>
      </c>
    </row>
    <row r="1020" spans="2:28" ht="22.15" customHeight="1" x14ac:dyDescent="0.25">
      <c r="B1020" s="276">
        <v>8594027771040</v>
      </c>
      <c r="C1020" s="81">
        <v>280</v>
      </c>
      <c r="D1020" s="23" t="s">
        <v>2230</v>
      </c>
      <c r="H1020" s="346">
        <v>6.3</v>
      </c>
      <c r="I1020" s="21">
        <v>5.99</v>
      </c>
      <c r="J1020" s="23" t="s">
        <v>571</v>
      </c>
      <c r="K1020" s="21">
        <v>2014660</v>
      </c>
      <c r="O1020" s="347">
        <v>1689</v>
      </c>
      <c r="P1020" s="87">
        <v>1</v>
      </c>
      <c r="Q1020" s="87">
        <v>1</v>
      </c>
      <c r="R1020" s="84">
        <v>6.9</v>
      </c>
      <c r="Y1020" s="20">
        <f t="shared" si="46"/>
        <v>1</v>
      </c>
      <c r="AA1020" s="98">
        <f t="shared" si="47"/>
        <v>0.30999999999999961</v>
      </c>
      <c r="AB1020" s="350">
        <f t="shared" si="48"/>
        <v>0.60000000000000053</v>
      </c>
    </row>
    <row r="1021" spans="2:28" ht="22.15" customHeight="1" x14ac:dyDescent="0.25">
      <c r="B1021" s="276">
        <v>8594027779558</v>
      </c>
      <c r="C1021" s="81">
        <v>56</v>
      </c>
      <c r="D1021" s="23" t="s">
        <v>2231</v>
      </c>
      <c r="H1021" s="346">
        <v>21.9</v>
      </c>
      <c r="I1021" s="21">
        <v>20.89</v>
      </c>
      <c r="J1021" s="23" t="s">
        <v>571</v>
      </c>
      <c r="K1021" s="21">
        <v>2014356</v>
      </c>
      <c r="O1021" s="347">
        <v>3997</v>
      </c>
      <c r="P1021" s="87">
        <v>1</v>
      </c>
      <c r="Q1021" s="87">
        <v>1</v>
      </c>
      <c r="R1021" s="84">
        <v>23.9</v>
      </c>
      <c r="Y1021" s="20">
        <f t="shared" si="46"/>
        <v>1</v>
      </c>
      <c r="AA1021" s="98">
        <f t="shared" si="47"/>
        <v>1.009999999999998</v>
      </c>
      <c r="AB1021" s="350">
        <f t="shared" si="48"/>
        <v>2</v>
      </c>
    </row>
    <row r="1022" spans="2:28" ht="22.15" customHeight="1" x14ac:dyDescent="0.25">
      <c r="B1022" s="276">
        <v>3850102127252</v>
      </c>
      <c r="C1022" s="81">
        <v>72</v>
      </c>
      <c r="D1022" s="23" t="s">
        <v>2232</v>
      </c>
      <c r="H1022" s="346">
        <v>6.9</v>
      </c>
      <c r="I1022" s="21">
        <v>6.71</v>
      </c>
      <c r="J1022" s="23" t="s">
        <v>574</v>
      </c>
      <c r="K1022" s="21">
        <v>2014998</v>
      </c>
      <c r="O1022" s="347">
        <v>600</v>
      </c>
      <c r="P1022" s="87">
        <v>1</v>
      </c>
      <c r="Q1022" s="87">
        <v>1</v>
      </c>
      <c r="R1022" s="84">
        <v>8.1999999999999993</v>
      </c>
      <c r="Y1022" s="20">
        <f t="shared" si="46"/>
        <v>1</v>
      </c>
      <c r="AA1022" s="98">
        <f t="shared" si="47"/>
        <v>0.19000000000000039</v>
      </c>
      <c r="AB1022" s="350">
        <f t="shared" si="48"/>
        <v>1.2999999999999989</v>
      </c>
    </row>
    <row r="1023" spans="2:28" ht="22.15" customHeight="1" x14ac:dyDescent="0.25">
      <c r="B1023" s="276">
        <v>8412600019689</v>
      </c>
      <c r="C1023" s="81">
        <v>18</v>
      </c>
      <c r="D1023" s="23" t="s">
        <v>2233</v>
      </c>
      <c r="H1023" s="346">
        <v>35.9</v>
      </c>
      <c r="I1023" s="21">
        <v>35.729999999999997</v>
      </c>
      <c r="J1023" s="23" t="s">
        <v>648</v>
      </c>
      <c r="K1023" s="21">
        <v>4101465</v>
      </c>
      <c r="O1023" s="347">
        <v>4375</v>
      </c>
      <c r="P1023" s="87">
        <v>1</v>
      </c>
      <c r="Q1023" s="87">
        <v>1</v>
      </c>
      <c r="R1023" s="84">
        <v>35.9</v>
      </c>
      <c r="Y1023" s="20">
        <f t="shared" si="46"/>
        <v>1</v>
      </c>
      <c r="AA1023" s="98">
        <f t="shared" si="47"/>
        <v>0.17000000000000171</v>
      </c>
      <c r="AB1023" s="350">
        <f t="shared" si="48"/>
        <v>0</v>
      </c>
    </row>
    <row r="1024" spans="2:28" ht="22.15" customHeight="1" x14ac:dyDescent="0.25">
      <c r="B1024" s="276">
        <v>8412600019672</v>
      </c>
      <c r="C1024" s="81">
        <v>18</v>
      </c>
      <c r="D1024" s="23" t="s">
        <v>2234</v>
      </c>
      <c r="H1024" s="346">
        <v>35.9</v>
      </c>
      <c r="I1024" s="21">
        <v>35.729999999999997</v>
      </c>
      <c r="J1024" s="23" t="s">
        <v>648</v>
      </c>
      <c r="K1024" s="21">
        <v>4101464</v>
      </c>
      <c r="O1024" s="347">
        <v>7614</v>
      </c>
      <c r="P1024" s="87">
        <v>1</v>
      </c>
      <c r="Q1024" s="87">
        <v>1</v>
      </c>
      <c r="R1024" s="84">
        <v>35.9</v>
      </c>
      <c r="Y1024" s="20">
        <f t="shared" si="46"/>
        <v>1</v>
      </c>
      <c r="AA1024" s="98">
        <f t="shared" si="47"/>
        <v>0.17000000000000171</v>
      </c>
      <c r="AB1024" s="350">
        <f t="shared" si="48"/>
        <v>0</v>
      </c>
    </row>
    <row r="1025" spans="2:28" ht="22.15" customHeight="1" x14ac:dyDescent="0.25">
      <c r="B1025" s="276">
        <v>8412600038727</v>
      </c>
      <c r="C1025" s="81">
        <v>18</v>
      </c>
      <c r="D1025" s="23" t="s">
        <v>2235</v>
      </c>
      <c r="H1025" s="346">
        <v>35.9</v>
      </c>
      <c r="I1025" s="21">
        <v>35.729999999999997</v>
      </c>
      <c r="J1025" s="23" t="s">
        <v>648</v>
      </c>
      <c r="K1025" s="21">
        <v>4101802</v>
      </c>
      <c r="O1025" s="347">
        <v>7003</v>
      </c>
      <c r="P1025" s="87">
        <v>1</v>
      </c>
      <c r="Q1025" s="87">
        <v>1</v>
      </c>
      <c r="R1025" s="84">
        <v>35.9</v>
      </c>
      <c r="Y1025" s="20">
        <f t="shared" si="46"/>
        <v>1</v>
      </c>
      <c r="AA1025" s="98">
        <f t="shared" si="47"/>
        <v>0.17000000000000171</v>
      </c>
      <c r="AB1025" s="350">
        <f t="shared" si="48"/>
        <v>0</v>
      </c>
    </row>
    <row r="1026" spans="2:28" ht="22.15" customHeight="1" x14ac:dyDescent="0.25">
      <c r="B1026" s="276">
        <v>8412600047484</v>
      </c>
      <c r="C1026" s="81">
        <v>18</v>
      </c>
      <c r="D1026" s="23" t="s">
        <v>2236</v>
      </c>
      <c r="H1026" s="346">
        <v>35.9</v>
      </c>
      <c r="I1026" s="21">
        <v>35.729999999999997</v>
      </c>
      <c r="J1026" s="23" t="s">
        <v>648</v>
      </c>
      <c r="K1026" s="21">
        <v>4101819</v>
      </c>
      <c r="O1026" s="347">
        <v>11300</v>
      </c>
      <c r="P1026" s="87">
        <v>1</v>
      </c>
      <c r="Q1026" s="87">
        <v>1</v>
      </c>
      <c r="R1026" s="84">
        <v>35.9</v>
      </c>
      <c r="Y1026" s="20">
        <f t="shared" si="46"/>
        <v>1</v>
      </c>
      <c r="AA1026" s="98">
        <f t="shared" si="47"/>
        <v>0.17000000000000171</v>
      </c>
      <c r="AB1026" s="350">
        <f t="shared" si="48"/>
        <v>0</v>
      </c>
    </row>
    <row r="1027" spans="2:28" ht="22.15" customHeight="1" x14ac:dyDescent="0.25">
      <c r="B1027" s="276">
        <v>8595601701286</v>
      </c>
      <c r="C1027" s="81">
        <v>25</v>
      </c>
      <c r="D1027" s="23" t="s">
        <v>2237</v>
      </c>
      <c r="H1027" s="346">
        <v>9.5</v>
      </c>
      <c r="I1027" s="21">
        <v>8.9</v>
      </c>
      <c r="J1027" s="23" t="s">
        <v>651</v>
      </c>
      <c r="K1027" s="21">
        <v>4101411</v>
      </c>
      <c r="O1027" s="347">
        <v>4217</v>
      </c>
      <c r="P1027" s="87">
        <v>1</v>
      </c>
      <c r="Q1027" s="87">
        <v>1</v>
      </c>
      <c r="R1027" s="84">
        <v>10.5</v>
      </c>
      <c r="Y1027" s="20">
        <f t="shared" si="46"/>
        <v>1</v>
      </c>
      <c r="AA1027" s="98">
        <f t="shared" si="47"/>
        <v>0.59999999999999964</v>
      </c>
      <c r="AB1027" s="350">
        <f t="shared" si="48"/>
        <v>1</v>
      </c>
    </row>
    <row r="1028" spans="2:28" ht="22.15" customHeight="1" x14ac:dyDescent="0.25">
      <c r="B1028" s="276">
        <v>8595601701316</v>
      </c>
      <c r="C1028" s="81">
        <v>25</v>
      </c>
      <c r="D1028" s="23" t="s">
        <v>2238</v>
      </c>
      <c r="H1028" s="346">
        <v>9.5</v>
      </c>
      <c r="I1028" s="21">
        <v>8.9</v>
      </c>
      <c r="J1028" s="23" t="s">
        <v>651</v>
      </c>
      <c r="K1028" s="21">
        <v>4101414</v>
      </c>
      <c r="O1028" s="347">
        <v>4975</v>
      </c>
      <c r="P1028" s="87">
        <v>1</v>
      </c>
      <c r="Q1028" s="87">
        <v>1</v>
      </c>
      <c r="R1028" s="84">
        <v>10.5</v>
      </c>
      <c r="Y1028" s="20">
        <f t="shared" si="46"/>
        <v>1</v>
      </c>
      <c r="AA1028" s="98">
        <f t="shared" si="47"/>
        <v>0.59999999999999964</v>
      </c>
      <c r="AB1028" s="350">
        <f t="shared" si="48"/>
        <v>1</v>
      </c>
    </row>
    <row r="1029" spans="2:28" ht="22.15" customHeight="1" x14ac:dyDescent="0.25">
      <c r="B1029" s="276">
        <v>8595601701309</v>
      </c>
      <c r="C1029" s="81">
        <v>25</v>
      </c>
      <c r="D1029" s="23" t="s">
        <v>2239</v>
      </c>
      <c r="H1029" s="346">
        <v>9.5</v>
      </c>
      <c r="I1029" s="21">
        <v>8.9</v>
      </c>
      <c r="J1029" s="23" t="s">
        <v>651</v>
      </c>
      <c r="K1029" s="21">
        <v>4101413</v>
      </c>
      <c r="O1029" s="347">
        <v>7875</v>
      </c>
      <c r="P1029" s="87">
        <v>1</v>
      </c>
      <c r="Q1029" s="87">
        <v>1</v>
      </c>
      <c r="R1029" s="84">
        <v>10.5</v>
      </c>
      <c r="Y1029" s="20">
        <f t="shared" si="46"/>
        <v>1</v>
      </c>
      <c r="AA1029" s="98">
        <f t="shared" si="47"/>
        <v>0.59999999999999964</v>
      </c>
      <c r="AB1029" s="350">
        <f t="shared" si="48"/>
        <v>1</v>
      </c>
    </row>
    <row r="1030" spans="2:28" ht="22.15" customHeight="1" x14ac:dyDescent="0.25">
      <c r="B1030" s="276">
        <v>5319992006323</v>
      </c>
      <c r="C1030" s="81">
        <v>32</v>
      </c>
      <c r="D1030" s="23" t="s">
        <v>2240</v>
      </c>
      <c r="H1030" s="346">
        <v>5.9</v>
      </c>
      <c r="I1030" s="21">
        <v>5.7</v>
      </c>
      <c r="J1030" s="23" t="s">
        <v>62</v>
      </c>
      <c r="K1030" s="21">
        <v>4101386</v>
      </c>
      <c r="O1030" s="347">
        <v>3901</v>
      </c>
      <c r="P1030" s="87">
        <v>1</v>
      </c>
      <c r="Q1030" s="87">
        <v>1</v>
      </c>
      <c r="R1030" s="84">
        <v>6.6</v>
      </c>
      <c r="Y1030" s="20">
        <f t="shared" si="46"/>
        <v>1</v>
      </c>
      <c r="AA1030" s="98">
        <f t="shared" si="47"/>
        <v>0.20000000000000018</v>
      </c>
      <c r="AB1030" s="350">
        <f t="shared" si="48"/>
        <v>0.69999999999999929</v>
      </c>
    </row>
    <row r="1031" spans="2:28" ht="22.15" customHeight="1" x14ac:dyDescent="0.25">
      <c r="B1031" s="276">
        <v>5319992006682</v>
      </c>
      <c r="C1031" s="81">
        <v>32</v>
      </c>
      <c r="D1031" s="23" t="s">
        <v>2241</v>
      </c>
      <c r="H1031" s="346">
        <v>5.9</v>
      </c>
      <c r="I1031" s="21">
        <v>5.7</v>
      </c>
      <c r="J1031" s="23" t="s">
        <v>62</v>
      </c>
      <c r="K1031" s="21">
        <v>2115115</v>
      </c>
      <c r="O1031" s="347">
        <v>1509</v>
      </c>
      <c r="P1031" s="87">
        <v>1</v>
      </c>
      <c r="Q1031" s="87">
        <v>1</v>
      </c>
      <c r="R1031" s="84">
        <v>6.6</v>
      </c>
      <c r="Y1031" s="20">
        <f t="shared" si="46"/>
        <v>1</v>
      </c>
      <c r="AA1031" s="98">
        <f t="shared" si="47"/>
        <v>0.20000000000000018</v>
      </c>
      <c r="AB1031" s="350">
        <f t="shared" si="48"/>
        <v>0.69999999999999929</v>
      </c>
    </row>
    <row r="1032" spans="2:28" ht="22.15" customHeight="1" x14ac:dyDescent="0.25">
      <c r="B1032" s="276">
        <v>5319990934376</v>
      </c>
      <c r="C1032" s="81">
        <v>32</v>
      </c>
      <c r="D1032" s="23" t="s">
        <v>2242</v>
      </c>
      <c r="H1032" s="346">
        <v>5.9</v>
      </c>
      <c r="I1032" s="21">
        <v>5.7</v>
      </c>
      <c r="J1032" s="23" t="s">
        <v>62</v>
      </c>
      <c r="K1032" s="21">
        <v>4101206</v>
      </c>
      <c r="O1032" s="347">
        <v>6600</v>
      </c>
      <c r="P1032" s="87">
        <v>1</v>
      </c>
      <c r="Q1032" s="87">
        <v>1</v>
      </c>
      <c r="R1032" s="84">
        <v>6.6</v>
      </c>
      <c r="Y1032" s="20">
        <f t="shared" si="46"/>
        <v>1</v>
      </c>
      <c r="AA1032" s="98">
        <f t="shared" si="47"/>
        <v>0.20000000000000018</v>
      </c>
      <c r="AB1032" s="350">
        <f t="shared" si="48"/>
        <v>0.69999999999999929</v>
      </c>
    </row>
    <row r="1033" spans="2:28" ht="22.15" customHeight="1" x14ac:dyDescent="0.25">
      <c r="B1033" s="276">
        <v>5319990934352</v>
      </c>
      <c r="C1033" s="81">
        <v>32</v>
      </c>
      <c r="D1033" s="23" t="s">
        <v>2243</v>
      </c>
      <c r="H1033" s="346">
        <v>5.9</v>
      </c>
      <c r="I1033" s="21">
        <v>5.7</v>
      </c>
      <c r="J1033" s="23" t="s">
        <v>62</v>
      </c>
      <c r="K1033" s="21">
        <v>4101207</v>
      </c>
      <c r="O1033" s="347">
        <v>2078</v>
      </c>
      <c r="P1033" s="87">
        <v>1</v>
      </c>
      <c r="Q1033" s="87">
        <v>1</v>
      </c>
      <c r="R1033" s="84">
        <v>6.6</v>
      </c>
      <c r="Y1033" s="20">
        <f t="shared" si="46"/>
        <v>1</v>
      </c>
      <c r="AA1033" s="98">
        <f t="shared" si="47"/>
        <v>0.20000000000000018</v>
      </c>
      <c r="AB1033" s="350">
        <f t="shared" si="48"/>
        <v>0.69999999999999929</v>
      </c>
    </row>
    <row r="1034" spans="2:28" ht="22.15" customHeight="1" x14ac:dyDescent="0.25">
      <c r="B1034" s="276">
        <v>5319990934253</v>
      </c>
      <c r="C1034" s="81">
        <v>32</v>
      </c>
      <c r="D1034" s="23" t="s">
        <v>2244</v>
      </c>
      <c r="H1034" s="346">
        <v>5.9</v>
      </c>
      <c r="I1034" s="21">
        <v>5.7</v>
      </c>
      <c r="J1034" s="23" t="s">
        <v>62</v>
      </c>
      <c r="K1034" s="21">
        <v>4101322</v>
      </c>
      <c r="O1034" s="347">
        <v>1952</v>
      </c>
      <c r="P1034" s="87">
        <v>1</v>
      </c>
      <c r="Q1034" s="87">
        <v>1</v>
      </c>
      <c r="R1034" s="84">
        <v>6.6</v>
      </c>
      <c r="Y1034" s="20">
        <f t="shared" si="46"/>
        <v>1</v>
      </c>
      <c r="AA1034" s="98">
        <f t="shared" si="47"/>
        <v>0.20000000000000018</v>
      </c>
      <c r="AB1034" s="350">
        <f t="shared" si="48"/>
        <v>0.69999999999999929</v>
      </c>
    </row>
    <row r="1035" spans="2:28" ht="22.15" customHeight="1" x14ac:dyDescent="0.25">
      <c r="B1035" s="276">
        <v>5319990934390</v>
      </c>
      <c r="C1035" s="81">
        <v>42</v>
      </c>
      <c r="D1035" s="23" t="s">
        <v>2245</v>
      </c>
      <c r="H1035" s="346">
        <v>5.9</v>
      </c>
      <c r="I1035" s="21">
        <v>5.7</v>
      </c>
      <c r="J1035" s="23" t="s">
        <v>62</v>
      </c>
      <c r="K1035" s="21">
        <v>4101313</v>
      </c>
      <c r="O1035" s="347">
        <v>1554</v>
      </c>
      <c r="P1035" s="87">
        <v>1</v>
      </c>
      <c r="Q1035" s="87">
        <v>1</v>
      </c>
      <c r="R1035" s="84">
        <v>6.6</v>
      </c>
      <c r="Y1035" s="20">
        <f t="shared" ref="Y1035:Y1066" si="49">COUNTIF(K:K,K1035)</f>
        <v>1</v>
      </c>
      <c r="AA1035" s="98">
        <f t="shared" si="47"/>
        <v>0.20000000000000018</v>
      </c>
      <c r="AB1035" s="350">
        <f t="shared" si="48"/>
        <v>0.69999999999999929</v>
      </c>
    </row>
    <row r="1036" spans="2:28" ht="22.15" customHeight="1" x14ac:dyDescent="0.25">
      <c r="B1036" s="276">
        <v>5319990934789</v>
      </c>
      <c r="C1036" s="81">
        <v>32</v>
      </c>
      <c r="D1036" s="23" t="s">
        <v>2246</v>
      </c>
      <c r="H1036" s="346">
        <v>5.9</v>
      </c>
      <c r="I1036" s="21">
        <v>5.7</v>
      </c>
      <c r="J1036" s="23" t="s">
        <v>62</v>
      </c>
      <c r="K1036" s="21">
        <v>4101125</v>
      </c>
      <c r="O1036" s="347">
        <v>2732</v>
      </c>
      <c r="P1036" s="87">
        <v>1</v>
      </c>
      <c r="Q1036" s="87">
        <v>1</v>
      </c>
      <c r="R1036" s="84">
        <v>6.6</v>
      </c>
      <c r="Y1036" s="20">
        <f t="shared" si="49"/>
        <v>1</v>
      </c>
      <c r="AA1036" s="98">
        <f t="shared" si="47"/>
        <v>0.20000000000000018</v>
      </c>
      <c r="AB1036" s="350">
        <f t="shared" si="48"/>
        <v>0.69999999999999929</v>
      </c>
    </row>
    <row r="1037" spans="2:28" ht="22.15" customHeight="1" x14ac:dyDescent="0.25">
      <c r="B1037" s="276">
        <v>5319990934796</v>
      </c>
      <c r="C1037" s="81">
        <v>32</v>
      </c>
      <c r="D1037" s="23" t="s">
        <v>2247</v>
      </c>
      <c r="H1037" s="346">
        <v>5.9</v>
      </c>
      <c r="I1037" s="21">
        <v>5.7</v>
      </c>
      <c r="J1037" s="23" t="s">
        <v>62</v>
      </c>
      <c r="K1037" s="21">
        <v>4101126</v>
      </c>
      <c r="O1037" s="347">
        <v>3596</v>
      </c>
      <c r="P1037" s="87">
        <v>1</v>
      </c>
      <c r="Q1037" s="87">
        <v>1</v>
      </c>
      <c r="R1037" s="84">
        <v>6.6</v>
      </c>
      <c r="Y1037" s="20">
        <f t="shared" si="49"/>
        <v>1</v>
      </c>
      <c r="AA1037" s="98">
        <f t="shared" si="47"/>
        <v>0.20000000000000018</v>
      </c>
      <c r="AB1037" s="350">
        <f t="shared" si="48"/>
        <v>0.69999999999999929</v>
      </c>
    </row>
    <row r="1038" spans="2:28" ht="22.15" customHeight="1" x14ac:dyDescent="0.25">
      <c r="B1038" s="276">
        <v>5319990934802</v>
      </c>
      <c r="C1038" s="81">
        <v>32</v>
      </c>
      <c r="D1038" s="23" t="s">
        <v>2248</v>
      </c>
      <c r="H1038" s="346">
        <v>5.9</v>
      </c>
      <c r="I1038" s="21">
        <v>5.7</v>
      </c>
      <c r="J1038" s="23" t="s">
        <v>62</v>
      </c>
      <c r="K1038" s="21">
        <v>4101123</v>
      </c>
      <c r="O1038" s="347">
        <v>5751</v>
      </c>
      <c r="P1038" s="87">
        <v>1</v>
      </c>
      <c r="Q1038" s="87">
        <v>1</v>
      </c>
      <c r="R1038" s="84">
        <v>6.6</v>
      </c>
      <c r="Y1038" s="20">
        <f t="shared" si="49"/>
        <v>1</v>
      </c>
      <c r="AA1038" s="98">
        <f t="shared" si="47"/>
        <v>0.20000000000000018</v>
      </c>
      <c r="AB1038" s="350">
        <f t="shared" si="48"/>
        <v>0.69999999999999929</v>
      </c>
    </row>
    <row r="1039" spans="2:28" ht="22.15" customHeight="1" x14ac:dyDescent="0.25">
      <c r="B1039" s="276">
        <v>5319990934475</v>
      </c>
      <c r="C1039" s="81">
        <v>32</v>
      </c>
      <c r="D1039" s="23" t="s">
        <v>2249</v>
      </c>
      <c r="H1039" s="346">
        <v>5.9</v>
      </c>
      <c r="I1039" s="21">
        <v>5.7</v>
      </c>
      <c r="J1039" s="23" t="s">
        <v>62</v>
      </c>
      <c r="K1039" s="21">
        <v>4101124</v>
      </c>
      <c r="O1039" s="347">
        <v>5181</v>
      </c>
      <c r="P1039" s="87">
        <v>1</v>
      </c>
      <c r="Q1039" s="87">
        <v>1</v>
      </c>
      <c r="R1039" s="84">
        <v>6.6</v>
      </c>
      <c r="Y1039" s="20">
        <f t="shared" si="49"/>
        <v>1</v>
      </c>
      <c r="AA1039" s="98">
        <f t="shared" si="47"/>
        <v>0.20000000000000018</v>
      </c>
      <c r="AB1039" s="350">
        <f t="shared" si="48"/>
        <v>0.69999999999999929</v>
      </c>
    </row>
    <row r="1040" spans="2:28" ht="22.15" customHeight="1" x14ac:dyDescent="0.25">
      <c r="B1040" s="276">
        <v>5319990934598</v>
      </c>
      <c r="C1040" s="81">
        <v>32</v>
      </c>
      <c r="D1040" s="23" t="s">
        <v>2250</v>
      </c>
      <c r="H1040" s="346">
        <v>5.9</v>
      </c>
      <c r="I1040" s="21">
        <v>5.7</v>
      </c>
      <c r="J1040" s="23" t="s">
        <v>62</v>
      </c>
      <c r="K1040" s="21">
        <v>4101127</v>
      </c>
      <c r="O1040" s="347">
        <v>2740</v>
      </c>
      <c r="P1040" s="87">
        <v>1</v>
      </c>
      <c r="Q1040" s="87">
        <v>1</v>
      </c>
      <c r="R1040" s="84">
        <v>6.6</v>
      </c>
      <c r="Y1040" s="20">
        <f t="shared" si="49"/>
        <v>1</v>
      </c>
      <c r="AA1040" s="98">
        <f t="shared" si="47"/>
        <v>0.20000000000000018</v>
      </c>
      <c r="AB1040" s="350">
        <f t="shared" si="48"/>
        <v>0.69999999999999929</v>
      </c>
    </row>
    <row r="1041" spans="2:28" ht="22.15" customHeight="1" x14ac:dyDescent="0.25">
      <c r="B1041" s="276">
        <v>5319990934383</v>
      </c>
      <c r="C1041" s="81">
        <v>50</v>
      </c>
      <c r="D1041" s="23" t="s">
        <v>2251</v>
      </c>
      <c r="H1041" s="346">
        <v>6.5</v>
      </c>
      <c r="I1041" s="21">
        <v>6.27</v>
      </c>
      <c r="J1041" s="23" t="s">
        <v>62</v>
      </c>
      <c r="K1041" s="21">
        <v>4101208</v>
      </c>
      <c r="O1041" s="347">
        <v>948</v>
      </c>
      <c r="P1041" s="87">
        <v>1</v>
      </c>
      <c r="Q1041" s="87">
        <v>1</v>
      </c>
      <c r="R1041" s="84">
        <v>7.2</v>
      </c>
      <c r="Y1041" s="20">
        <f t="shared" si="49"/>
        <v>1</v>
      </c>
      <c r="AA1041" s="98">
        <f t="shared" si="47"/>
        <v>0.23000000000000043</v>
      </c>
      <c r="AB1041" s="350">
        <f t="shared" si="48"/>
        <v>0.70000000000000018</v>
      </c>
    </row>
    <row r="1042" spans="2:28" ht="22.15" customHeight="1" x14ac:dyDescent="0.25">
      <c r="B1042" s="276">
        <v>5319990934826</v>
      </c>
      <c r="C1042" s="81">
        <v>50</v>
      </c>
      <c r="D1042" s="23" t="s">
        <v>2252</v>
      </c>
      <c r="H1042" s="346">
        <v>6.5</v>
      </c>
      <c r="I1042" s="21">
        <v>6.27</v>
      </c>
      <c r="J1042" s="23" t="s">
        <v>62</v>
      </c>
      <c r="K1042" s="21">
        <v>4101209</v>
      </c>
      <c r="O1042" s="347">
        <v>1035</v>
      </c>
      <c r="P1042" s="87">
        <v>1</v>
      </c>
      <c r="Q1042" s="87">
        <v>1</v>
      </c>
      <c r="R1042" s="84">
        <v>7.2</v>
      </c>
      <c r="Y1042" s="20">
        <f t="shared" si="49"/>
        <v>1</v>
      </c>
      <c r="AA1042" s="98">
        <f t="shared" si="47"/>
        <v>0.23000000000000043</v>
      </c>
      <c r="AB1042" s="350">
        <f t="shared" si="48"/>
        <v>0.70000000000000018</v>
      </c>
    </row>
    <row r="1043" spans="2:28" ht="22.15" customHeight="1" x14ac:dyDescent="0.25">
      <c r="B1043" s="276">
        <v>8585002411778</v>
      </c>
      <c r="C1043" s="81">
        <v>14</v>
      </c>
      <c r="D1043" s="23" t="s">
        <v>2253</v>
      </c>
      <c r="H1043" s="346">
        <v>29.9</v>
      </c>
      <c r="I1043" s="21">
        <v>28.57</v>
      </c>
      <c r="J1043" s="23" t="s">
        <v>421</v>
      </c>
      <c r="K1043" s="21">
        <v>4050488</v>
      </c>
      <c r="O1043" s="347">
        <v>2139</v>
      </c>
      <c r="P1043" s="87">
        <v>1</v>
      </c>
      <c r="Q1043" s="87">
        <v>1</v>
      </c>
      <c r="R1043" s="84">
        <v>31.9</v>
      </c>
      <c r="Y1043" s="20">
        <f t="shared" si="49"/>
        <v>1</v>
      </c>
      <c r="AA1043" s="98">
        <f t="shared" si="47"/>
        <v>1.3299999999999983</v>
      </c>
      <c r="AB1043" s="350">
        <f t="shared" si="48"/>
        <v>2</v>
      </c>
    </row>
    <row r="1044" spans="2:28" ht="22.15" customHeight="1" x14ac:dyDescent="0.25">
      <c r="B1044" s="276">
        <v>8585002444929</v>
      </c>
      <c r="C1044" s="81">
        <v>14</v>
      </c>
      <c r="D1044" s="23" t="s">
        <v>2254</v>
      </c>
      <c r="H1044" s="346">
        <v>29.9</v>
      </c>
      <c r="I1044" s="21">
        <v>28.57</v>
      </c>
      <c r="J1044" s="23" t="s">
        <v>421</v>
      </c>
      <c r="K1044" s="21">
        <v>4054229</v>
      </c>
      <c r="O1044" s="347">
        <v>1329</v>
      </c>
      <c r="P1044" s="87">
        <v>1</v>
      </c>
      <c r="Q1044" s="87">
        <v>1</v>
      </c>
      <c r="R1044" s="84">
        <v>31.9</v>
      </c>
      <c r="Y1044" s="20">
        <f t="shared" si="49"/>
        <v>1</v>
      </c>
      <c r="AA1044" s="98">
        <f t="shared" si="47"/>
        <v>1.3299999999999983</v>
      </c>
      <c r="AB1044" s="350">
        <f t="shared" si="48"/>
        <v>2</v>
      </c>
    </row>
    <row r="1045" spans="2:28" ht="22.15" customHeight="1" x14ac:dyDescent="0.25">
      <c r="B1045" s="276">
        <v>8585002427717</v>
      </c>
      <c r="C1045" s="81">
        <v>14</v>
      </c>
      <c r="D1045" s="23" t="s">
        <v>2255</v>
      </c>
      <c r="H1045" s="346">
        <v>29.9</v>
      </c>
      <c r="I1045" s="21">
        <v>28.57</v>
      </c>
      <c r="J1045" s="23" t="s">
        <v>421</v>
      </c>
      <c r="K1045" s="21">
        <v>4050489</v>
      </c>
      <c r="O1045" s="347">
        <v>1296</v>
      </c>
      <c r="P1045" s="87">
        <v>1</v>
      </c>
      <c r="Q1045" s="87">
        <v>1</v>
      </c>
      <c r="R1045" s="84">
        <v>31.9</v>
      </c>
      <c r="Y1045" s="20">
        <f t="shared" si="49"/>
        <v>1</v>
      </c>
      <c r="AA1045" s="98">
        <f t="shared" si="47"/>
        <v>1.3299999999999983</v>
      </c>
      <c r="AB1045" s="350">
        <f t="shared" si="48"/>
        <v>2</v>
      </c>
    </row>
    <row r="1046" spans="2:28" ht="22.15" customHeight="1" x14ac:dyDescent="0.25">
      <c r="B1046" s="276">
        <v>8585002420626</v>
      </c>
      <c r="C1046" s="81">
        <v>14</v>
      </c>
      <c r="D1046" s="23" t="s">
        <v>2256</v>
      </c>
      <c r="H1046" s="346">
        <v>29.9</v>
      </c>
      <c r="I1046" s="21">
        <v>28.57</v>
      </c>
      <c r="J1046" s="23" t="s">
        <v>421</v>
      </c>
      <c r="K1046" s="21">
        <v>4051156</v>
      </c>
      <c r="O1046" s="347">
        <v>1052</v>
      </c>
      <c r="P1046" s="87">
        <v>1</v>
      </c>
      <c r="Q1046" s="87">
        <v>1</v>
      </c>
      <c r="R1046" s="84">
        <v>31.9</v>
      </c>
      <c r="Y1046" s="20">
        <f t="shared" si="49"/>
        <v>1</v>
      </c>
      <c r="AA1046" s="98">
        <f t="shared" si="47"/>
        <v>1.3299999999999983</v>
      </c>
      <c r="AB1046" s="350">
        <f t="shared" si="48"/>
        <v>2</v>
      </c>
    </row>
    <row r="1047" spans="2:28" ht="22.15" customHeight="1" x14ac:dyDescent="0.25">
      <c r="B1047" s="276">
        <v>8585002416049</v>
      </c>
      <c r="C1047" s="81">
        <v>14</v>
      </c>
      <c r="D1047" s="23" t="s">
        <v>2257</v>
      </c>
      <c r="H1047" s="346">
        <v>29.9</v>
      </c>
      <c r="I1047" s="21">
        <v>28.57</v>
      </c>
      <c r="J1047" s="23" t="s">
        <v>421</v>
      </c>
      <c r="K1047" s="21">
        <v>4052017</v>
      </c>
      <c r="O1047" s="347">
        <v>949</v>
      </c>
      <c r="P1047" s="87">
        <v>1</v>
      </c>
      <c r="Q1047" s="87">
        <v>1</v>
      </c>
      <c r="R1047" s="84">
        <v>31.9</v>
      </c>
      <c r="Y1047" s="20">
        <f t="shared" si="49"/>
        <v>1</v>
      </c>
      <c r="AA1047" s="98">
        <f t="shared" si="47"/>
        <v>1.3299999999999983</v>
      </c>
      <c r="AB1047" s="350">
        <f t="shared" si="48"/>
        <v>2</v>
      </c>
    </row>
    <row r="1048" spans="2:28" ht="22.15" customHeight="1" x14ac:dyDescent="0.25">
      <c r="B1048" s="276">
        <v>8585002409768</v>
      </c>
      <c r="C1048" s="81">
        <v>14</v>
      </c>
      <c r="D1048" s="23" t="s">
        <v>2258</v>
      </c>
      <c r="H1048" s="346">
        <v>29.9</v>
      </c>
      <c r="I1048" s="21">
        <v>28.57</v>
      </c>
      <c r="J1048" s="23" t="s">
        <v>421</v>
      </c>
      <c r="K1048" s="21">
        <v>4050490</v>
      </c>
      <c r="O1048" s="347">
        <v>1422</v>
      </c>
      <c r="P1048" s="87">
        <v>1</v>
      </c>
      <c r="Q1048" s="87">
        <v>1</v>
      </c>
      <c r="R1048" s="84">
        <v>31.9</v>
      </c>
      <c r="Y1048" s="20">
        <f t="shared" si="49"/>
        <v>1</v>
      </c>
      <c r="AA1048" s="98">
        <f t="shared" si="47"/>
        <v>1.3299999999999983</v>
      </c>
      <c r="AB1048" s="350">
        <f t="shared" si="48"/>
        <v>2</v>
      </c>
    </row>
    <row r="1049" spans="2:28" ht="22.15" customHeight="1" x14ac:dyDescent="0.25">
      <c r="B1049" s="276">
        <v>8585002427694</v>
      </c>
      <c r="C1049" s="81">
        <v>14</v>
      </c>
      <c r="D1049" s="23" t="s">
        <v>2259</v>
      </c>
      <c r="H1049" s="346">
        <v>29.9</v>
      </c>
      <c r="I1049" s="21">
        <v>28.57</v>
      </c>
      <c r="J1049" s="23" t="s">
        <v>421</v>
      </c>
      <c r="K1049" s="21">
        <v>4051341</v>
      </c>
      <c r="O1049" s="347">
        <v>782</v>
      </c>
      <c r="P1049" s="87">
        <v>1</v>
      </c>
      <c r="Q1049" s="87">
        <v>1</v>
      </c>
      <c r="R1049" s="84">
        <v>31.9</v>
      </c>
      <c r="Y1049" s="20">
        <f t="shared" si="49"/>
        <v>1</v>
      </c>
      <c r="AA1049" s="98">
        <f t="shared" si="47"/>
        <v>1.3299999999999983</v>
      </c>
      <c r="AB1049" s="350">
        <f t="shared" si="48"/>
        <v>2</v>
      </c>
    </row>
    <row r="1050" spans="2:28" ht="22.15" customHeight="1" x14ac:dyDescent="0.25">
      <c r="B1050" s="276">
        <v>8585002426345</v>
      </c>
      <c r="C1050" s="81">
        <v>14</v>
      </c>
      <c r="D1050" s="23" t="s">
        <v>2260</v>
      </c>
      <c r="H1050" s="346">
        <v>29.9</v>
      </c>
      <c r="I1050" s="21">
        <v>28.57</v>
      </c>
      <c r="J1050" s="23" t="s">
        <v>421</v>
      </c>
      <c r="K1050" s="21">
        <v>4051249</v>
      </c>
      <c r="O1050" s="347">
        <v>746</v>
      </c>
      <c r="P1050" s="87">
        <v>1</v>
      </c>
      <c r="Q1050" s="87">
        <v>1</v>
      </c>
      <c r="R1050" s="84">
        <v>31.9</v>
      </c>
      <c r="Y1050" s="20">
        <f t="shared" si="49"/>
        <v>1</v>
      </c>
      <c r="AA1050" s="98">
        <f t="shared" si="47"/>
        <v>1.3299999999999983</v>
      </c>
      <c r="AB1050" s="350">
        <f t="shared" si="48"/>
        <v>2</v>
      </c>
    </row>
    <row r="1051" spans="2:28" ht="22.15" customHeight="1" x14ac:dyDescent="0.25">
      <c r="B1051" s="276">
        <v>8585002408976</v>
      </c>
      <c r="C1051" s="81">
        <v>14</v>
      </c>
      <c r="D1051" s="23" t="s">
        <v>2261</v>
      </c>
      <c r="H1051" s="346">
        <v>29.9</v>
      </c>
      <c r="I1051" s="21">
        <v>28.57</v>
      </c>
      <c r="J1051" s="23" t="s">
        <v>421</v>
      </c>
      <c r="K1051" s="21">
        <v>4051153</v>
      </c>
      <c r="O1051" s="347">
        <v>2201</v>
      </c>
      <c r="P1051" s="87">
        <v>1</v>
      </c>
      <c r="Q1051" s="87">
        <v>1</v>
      </c>
      <c r="R1051" s="84">
        <v>31.9</v>
      </c>
      <c r="Y1051" s="20">
        <f t="shared" si="49"/>
        <v>1</v>
      </c>
      <c r="AA1051" s="98">
        <f t="shared" si="47"/>
        <v>1.3299999999999983</v>
      </c>
      <c r="AB1051" s="350">
        <f t="shared" si="48"/>
        <v>2</v>
      </c>
    </row>
    <row r="1052" spans="2:28" ht="22.15" customHeight="1" x14ac:dyDescent="0.25">
      <c r="B1052" s="276">
        <v>8585002426208</v>
      </c>
      <c r="C1052" s="81">
        <v>14</v>
      </c>
      <c r="D1052" s="23" t="s">
        <v>2262</v>
      </c>
      <c r="H1052" s="346">
        <v>29.9</v>
      </c>
      <c r="I1052" s="21">
        <v>28.57</v>
      </c>
      <c r="J1052" s="23" t="s">
        <v>421</v>
      </c>
      <c r="K1052" s="21">
        <v>4051155</v>
      </c>
      <c r="O1052" s="347">
        <v>1146</v>
      </c>
      <c r="P1052" s="87">
        <v>1</v>
      </c>
      <c r="Q1052" s="87">
        <v>1</v>
      </c>
      <c r="R1052" s="84">
        <v>31.9</v>
      </c>
      <c r="Y1052" s="20">
        <f t="shared" si="49"/>
        <v>1</v>
      </c>
      <c r="AA1052" s="98">
        <f t="shared" si="47"/>
        <v>1.3299999999999983</v>
      </c>
      <c r="AB1052" s="350">
        <f t="shared" si="48"/>
        <v>2</v>
      </c>
    </row>
    <row r="1053" spans="2:28" ht="22.15" customHeight="1" x14ac:dyDescent="0.25">
      <c r="B1053" s="276">
        <v>8585002443342</v>
      </c>
      <c r="C1053" s="81">
        <v>12</v>
      </c>
      <c r="D1053" s="23" t="s">
        <v>2263</v>
      </c>
      <c r="H1053" s="346">
        <v>29.9</v>
      </c>
      <c r="I1053" s="21">
        <v>28.57</v>
      </c>
      <c r="J1053" s="23" t="s">
        <v>421</v>
      </c>
      <c r="K1053" s="21">
        <v>2113734</v>
      </c>
      <c r="O1053" s="347">
        <v>362</v>
      </c>
      <c r="P1053" s="87">
        <v>1</v>
      </c>
      <c r="Q1053" s="87">
        <v>1</v>
      </c>
      <c r="R1053" s="84">
        <v>31.9</v>
      </c>
      <c r="Y1053" s="20">
        <f t="shared" si="49"/>
        <v>1</v>
      </c>
      <c r="AA1053" s="98">
        <f t="shared" si="47"/>
        <v>1.3299999999999983</v>
      </c>
      <c r="AB1053" s="350">
        <f t="shared" si="48"/>
        <v>2</v>
      </c>
    </row>
    <row r="1054" spans="2:28" ht="22.15" customHeight="1" x14ac:dyDescent="0.25">
      <c r="B1054" s="276">
        <v>8585002442710</v>
      </c>
      <c r="C1054" s="81">
        <v>12</v>
      </c>
      <c r="D1054" s="23" t="s">
        <v>2264</v>
      </c>
      <c r="H1054" s="346">
        <v>29.9</v>
      </c>
      <c r="I1054" s="21">
        <v>28.57</v>
      </c>
      <c r="J1054" s="23" t="s">
        <v>421</v>
      </c>
      <c r="K1054" s="21">
        <v>4053803</v>
      </c>
      <c r="O1054" s="347">
        <v>622</v>
      </c>
      <c r="P1054" s="87">
        <v>1</v>
      </c>
      <c r="Q1054" s="87">
        <v>1</v>
      </c>
      <c r="R1054" s="84">
        <v>31.9</v>
      </c>
      <c r="Y1054" s="20">
        <f t="shared" si="49"/>
        <v>1</v>
      </c>
      <c r="AA1054" s="98">
        <f t="shared" si="47"/>
        <v>1.3299999999999983</v>
      </c>
      <c r="AB1054" s="350">
        <f t="shared" si="48"/>
        <v>2</v>
      </c>
    </row>
    <row r="1055" spans="2:28" ht="22.15" customHeight="1" x14ac:dyDescent="0.25">
      <c r="B1055" s="276">
        <v>8585002442734</v>
      </c>
      <c r="C1055" s="81">
        <v>12</v>
      </c>
      <c r="D1055" s="23" t="s">
        <v>2265</v>
      </c>
      <c r="H1055" s="346">
        <v>29.9</v>
      </c>
      <c r="I1055" s="21">
        <v>28.57</v>
      </c>
      <c r="J1055" s="23" t="s">
        <v>421</v>
      </c>
      <c r="K1055" s="21">
        <v>4053802</v>
      </c>
      <c r="O1055" s="347">
        <v>609</v>
      </c>
      <c r="P1055" s="87">
        <v>1</v>
      </c>
      <c r="Q1055" s="87">
        <v>1</v>
      </c>
      <c r="R1055" s="84">
        <v>31.9</v>
      </c>
      <c r="Y1055" s="20">
        <f t="shared" si="49"/>
        <v>1</v>
      </c>
      <c r="AA1055" s="98">
        <f t="shared" si="47"/>
        <v>1.3299999999999983</v>
      </c>
      <c r="AB1055" s="350">
        <f t="shared" si="48"/>
        <v>2</v>
      </c>
    </row>
    <row r="1056" spans="2:28" ht="22.15" customHeight="1" x14ac:dyDescent="0.25">
      <c r="B1056" s="276">
        <v>8585002443328</v>
      </c>
      <c r="C1056" s="81">
        <v>12</v>
      </c>
      <c r="D1056" s="23" t="s">
        <v>2266</v>
      </c>
      <c r="H1056" s="346">
        <v>29.9</v>
      </c>
      <c r="I1056" s="21">
        <v>28.57</v>
      </c>
      <c r="J1056" s="23" t="s">
        <v>421</v>
      </c>
      <c r="K1056" s="21">
        <v>4053804</v>
      </c>
      <c r="O1056" s="347">
        <v>504</v>
      </c>
      <c r="P1056" s="87">
        <v>1</v>
      </c>
      <c r="Q1056" s="87">
        <v>1</v>
      </c>
      <c r="R1056" s="84">
        <v>31.9</v>
      </c>
      <c r="Y1056" s="20">
        <f t="shared" si="49"/>
        <v>1</v>
      </c>
      <c r="AA1056" s="98">
        <f t="shared" si="47"/>
        <v>1.3299999999999983</v>
      </c>
      <c r="AB1056" s="350">
        <f t="shared" si="48"/>
        <v>2</v>
      </c>
    </row>
    <row r="1057" spans="2:28" ht="22.15" customHeight="1" x14ac:dyDescent="0.25">
      <c r="B1057" s="276">
        <v>8585002438898</v>
      </c>
      <c r="C1057" s="81">
        <v>15</v>
      </c>
      <c r="D1057" s="23" t="s">
        <v>2267</v>
      </c>
      <c r="H1057" s="346">
        <v>29.9</v>
      </c>
      <c r="I1057" s="21">
        <v>28.57</v>
      </c>
      <c r="J1057" s="23" t="s">
        <v>421</v>
      </c>
      <c r="K1057" s="21">
        <v>2113732</v>
      </c>
      <c r="O1057" s="347">
        <v>393</v>
      </c>
      <c r="Q1057" s="87">
        <v>1</v>
      </c>
      <c r="R1057" s="84">
        <v>31.9</v>
      </c>
      <c r="Y1057" s="20">
        <f t="shared" si="49"/>
        <v>1</v>
      </c>
      <c r="AA1057" s="98">
        <f t="shared" si="47"/>
        <v>1.3299999999999983</v>
      </c>
      <c r="AB1057" s="350">
        <f t="shared" si="48"/>
        <v>2</v>
      </c>
    </row>
    <row r="1058" spans="2:28" ht="22.15" customHeight="1" x14ac:dyDescent="0.25">
      <c r="B1058" s="276">
        <v>8445290751188</v>
      </c>
      <c r="C1058" s="81">
        <v>26</v>
      </c>
      <c r="D1058" s="23" t="s">
        <v>2268</v>
      </c>
      <c r="H1058" s="346">
        <v>10.5</v>
      </c>
      <c r="I1058" s="21">
        <v>8.85</v>
      </c>
      <c r="J1058" s="23" t="s">
        <v>421</v>
      </c>
      <c r="K1058" s="21">
        <v>7082736</v>
      </c>
      <c r="O1058" s="347">
        <v>1463</v>
      </c>
      <c r="P1058" s="87">
        <v>1</v>
      </c>
      <c r="Q1058" s="87">
        <v>1</v>
      </c>
      <c r="R1058" s="84">
        <v>11.5</v>
      </c>
      <c r="Y1058" s="20">
        <f t="shared" si="49"/>
        <v>1</v>
      </c>
      <c r="AA1058" s="98">
        <f t="shared" si="47"/>
        <v>1.6500000000000004</v>
      </c>
      <c r="AB1058" s="350">
        <f t="shared" si="48"/>
        <v>1</v>
      </c>
    </row>
    <row r="1059" spans="2:28" ht="22.15" customHeight="1" x14ac:dyDescent="0.25">
      <c r="B1059" s="276">
        <v>8445290751218</v>
      </c>
      <c r="C1059" s="81">
        <v>26</v>
      </c>
      <c r="D1059" s="23" t="s">
        <v>2269</v>
      </c>
      <c r="H1059" s="346">
        <v>10.5</v>
      </c>
      <c r="I1059" s="21">
        <v>8.85</v>
      </c>
      <c r="J1059" s="23" t="s">
        <v>421</v>
      </c>
      <c r="K1059" s="21">
        <v>7082737</v>
      </c>
      <c r="O1059" s="347">
        <v>1439</v>
      </c>
      <c r="P1059" s="87">
        <v>1</v>
      </c>
      <c r="Q1059" s="87">
        <v>1</v>
      </c>
      <c r="R1059" s="84">
        <v>11.5</v>
      </c>
      <c r="Y1059" s="20">
        <f t="shared" si="49"/>
        <v>1</v>
      </c>
      <c r="AA1059" s="98">
        <f t="shared" si="47"/>
        <v>1.6500000000000004</v>
      </c>
      <c r="AB1059" s="350">
        <f t="shared" si="48"/>
        <v>1</v>
      </c>
    </row>
    <row r="1060" spans="2:28" ht="22.15" customHeight="1" x14ac:dyDescent="0.25">
      <c r="B1060" s="276">
        <v>8445290752512</v>
      </c>
      <c r="C1060" s="81">
        <v>12</v>
      </c>
      <c r="D1060" s="23" t="s">
        <v>2270</v>
      </c>
      <c r="H1060" s="346">
        <v>33.5</v>
      </c>
      <c r="I1060" s="21">
        <v>30.13</v>
      </c>
      <c r="J1060" s="23" t="s">
        <v>421</v>
      </c>
      <c r="K1060" s="21">
        <v>7082738</v>
      </c>
      <c r="O1060" s="347">
        <v>501</v>
      </c>
      <c r="P1060" s="87">
        <v>1</v>
      </c>
      <c r="Q1060" s="87">
        <v>1</v>
      </c>
      <c r="R1060" s="84">
        <v>37.9</v>
      </c>
      <c r="Y1060" s="20">
        <f t="shared" si="49"/>
        <v>1</v>
      </c>
      <c r="AA1060" s="98">
        <f t="shared" si="47"/>
        <v>3.370000000000001</v>
      </c>
      <c r="AB1060" s="350">
        <f t="shared" si="48"/>
        <v>4.3999999999999986</v>
      </c>
    </row>
    <row r="1061" spans="2:28" ht="22.15" customHeight="1" x14ac:dyDescent="0.25">
      <c r="B1061" s="276">
        <v>8445290752383</v>
      </c>
      <c r="C1061" s="81">
        <v>12</v>
      </c>
      <c r="D1061" s="23" t="s">
        <v>2271</v>
      </c>
      <c r="H1061" s="346">
        <v>33.5</v>
      </c>
      <c r="I1061" s="21">
        <v>30.13</v>
      </c>
      <c r="J1061" s="23" t="s">
        <v>421</v>
      </c>
      <c r="K1061" s="21">
        <v>7082739</v>
      </c>
      <c r="O1061" s="347">
        <v>465</v>
      </c>
      <c r="P1061" s="87">
        <v>1</v>
      </c>
      <c r="Q1061" s="87">
        <v>1</v>
      </c>
      <c r="R1061" s="84">
        <v>37.9</v>
      </c>
      <c r="Y1061" s="20">
        <f t="shared" si="49"/>
        <v>1</v>
      </c>
      <c r="AA1061" s="98">
        <f t="shared" si="47"/>
        <v>3.370000000000001</v>
      </c>
      <c r="AB1061" s="350">
        <f t="shared" si="48"/>
        <v>4.3999999999999986</v>
      </c>
    </row>
    <row r="1062" spans="2:28" ht="22.15" customHeight="1" x14ac:dyDescent="0.25">
      <c r="B1062" s="276">
        <v>8445290751652</v>
      </c>
      <c r="C1062" s="81">
        <v>12</v>
      </c>
      <c r="D1062" s="23" t="s">
        <v>2272</v>
      </c>
      <c r="H1062" s="346">
        <v>33.5</v>
      </c>
      <c r="I1062" s="21">
        <v>30.13</v>
      </c>
      <c r="J1062" s="23" t="s">
        <v>421</v>
      </c>
      <c r="K1062" s="21">
        <v>7082740</v>
      </c>
      <c r="O1062" s="347">
        <v>553</v>
      </c>
      <c r="P1062" s="87">
        <v>1</v>
      </c>
      <c r="Q1062" s="87">
        <v>1</v>
      </c>
      <c r="R1062" s="84">
        <v>37.9</v>
      </c>
      <c r="Y1062" s="20">
        <f t="shared" si="49"/>
        <v>1</v>
      </c>
      <c r="AA1062" s="98">
        <f t="shared" si="47"/>
        <v>3.370000000000001</v>
      </c>
      <c r="AB1062" s="350">
        <f t="shared" si="48"/>
        <v>4.3999999999999986</v>
      </c>
    </row>
    <row r="1063" spans="2:28" ht="22.15" customHeight="1" x14ac:dyDescent="0.25">
      <c r="B1063" s="276">
        <v>5999566111228</v>
      </c>
      <c r="C1063" s="81">
        <v>10</v>
      </c>
      <c r="D1063" s="23" t="s">
        <v>2273</v>
      </c>
      <c r="H1063" s="346">
        <v>21.9</v>
      </c>
      <c r="I1063" s="21">
        <v>20.99</v>
      </c>
      <c r="J1063" s="23" t="s">
        <v>879</v>
      </c>
      <c r="K1063" s="21">
        <v>7081914</v>
      </c>
      <c r="O1063" s="347">
        <v>422</v>
      </c>
      <c r="P1063" s="87">
        <v>1</v>
      </c>
      <c r="Q1063" s="87">
        <v>1</v>
      </c>
      <c r="R1063" s="84">
        <v>25.9</v>
      </c>
      <c r="Y1063" s="20">
        <f t="shared" si="49"/>
        <v>1</v>
      </c>
      <c r="AA1063" s="98">
        <f t="shared" si="47"/>
        <v>0.91000000000000014</v>
      </c>
      <c r="AB1063" s="350">
        <f t="shared" si="48"/>
        <v>4</v>
      </c>
    </row>
    <row r="1064" spans="2:28" ht="22.15" customHeight="1" x14ac:dyDescent="0.25">
      <c r="B1064" s="276">
        <v>5999566112034</v>
      </c>
      <c r="C1064" s="81">
        <v>10</v>
      </c>
      <c r="D1064" s="23" t="s">
        <v>2274</v>
      </c>
      <c r="H1064" s="346">
        <v>21.9</v>
      </c>
      <c r="I1064" s="21">
        <v>20.99</v>
      </c>
      <c r="J1064" s="23" t="s">
        <v>879</v>
      </c>
      <c r="K1064" s="21">
        <v>7082718</v>
      </c>
      <c r="O1064" s="347">
        <v>737</v>
      </c>
      <c r="P1064" s="87">
        <v>1</v>
      </c>
      <c r="Q1064" s="87">
        <v>1</v>
      </c>
      <c r="R1064" s="84">
        <v>25.9</v>
      </c>
      <c r="Y1064" s="20">
        <f t="shared" si="49"/>
        <v>1</v>
      </c>
      <c r="AA1064" s="98">
        <f t="shared" si="47"/>
        <v>0.91000000000000014</v>
      </c>
      <c r="AB1064" s="350">
        <f t="shared" si="48"/>
        <v>4</v>
      </c>
    </row>
    <row r="1065" spans="2:28" ht="22.15" customHeight="1" x14ac:dyDescent="0.25">
      <c r="B1065" s="276">
        <v>5999566111167</v>
      </c>
      <c r="C1065" s="81">
        <v>4</v>
      </c>
      <c r="D1065" s="23" t="s">
        <v>2275</v>
      </c>
      <c r="H1065" s="346">
        <v>72.900000000000006</v>
      </c>
      <c r="I1065" s="21">
        <v>70.03</v>
      </c>
      <c r="J1065" s="23" t="s">
        <v>879</v>
      </c>
      <c r="K1065" s="21">
        <v>7081907</v>
      </c>
      <c r="O1065" s="347">
        <v>301</v>
      </c>
      <c r="P1065" s="87">
        <v>1</v>
      </c>
      <c r="Q1065" s="87">
        <v>1</v>
      </c>
      <c r="R1065" s="84">
        <v>84.9</v>
      </c>
      <c r="Y1065" s="20">
        <f t="shared" si="49"/>
        <v>1</v>
      </c>
      <c r="AA1065" s="98">
        <f t="shared" si="47"/>
        <v>2.8700000000000045</v>
      </c>
      <c r="AB1065" s="350">
        <f t="shared" si="48"/>
        <v>12</v>
      </c>
    </row>
    <row r="1066" spans="2:28" ht="22.15" customHeight="1" x14ac:dyDescent="0.25">
      <c r="B1066" s="276">
        <v>5999566111150</v>
      </c>
      <c r="C1066" s="81">
        <v>4</v>
      </c>
      <c r="D1066" s="23" t="s">
        <v>2276</v>
      </c>
      <c r="H1066" s="346">
        <v>72.900000000000006</v>
      </c>
      <c r="I1066" s="21">
        <v>70.03</v>
      </c>
      <c r="J1066" s="23" t="s">
        <v>879</v>
      </c>
      <c r="K1066" s="21">
        <v>7081908</v>
      </c>
      <c r="O1066" s="347">
        <v>779</v>
      </c>
      <c r="P1066" s="87">
        <v>1</v>
      </c>
      <c r="Q1066" s="87">
        <v>1</v>
      </c>
      <c r="R1066" s="84">
        <v>84.9</v>
      </c>
      <c r="Y1066" s="20">
        <f t="shared" si="49"/>
        <v>1</v>
      </c>
      <c r="AA1066" s="98">
        <f t="shared" si="47"/>
        <v>2.8700000000000045</v>
      </c>
      <c r="AB1066" s="350">
        <f t="shared" si="48"/>
        <v>12</v>
      </c>
    </row>
    <row r="1067" spans="2:28" ht="22.15" customHeight="1" x14ac:dyDescent="0.25">
      <c r="B1067" s="276">
        <v>5999566111198</v>
      </c>
      <c r="C1067" s="81">
        <v>4</v>
      </c>
      <c r="D1067" s="23" t="s">
        <v>2277</v>
      </c>
      <c r="H1067" s="346">
        <v>72.900000000000006</v>
      </c>
      <c r="I1067" s="21">
        <v>70.03</v>
      </c>
      <c r="J1067" s="23" t="s">
        <v>879</v>
      </c>
      <c r="K1067" s="21">
        <v>7081910</v>
      </c>
      <c r="O1067" s="347">
        <v>512</v>
      </c>
      <c r="P1067" s="87">
        <v>1</v>
      </c>
      <c r="Q1067" s="87">
        <v>1</v>
      </c>
      <c r="R1067" s="84">
        <v>84.9</v>
      </c>
      <c r="Y1067" s="20">
        <f t="shared" ref="Y1067:Y1088" si="50">COUNTIF(K:K,K1067)</f>
        <v>1</v>
      </c>
      <c r="AA1067" s="98">
        <f t="shared" si="47"/>
        <v>2.8700000000000045</v>
      </c>
      <c r="AB1067" s="350">
        <f t="shared" si="48"/>
        <v>12</v>
      </c>
    </row>
    <row r="1068" spans="2:28" ht="22.15" customHeight="1" x14ac:dyDescent="0.25">
      <c r="B1068" s="276">
        <v>5999566111174</v>
      </c>
      <c r="C1068" s="81">
        <v>4</v>
      </c>
      <c r="D1068" s="23" t="s">
        <v>2278</v>
      </c>
      <c r="H1068" s="346">
        <v>72.900000000000006</v>
      </c>
      <c r="I1068" s="21">
        <v>70.03</v>
      </c>
      <c r="J1068" s="23" t="s">
        <v>879</v>
      </c>
      <c r="K1068" s="21">
        <v>7081912</v>
      </c>
      <c r="O1068" s="347">
        <v>868</v>
      </c>
      <c r="P1068" s="87">
        <v>1</v>
      </c>
      <c r="Q1068" s="87">
        <v>1</v>
      </c>
      <c r="R1068" s="84">
        <v>84.9</v>
      </c>
      <c r="Y1068" s="20">
        <f t="shared" si="50"/>
        <v>1</v>
      </c>
      <c r="AA1068" s="98">
        <f t="shared" si="47"/>
        <v>2.8700000000000045</v>
      </c>
      <c r="AB1068" s="350">
        <f t="shared" si="48"/>
        <v>12</v>
      </c>
    </row>
    <row r="1069" spans="2:28" ht="22.15" customHeight="1" x14ac:dyDescent="0.25">
      <c r="B1069" s="276">
        <v>5999566111211</v>
      </c>
      <c r="C1069" s="81">
        <v>4</v>
      </c>
      <c r="D1069" s="23" t="s">
        <v>2279</v>
      </c>
      <c r="H1069" s="346">
        <v>49.9</v>
      </c>
      <c r="I1069" s="21">
        <v>48.29</v>
      </c>
      <c r="J1069" s="23" t="s">
        <v>879</v>
      </c>
      <c r="K1069" s="21">
        <v>7081906</v>
      </c>
      <c r="O1069" s="347">
        <v>557</v>
      </c>
      <c r="P1069" s="87">
        <v>1</v>
      </c>
      <c r="Q1069" s="87">
        <v>1</v>
      </c>
      <c r="R1069" s="84">
        <v>59.9</v>
      </c>
      <c r="Y1069" s="20">
        <f t="shared" si="50"/>
        <v>1</v>
      </c>
      <c r="AA1069" s="98">
        <f t="shared" si="47"/>
        <v>1.6099999999999994</v>
      </c>
      <c r="AB1069" s="350">
        <f t="shared" si="48"/>
        <v>10</v>
      </c>
    </row>
    <row r="1070" spans="2:28" ht="22.15" customHeight="1" x14ac:dyDescent="0.25">
      <c r="B1070" s="276">
        <v>9002506011338</v>
      </c>
      <c r="C1070" s="81">
        <v>22</v>
      </c>
      <c r="D1070" s="23" t="s">
        <v>2280</v>
      </c>
      <c r="H1070" s="346">
        <v>12.5</v>
      </c>
      <c r="I1070" s="21">
        <v>11.64</v>
      </c>
      <c r="J1070" s="23" t="s">
        <v>884</v>
      </c>
      <c r="K1070" s="21">
        <v>7080147</v>
      </c>
      <c r="O1070" s="347">
        <v>2132</v>
      </c>
      <c r="P1070" s="87">
        <v>1</v>
      </c>
      <c r="Q1070" s="87">
        <v>1</v>
      </c>
      <c r="R1070" s="84">
        <v>13.9</v>
      </c>
      <c r="Y1070" s="20">
        <f t="shared" si="50"/>
        <v>1</v>
      </c>
      <c r="AA1070" s="98">
        <f t="shared" ref="AA1070:AA1133" si="51">H1070-I1070</f>
        <v>0.85999999999999943</v>
      </c>
      <c r="AB1070" s="350">
        <f t="shared" ref="AB1070:AB1133" si="52">R1070-H1070</f>
        <v>1.4000000000000004</v>
      </c>
    </row>
    <row r="1071" spans="2:28" ht="22.15" customHeight="1" x14ac:dyDescent="0.25">
      <c r="B1071" s="276">
        <v>9002506011369</v>
      </c>
      <c r="C1071" s="81">
        <v>22</v>
      </c>
      <c r="D1071" s="23" t="s">
        <v>2281</v>
      </c>
      <c r="H1071" s="346">
        <v>12.5</v>
      </c>
      <c r="I1071" s="21">
        <v>11.6</v>
      </c>
      <c r="J1071" s="23" t="s">
        <v>884</v>
      </c>
      <c r="K1071" s="21">
        <v>7080155</v>
      </c>
      <c r="O1071" s="347">
        <v>1632</v>
      </c>
      <c r="P1071" s="87">
        <v>1</v>
      </c>
      <c r="Q1071" s="87">
        <v>1</v>
      </c>
      <c r="R1071" s="84">
        <v>13.9</v>
      </c>
      <c r="Y1071" s="20">
        <f t="shared" si="50"/>
        <v>1</v>
      </c>
      <c r="AA1071" s="98">
        <f t="shared" si="51"/>
        <v>0.90000000000000036</v>
      </c>
      <c r="AB1071" s="350">
        <f t="shared" si="52"/>
        <v>1.4000000000000004</v>
      </c>
    </row>
    <row r="1072" spans="2:28" ht="22.15" customHeight="1" x14ac:dyDescent="0.25">
      <c r="B1072" s="276">
        <v>9002506011345</v>
      </c>
      <c r="C1072" s="81">
        <v>22</v>
      </c>
      <c r="D1072" s="23" t="s">
        <v>2282</v>
      </c>
      <c r="H1072" s="346">
        <v>12.5</v>
      </c>
      <c r="I1072" s="21">
        <v>11.59</v>
      </c>
      <c r="J1072" s="23" t="s">
        <v>884</v>
      </c>
      <c r="K1072" s="21">
        <v>7080148</v>
      </c>
      <c r="O1072" s="347">
        <v>2278</v>
      </c>
      <c r="P1072" s="87">
        <v>1</v>
      </c>
      <c r="Q1072" s="87">
        <v>1</v>
      </c>
      <c r="R1072" s="84">
        <v>13.9</v>
      </c>
      <c r="Y1072" s="20">
        <f t="shared" si="50"/>
        <v>1</v>
      </c>
      <c r="AA1072" s="98">
        <f t="shared" si="51"/>
        <v>0.91000000000000014</v>
      </c>
      <c r="AB1072" s="350">
        <f t="shared" si="52"/>
        <v>1.4000000000000004</v>
      </c>
    </row>
    <row r="1073" spans="2:28" ht="22.15" customHeight="1" x14ac:dyDescent="0.25">
      <c r="B1073" s="276">
        <v>9002506011420</v>
      </c>
      <c r="C1073" s="81">
        <v>18</v>
      </c>
      <c r="D1073" s="23" t="s">
        <v>2283</v>
      </c>
      <c r="H1073" s="346">
        <v>20.5</v>
      </c>
      <c r="I1073" s="21">
        <v>19.57</v>
      </c>
      <c r="J1073" s="23" t="s">
        <v>884</v>
      </c>
      <c r="K1073" s="21">
        <v>7080154</v>
      </c>
      <c r="O1073" s="347">
        <v>4079</v>
      </c>
      <c r="P1073" s="87">
        <v>1</v>
      </c>
      <c r="Q1073" s="87">
        <v>1</v>
      </c>
      <c r="R1073" s="84">
        <v>23.5</v>
      </c>
      <c r="Y1073" s="20">
        <f t="shared" si="50"/>
        <v>1</v>
      </c>
      <c r="AA1073" s="98">
        <f t="shared" si="51"/>
        <v>0.92999999999999972</v>
      </c>
      <c r="AB1073" s="350">
        <f t="shared" si="52"/>
        <v>3</v>
      </c>
    </row>
    <row r="1074" spans="2:28" ht="22.15" customHeight="1" x14ac:dyDescent="0.25">
      <c r="B1074" s="276">
        <v>9002506011437</v>
      </c>
      <c r="C1074" s="81">
        <v>18</v>
      </c>
      <c r="D1074" s="23" t="s">
        <v>2284</v>
      </c>
      <c r="H1074" s="346">
        <v>20.5</v>
      </c>
      <c r="I1074" s="21">
        <v>19.57</v>
      </c>
      <c r="J1074" s="23" t="s">
        <v>884</v>
      </c>
      <c r="K1074" s="21">
        <v>7080153</v>
      </c>
      <c r="O1074" s="347">
        <v>7069</v>
      </c>
      <c r="P1074" s="87">
        <v>1</v>
      </c>
      <c r="Q1074" s="87">
        <v>1</v>
      </c>
      <c r="R1074" s="84">
        <v>23.5</v>
      </c>
      <c r="Y1074" s="20">
        <f t="shared" si="50"/>
        <v>1</v>
      </c>
      <c r="AA1074" s="98">
        <f t="shared" si="51"/>
        <v>0.92999999999999972</v>
      </c>
      <c r="AB1074" s="350">
        <f t="shared" si="52"/>
        <v>3</v>
      </c>
    </row>
    <row r="1075" spans="2:28" ht="22.15" customHeight="1" x14ac:dyDescent="0.25">
      <c r="B1075" s="276">
        <v>7622210928580</v>
      </c>
      <c r="C1075" s="81">
        <v>12</v>
      </c>
      <c r="D1075" s="23" t="s">
        <v>2285</v>
      </c>
      <c r="H1075" s="346">
        <v>32.9</v>
      </c>
      <c r="I1075" s="21">
        <v>31.67</v>
      </c>
      <c r="J1075" s="23" t="s">
        <v>74</v>
      </c>
      <c r="K1075" s="21">
        <v>2013641</v>
      </c>
      <c r="O1075" s="347">
        <v>1557</v>
      </c>
      <c r="P1075" s="87">
        <v>2</v>
      </c>
      <c r="Q1075" s="87">
        <v>2</v>
      </c>
      <c r="R1075" s="84">
        <v>37.9</v>
      </c>
      <c r="Y1075" s="20">
        <f t="shared" si="50"/>
        <v>1</v>
      </c>
      <c r="AA1075" s="98">
        <f t="shared" si="51"/>
        <v>1.2299999999999969</v>
      </c>
      <c r="AB1075" s="350">
        <f t="shared" si="52"/>
        <v>5</v>
      </c>
    </row>
    <row r="1076" spans="2:28" ht="22.15" customHeight="1" x14ac:dyDescent="0.25">
      <c r="B1076" s="276">
        <v>7622210597335</v>
      </c>
      <c r="C1076" s="81">
        <v>10</v>
      </c>
      <c r="D1076" s="23" t="s">
        <v>2286</v>
      </c>
      <c r="H1076" s="346">
        <v>52.9</v>
      </c>
      <c r="I1076" s="21">
        <v>50.65</v>
      </c>
      <c r="J1076" s="23" t="s">
        <v>74</v>
      </c>
      <c r="K1076" s="21">
        <v>2017033</v>
      </c>
      <c r="O1076" s="347">
        <v>566</v>
      </c>
      <c r="P1076" s="87">
        <v>2</v>
      </c>
      <c r="Q1076" s="87">
        <v>2</v>
      </c>
      <c r="R1076" s="84">
        <v>59.9</v>
      </c>
      <c r="Y1076" s="20">
        <f t="shared" si="50"/>
        <v>1</v>
      </c>
      <c r="AA1076" s="98">
        <f t="shared" si="51"/>
        <v>2.25</v>
      </c>
      <c r="AB1076" s="350">
        <f t="shared" si="52"/>
        <v>7</v>
      </c>
    </row>
    <row r="1077" spans="2:28" ht="22.15" customHeight="1" x14ac:dyDescent="0.25">
      <c r="B1077" s="276">
        <v>7622201141448</v>
      </c>
      <c r="C1077" s="81">
        <v>10</v>
      </c>
      <c r="D1077" s="23" t="s">
        <v>2287</v>
      </c>
      <c r="H1077" s="346">
        <v>52.9</v>
      </c>
      <c r="I1077" s="21">
        <v>51.09</v>
      </c>
      <c r="J1077" s="23" t="s">
        <v>74</v>
      </c>
      <c r="K1077" s="21">
        <v>2110813</v>
      </c>
      <c r="O1077" s="347">
        <v>250</v>
      </c>
      <c r="P1077" s="87">
        <v>2</v>
      </c>
      <c r="Q1077" s="87">
        <v>2</v>
      </c>
      <c r="R1077" s="84">
        <v>59.9</v>
      </c>
      <c r="Y1077" s="20">
        <f t="shared" si="50"/>
        <v>1</v>
      </c>
      <c r="AA1077" s="98">
        <f t="shared" si="51"/>
        <v>1.8099999999999952</v>
      </c>
      <c r="AB1077" s="350">
        <f t="shared" si="52"/>
        <v>7</v>
      </c>
    </row>
    <row r="1078" spans="2:28" ht="22.15" customHeight="1" x14ac:dyDescent="0.25">
      <c r="B1078" s="276">
        <v>7622210594723</v>
      </c>
      <c r="C1078" s="81">
        <v>10</v>
      </c>
      <c r="D1078" s="23" t="s">
        <v>2288</v>
      </c>
      <c r="H1078" s="346">
        <v>52.9</v>
      </c>
      <c r="I1078" s="21">
        <v>51.09</v>
      </c>
      <c r="J1078" s="23" t="s">
        <v>74</v>
      </c>
      <c r="K1078" s="21">
        <v>2015858</v>
      </c>
      <c r="O1078" s="347">
        <v>305</v>
      </c>
      <c r="P1078" s="87">
        <v>2</v>
      </c>
      <c r="Q1078" s="87">
        <v>2</v>
      </c>
      <c r="R1078" s="84">
        <v>59.9</v>
      </c>
      <c r="Y1078" s="20">
        <f t="shared" si="50"/>
        <v>1</v>
      </c>
      <c r="AA1078" s="98">
        <f t="shared" si="51"/>
        <v>1.8099999999999952</v>
      </c>
      <c r="AB1078" s="350">
        <f t="shared" si="52"/>
        <v>7</v>
      </c>
    </row>
    <row r="1079" spans="2:28" ht="22.15" customHeight="1" x14ac:dyDescent="0.25">
      <c r="B1079" s="276">
        <v>5901177158523</v>
      </c>
      <c r="C1079" s="81">
        <v>14</v>
      </c>
      <c r="D1079" s="23" t="s">
        <v>2289</v>
      </c>
      <c r="H1079" s="346">
        <v>39.9</v>
      </c>
      <c r="I1079" s="21">
        <v>38.64</v>
      </c>
      <c r="J1079" s="23" t="s">
        <v>69</v>
      </c>
      <c r="K1079" s="21">
        <v>2115907</v>
      </c>
      <c r="O1079" s="347">
        <v>119</v>
      </c>
      <c r="P1079" s="87">
        <v>1</v>
      </c>
      <c r="Q1079" s="87">
        <v>1</v>
      </c>
      <c r="R1079" s="84">
        <v>44.9</v>
      </c>
      <c r="Y1079" s="20">
        <f t="shared" si="50"/>
        <v>1</v>
      </c>
      <c r="AA1079" s="98">
        <f t="shared" si="51"/>
        <v>1.259999999999998</v>
      </c>
      <c r="AB1079" s="350">
        <f t="shared" si="52"/>
        <v>5</v>
      </c>
    </row>
    <row r="1080" spans="2:28" ht="22.15" customHeight="1" x14ac:dyDescent="0.25">
      <c r="B1080" s="276">
        <v>5901177158493</v>
      </c>
      <c r="C1080" s="81">
        <v>14</v>
      </c>
      <c r="D1080" s="23" t="s">
        <v>2290</v>
      </c>
      <c r="H1080" s="346">
        <v>39.9</v>
      </c>
      <c r="I1080" s="21">
        <v>38.64</v>
      </c>
      <c r="J1080" s="23" t="s">
        <v>69</v>
      </c>
      <c r="K1080" s="21">
        <v>2115908</v>
      </c>
      <c r="O1080" s="347">
        <v>123</v>
      </c>
      <c r="P1080" s="87">
        <v>1</v>
      </c>
      <c r="Q1080" s="87">
        <v>1</v>
      </c>
      <c r="R1080" s="84">
        <v>44.9</v>
      </c>
      <c r="Y1080" s="20">
        <f t="shared" si="50"/>
        <v>1</v>
      </c>
      <c r="AA1080" s="98">
        <f t="shared" si="51"/>
        <v>1.259999999999998</v>
      </c>
      <c r="AB1080" s="350">
        <f t="shared" si="52"/>
        <v>5</v>
      </c>
    </row>
    <row r="1081" spans="2:28" ht="22.15" customHeight="1" x14ac:dyDescent="0.25">
      <c r="B1081" s="276">
        <v>5901177158509</v>
      </c>
      <c r="C1081" s="81">
        <v>14</v>
      </c>
      <c r="D1081" s="23" t="s">
        <v>2291</v>
      </c>
      <c r="H1081" s="346">
        <v>39.9</v>
      </c>
      <c r="I1081" s="21">
        <v>38.64</v>
      </c>
      <c r="J1081" s="23" t="s">
        <v>69</v>
      </c>
      <c r="K1081" s="21">
        <v>2115909</v>
      </c>
      <c r="O1081" s="347">
        <v>116</v>
      </c>
      <c r="P1081" s="87">
        <v>1</v>
      </c>
      <c r="Q1081" s="87">
        <v>1</v>
      </c>
      <c r="R1081" s="84">
        <v>44.9</v>
      </c>
      <c r="Y1081" s="20">
        <f t="shared" si="50"/>
        <v>1</v>
      </c>
      <c r="AA1081" s="98">
        <f t="shared" si="51"/>
        <v>1.259999999999998</v>
      </c>
      <c r="AB1081" s="350">
        <f t="shared" si="52"/>
        <v>5</v>
      </c>
    </row>
    <row r="1082" spans="2:28" ht="22.15" customHeight="1" x14ac:dyDescent="0.25">
      <c r="B1082" s="276">
        <v>5901177158530</v>
      </c>
      <c r="C1082" s="81">
        <v>14</v>
      </c>
      <c r="D1082" s="23" t="s">
        <v>2292</v>
      </c>
      <c r="H1082" s="346">
        <v>39.9</v>
      </c>
      <c r="I1082" s="21">
        <v>38.64</v>
      </c>
      <c r="J1082" s="23" t="s">
        <v>69</v>
      </c>
      <c r="K1082" s="21">
        <v>2115910</v>
      </c>
      <c r="O1082" s="347">
        <v>78</v>
      </c>
      <c r="P1082" s="87">
        <v>1</v>
      </c>
      <c r="Q1082" s="87">
        <v>1</v>
      </c>
      <c r="R1082" s="84">
        <v>44.9</v>
      </c>
      <c r="Y1082" s="20">
        <f t="shared" si="50"/>
        <v>1</v>
      </c>
      <c r="AA1082" s="98">
        <f t="shared" si="51"/>
        <v>1.259999999999998</v>
      </c>
      <c r="AB1082" s="350">
        <f t="shared" si="52"/>
        <v>5</v>
      </c>
    </row>
    <row r="1083" spans="2:28" ht="22.15" customHeight="1" x14ac:dyDescent="0.25">
      <c r="B1083" s="276">
        <v>4006067084300</v>
      </c>
      <c r="C1083" s="81">
        <v>6</v>
      </c>
      <c r="D1083" s="23" t="s">
        <v>2293</v>
      </c>
      <c r="H1083" s="346">
        <v>125</v>
      </c>
      <c r="I1083" s="21">
        <v>120.46</v>
      </c>
      <c r="J1083" s="23" t="s">
        <v>49</v>
      </c>
      <c r="K1083" s="21">
        <v>1040047</v>
      </c>
      <c r="O1083" s="347">
        <v>245</v>
      </c>
      <c r="P1083" s="87">
        <v>2</v>
      </c>
      <c r="Q1083" s="87">
        <v>2</v>
      </c>
      <c r="R1083" s="84">
        <v>135</v>
      </c>
      <c r="Y1083" s="20">
        <f t="shared" si="50"/>
        <v>1</v>
      </c>
      <c r="AA1083" s="98">
        <f t="shared" si="51"/>
        <v>4.5400000000000063</v>
      </c>
      <c r="AB1083" s="350">
        <f t="shared" si="52"/>
        <v>10</v>
      </c>
    </row>
    <row r="1084" spans="2:28" ht="22.15" customHeight="1" x14ac:dyDescent="0.25">
      <c r="B1084" s="276">
        <v>4006067084225</v>
      </c>
      <c r="C1084" s="81">
        <v>6</v>
      </c>
      <c r="D1084" s="23" t="s">
        <v>2294</v>
      </c>
      <c r="H1084" s="346">
        <v>125</v>
      </c>
      <c r="I1084" s="21">
        <v>120.46</v>
      </c>
      <c r="J1084" s="23" t="s">
        <v>49</v>
      </c>
      <c r="K1084" s="21">
        <v>1040046</v>
      </c>
      <c r="O1084" s="347">
        <v>174</v>
      </c>
      <c r="P1084" s="87">
        <v>2</v>
      </c>
      <c r="Q1084" s="87">
        <v>2</v>
      </c>
      <c r="R1084" s="84">
        <v>135</v>
      </c>
      <c r="Y1084" s="20">
        <f t="shared" si="50"/>
        <v>1</v>
      </c>
      <c r="AA1084" s="98">
        <f t="shared" si="51"/>
        <v>4.5400000000000063</v>
      </c>
      <c r="AB1084" s="350">
        <f t="shared" si="52"/>
        <v>10</v>
      </c>
    </row>
    <row r="1085" spans="2:28" ht="22.15" customHeight="1" x14ac:dyDescent="0.25">
      <c r="B1085" s="276">
        <v>4046234939903</v>
      </c>
      <c r="C1085" s="81">
        <v>6</v>
      </c>
      <c r="D1085" s="23" t="s">
        <v>2295</v>
      </c>
      <c r="H1085" s="346">
        <v>125</v>
      </c>
      <c r="I1085" s="21">
        <v>120.46</v>
      </c>
      <c r="J1085" s="23" t="s">
        <v>49</v>
      </c>
      <c r="K1085" s="21">
        <v>1050889</v>
      </c>
      <c r="O1085" s="347">
        <v>781</v>
      </c>
      <c r="P1085" s="87">
        <v>2</v>
      </c>
      <c r="Q1085" s="87">
        <v>2</v>
      </c>
      <c r="R1085" s="84">
        <v>135</v>
      </c>
      <c r="Y1085" s="20">
        <f t="shared" si="50"/>
        <v>1</v>
      </c>
      <c r="AA1085" s="98">
        <f t="shared" si="51"/>
        <v>4.5400000000000063</v>
      </c>
      <c r="AB1085" s="350">
        <f t="shared" si="52"/>
        <v>10</v>
      </c>
    </row>
    <row r="1086" spans="2:28" ht="22.15" customHeight="1" x14ac:dyDescent="0.25">
      <c r="B1086" s="276">
        <v>8684154700607</v>
      </c>
      <c r="C1086" s="81">
        <v>24</v>
      </c>
      <c r="D1086" s="23" t="s">
        <v>2296</v>
      </c>
      <c r="H1086" s="346">
        <v>28.9</v>
      </c>
      <c r="I1086" s="21">
        <v>27.94</v>
      </c>
      <c r="J1086" s="23" t="s">
        <v>62</v>
      </c>
      <c r="K1086" s="21">
        <v>2115159</v>
      </c>
      <c r="O1086" s="347">
        <v>705</v>
      </c>
      <c r="P1086" s="87">
        <v>1</v>
      </c>
      <c r="Q1086" s="87">
        <v>1</v>
      </c>
      <c r="R1086" s="84">
        <v>31.9</v>
      </c>
      <c r="Y1086" s="20">
        <f t="shared" si="50"/>
        <v>1</v>
      </c>
      <c r="AA1086" s="98">
        <f>H1086-I1086</f>
        <v>0.9599999999999973</v>
      </c>
      <c r="AB1086" s="350">
        <f>R1086-H1086</f>
        <v>3</v>
      </c>
    </row>
    <row r="1087" spans="2:28" ht="22.15" customHeight="1" x14ac:dyDescent="0.25">
      <c r="B1087" s="276">
        <v>8699462603076</v>
      </c>
      <c r="C1087" s="81">
        <v>12</v>
      </c>
      <c r="D1087" s="23" t="s">
        <v>2297</v>
      </c>
      <c r="H1087" s="346">
        <v>52.9</v>
      </c>
      <c r="I1087" s="21">
        <v>51.46</v>
      </c>
      <c r="J1087" s="23" t="s">
        <v>62</v>
      </c>
      <c r="K1087" s="21">
        <v>2016777</v>
      </c>
      <c r="O1087" s="347">
        <v>579</v>
      </c>
      <c r="P1087" s="87">
        <v>1</v>
      </c>
      <c r="Q1087" s="87">
        <v>1</v>
      </c>
      <c r="R1087" s="84">
        <v>59.9</v>
      </c>
      <c r="Y1087" s="20">
        <f t="shared" si="50"/>
        <v>1</v>
      </c>
      <c r="AA1087" s="98">
        <f>H1087-I1087</f>
        <v>1.4399999999999977</v>
      </c>
      <c r="AB1087" s="350">
        <f>R1087-H1087</f>
        <v>7</v>
      </c>
    </row>
    <row r="1088" spans="2:28" ht="22.15" customHeight="1" x14ac:dyDescent="0.25">
      <c r="B1088" s="276">
        <v>8699462609962</v>
      </c>
      <c r="C1088" s="81">
        <v>12</v>
      </c>
      <c r="D1088" s="23" t="s">
        <v>2298</v>
      </c>
      <c r="H1088" s="346">
        <v>52.9</v>
      </c>
      <c r="I1088" s="21">
        <v>51.46</v>
      </c>
      <c r="J1088" s="23" t="s">
        <v>62</v>
      </c>
      <c r="K1088" s="21">
        <v>2016776</v>
      </c>
      <c r="O1088" s="347">
        <v>190</v>
      </c>
      <c r="P1088" s="87">
        <v>1</v>
      </c>
      <c r="Q1088" s="87">
        <v>1</v>
      </c>
      <c r="R1088" s="84">
        <v>59.9</v>
      </c>
      <c r="Y1088" s="20">
        <f t="shared" si="50"/>
        <v>1</v>
      </c>
      <c r="AA1088" s="98">
        <f>H1088-I1088</f>
        <v>1.4399999999999977</v>
      </c>
      <c r="AB1088" s="350">
        <f>R1088-H1088</f>
        <v>7</v>
      </c>
    </row>
    <row r="1089" spans="1:28" ht="22.15" customHeight="1" x14ac:dyDescent="0.25">
      <c r="B1089" s="276">
        <v>4037014190010</v>
      </c>
      <c r="C1089" s="81">
        <v>8</v>
      </c>
      <c r="D1089" s="23" t="s">
        <v>2299</v>
      </c>
      <c r="H1089" s="346">
        <v>279</v>
      </c>
      <c r="I1089" s="21">
        <v>267.68</v>
      </c>
      <c r="J1089" s="23" t="s">
        <v>41</v>
      </c>
      <c r="K1089" s="21">
        <v>1051053</v>
      </c>
      <c r="O1089" s="347">
        <v>58</v>
      </c>
      <c r="P1089" s="87">
        <v>1</v>
      </c>
      <c r="Q1089" s="87">
        <v>1</v>
      </c>
      <c r="R1089" s="84">
        <v>305</v>
      </c>
      <c r="Y1089" s="20">
        <f t="shared" ref="Y1089:Y1099" si="53">COUNTIF(K:K,K989)</f>
        <v>1</v>
      </c>
      <c r="AA1089" s="98">
        <f t="shared" ref="AA1089:AA1099" si="54">H989-I989</f>
        <v>0.65999999999999659</v>
      </c>
      <c r="AB1089" s="350">
        <f t="shared" ref="AB1089:AB1099" si="55">R989-H989</f>
        <v>7</v>
      </c>
    </row>
    <row r="1090" spans="1:28" ht="22.15" customHeight="1" x14ac:dyDescent="0.25">
      <c r="B1090" s="276">
        <v>4013743001667</v>
      </c>
      <c r="C1090" s="81">
        <v>12</v>
      </c>
      <c r="D1090" s="23" t="s">
        <v>2300</v>
      </c>
      <c r="H1090" s="346">
        <v>125</v>
      </c>
      <c r="I1090" s="21">
        <v>122.08</v>
      </c>
      <c r="J1090" s="23" t="s">
        <v>41</v>
      </c>
      <c r="K1090" s="21">
        <v>1052074</v>
      </c>
      <c r="O1090" s="347">
        <v>267</v>
      </c>
      <c r="P1090" s="87">
        <v>1</v>
      </c>
      <c r="Q1090" s="87">
        <v>1</v>
      </c>
      <c r="R1090" s="84">
        <v>129</v>
      </c>
      <c r="Y1090" s="20">
        <f t="shared" si="53"/>
        <v>1</v>
      </c>
      <c r="AA1090" s="98">
        <f t="shared" si="54"/>
        <v>3.1099999999999994</v>
      </c>
      <c r="AB1090" s="350">
        <f t="shared" si="55"/>
        <v>7</v>
      </c>
    </row>
    <row r="1091" spans="1:28" ht="22.15" customHeight="1" x14ac:dyDescent="0.25">
      <c r="B1091" s="276">
        <v>8586004532997</v>
      </c>
      <c r="C1091" s="81">
        <v>700</v>
      </c>
      <c r="D1091" s="23" t="s">
        <v>2301</v>
      </c>
      <c r="H1091" s="346">
        <v>2.5</v>
      </c>
      <c r="I1091" s="21">
        <v>2.1800000000000002</v>
      </c>
      <c r="J1091" s="23" t="s">
        <v>413</v>
      </c>
      <c r="K1091" s="21">
        <v>2040747</v>
      </c>
      <c r="O1091" s="347">
        <v>1978</v>
      </c>
      <c r="P1091" s="87">
        <v>1</v>
      </c>
      <c r="Q1091" s="87">
        <v>1</v>
      </c>
      <c r="R1091" s="84">
        <v>2.7</v>
      </c>
      <c r="Y1091" s="20">
        <f t="shared" si="53"/>
        <v>1</v>
      </c>
      <c r="AA1091" s="98">
        <f t="shared" si="54"/>
        <v>3.1099999999999994</v>
      </c>
      <c r="AB1091" s="350">
        <f t="shared" si="55"/>
        <v>7</v>
      </c>
    </row>
    <row r="1092" spans="1:28" ht="22.15" customHeight="1" x14ac:dyDescent="0.25">
      <c r="B1092" s="276">
        <v>8588000061464</v>
      </c>
      <c r="C1092" s="81">
        <v>700</v>
      </c>
      <c r="D1092" s="23" t="s">
        <v>2302</v>
      </c>
      <c r="H1092" s="346">
        <v>2.5</v>
      </c>
      <c r="I1092" s="21">
        <v>2.1800000000000002</v>
      </c>
      <c r="J1092" s="23" t="s">
        <v>413</v>
      </c>
      <c r="K1092" s="21">
        <v>2040748</v>
      </c>
      <c r="O1092" s="347">
        <v>868</v>
      </c>
      <c r="P1092" s="87">
        <v>1</v>
      </c>
      <c r="Q1092" s="87">
        <v>1</v>
      </c>
      <c r="R1092" s="84">
        <v>2.7</v>
      </c>
      <c r="Y1092" s="20">
        <f t="shared" si="53"/>
        <v>1</v>
      </c>
      <c r="AA1092" s="98">
        <f t="shared" si="54"/>
        <v>3.1099999999999994</v>
      </c>
      <c r="AB1092" s="350">
        <f t="shared" si="55"/>
        <v>7</v>
      </c>
    </row>
    <row r="1093" spans="1:28" ht="22.15" customHeight="1" x14ac:dyDescent="0.25">
      <c r="B1093" s="276">
        <v>8586004535127</v>
      </c>
      <c r="C1093" s="81">
        <v>700</v>
      </c>
      <c r="D1093" s="23" t="s">
        <v>2303</v>
      </c>
      <c r="H1093" s="346">
        <v>2.9</v>
      </c>
      <c r="I1093" s="21">
        <v>2.69</v>
      </c>
      <c r="J1093" s="23" t="s">
        <v>413</v>
      </c>
      <c r="K1093" s="21">
        <v>2040749</v>
      </c>
      <c r="O1093" s="347">
        <v>990</v>
      </c>
      <c r="P1093" s="87">
        <v>1</v>
      </c>
      <c r="Q1093" s="87">
        <v>1</v>
      </c>
      <c r="R1093" s="84">
        <v>3.3</v>
      </c>
      <c r="Y1093" s="20">
        <f t="shared" si="53"/>
        <v>1</v>
      </c>
      <c r="AA1093" s="98">
        <f t="shared" si="54"/>
        <v>4.4500000000000028</v>
      </c>
      <c r="AB1093" s="350">
        <f t="shared" si="55"/>
        <v>-2</v>
      </c>
    </row>
    <row r="1094" spans="1:28" ht="22.15" customHeight="1" x14ac:dyDescent="0.25">
      <c r="B1094" s="276">
        <v>5900020046895</v>
      </c>
      <c r="C1094" s="81">
        <v>16</v>
      </c>
      <c r="D1094" s="23" t="s">
        <v>2304</v>
      </c>
      <c r="H1094" s="346">
        <v>8.1999999999999993</v>
      </c>
      <c r="I1094" s="21">
        <v>7.8</v>
      </c>
      <c r="J1094" s="23" t="s">
        <v>421</v>
      </c>
      <c r="K1094" s="21">
        <v>2052123</v>
      </c>
      <c r="O1094" s="347">
        <v>551</v>
      </c>
      <c r="P1094" s="87">
        <v>1</v>
      </c>
      <c r="Q1094" s="87">
        <v>1</v>
      </c>
      <c r="R1094" s="84">
        <v>8.9</v>
      </c>
      <c r="Y1094" s="20">
        <f t="shared" si="53"/>
        <v>1</v>
      </c>
      <c r="AA1094" s="98">
        <f t="shared" si="54"/>
        <v>4.4500000000000028</v>
      </c>
      <c r="AB1094" s="350">
        <f t="shared" si="55"/>
        <v>-2</v>
      </c>
    </row>
    <row r="1095" spans="1:28" ht="22.15" customHeight="1" x14ac:dyDescent="0.25">
      <c r="B1095" s="276">
        <v>5900020018564</v>
      </c>
      <c r="C1095" s="81">
        <v>16</v>
      </c>
      <c r="D1095" s="23" t="s">
        <v>2305</v>
      </c>
      <c r="H1095" s="346">
        <v>8.1999999999999993</v>
      </c>
      <c r="I1095" s="21">
        <v>7.8</v>
      </c>
      <c r="J1095" s="23" t="s">
        <v>421</v>
      </c>
      <c r="K1095" s="21">
        <v>2050246</v>
      </c>
      <c r="O1095" s="347">
        <v>930</v>
      </c>
      <c r="P1095" s="87">
        <v>1</v>
      </c>
      <c r="Q1095" s="87">
        <v>1</v>
      </c>
      <c r="R1095" s="84">
        <v>8.9</v>
      </c>
      <c r="Y1095" s="20">
        <f t="shared" si="53"/>
        <v>1</v>
      </c>
      <c r="AA1095" s="98">
        <f t="shared" si="54"/>
        <v>1.5700000000000003</v>
      </c>
      <c r="AB1095" s="350">
        <f t="shared" si="55"/>
        <v>3</v>
      </c>
    </row>
    <row r="1096" spans="1:28" ht="22.15" customHeight="1" x14ac:dyDescent="0.25">
      <c r="B1096" s="276">
        <v>5900020029447</v>
      </c>
      <c r="C1096" s="81">
        <v>16</v>
      </c>
      <c r="D1096" s="23" t="s">
        <v>2306</v>
      </c>
      <c r="H1096" s="346">
        <v>8.1999999999999993</v>
      </c>
      <c r="I1096" s="21">
        <v>7.8</v>
      </c>
      <c r="J1096" s="23" t="s">
        <v>421</v>
      </c>
      <c r="K1096" s="21">
        <v>2051095</v>
      </c>
      <c r="O1096" s="347">
        <v>699</v>
      </c>
      <c r="P1096" s="87">
        <v>1</v>
      </c>
      <c r="Q1096" s="87">
        <v>1</v>
      </c>
      <c r="R1096" s="84">
        <v>8.9</v>
      </c>
      <c r="Y1096" s="20">
        <f t="shared" si="53"/>
        <v>1</v>
      </c>
      <c r="AA1096" s="98">
        <f t="shared" si="54"/>
        <v>2.2100000000000009</v>
      </c>
      <c r="AB1096" s="350">
        <f t="shared" si="55"/>
        <v>6</v>
      </c>
    </row>
    <row r="1097" spans="1:28" ht="22.15" customHeight="1" x14ac:dyDescent="0.25">
      <c r="B1097" s="276">
        <v>5900020027696</v>
      </c>
      <c r="C1097" s="81">
        <v>12</v>
      </c>
      <c r="D1097" s="23" t="s">
        <v>2307</v>
      </c>
      <c r="H1097" s="346">
        <v>8.1999999999999993</v>
      </c>
      <c r="I1097" s="21">
        <v>7.8</v>
      </c>
      <c r="J1097" s="23" t="s">
        <v>421</v>
      </c>
      <c r="K1097" s="21">
        <v>2050691</v>
      </c>
      <c r="O1097" s="347">
        <v>878</v>
      </c>
      <c r="P1097" s="87">
        <v>1</v>
      </c>
      <c r="Q1097" s="87">
        <v>1</v>
      </c>
      <c r="R1097" s="84">
        <v>8.9</v>
      </c>
      <c r="Y1097" s="20">
        <f t="shared" si="53"/>
        <v>1</v>
      </c>
      <c r="AA1097" s="98">
        <f t="shared" si="54"/>
        <v>2.2100000000000009</v>
      </c>
      <c r="AB1097" s="350">
        <f t="shared" si="55"/>
        <v>6</v>
      </c>
    </row>
    <row r="1098" spans="1:28" ht="22.15" customHeight="1" x14ac:dyDescent="0.25">
      <c r="B1098" s="276">
        <v>5900020027702</v>
      </c>
      <c r="C1098" s="81">
        <v>12</v>
      </c>
      <c r="D1098" s="23" t="s">
        <v>2308</v>
      </c>
      <c r="H1098" s="346">
        <v>8.1999999999999993</v>
      </c>
      <c r="I1098" s="21">
        <v>7.8</v>
      </c>
      <c r="J1098" s="23" t="s">
        <v>421</v>
      </c>
      <c r="K1098" s="21">
        <v>2050694</v>
      </c>
      <c r="O1098" s="347">
        <v>1026</v>
      </c>
      <c r="P1098" s="87">
        <v>1</v>
      </c>
      <c r="Q1098" s="87">
        <v>1</v>
      </c>
      <c r="R1098" s="84">
        <v>8.9</v>
      </c>
      <c r="Y1098" s="20">
        <f t="shared" si="53"/>
        <v>1</v>
      </c>
      <c r="AA1098" s="98">
        <f t="shared" si="54"/>
        <v>2.2100000000000009</v>
      </c>
      <c r="AB1098" s="350">
        <f t="shared" si="55"/>
        <v>6</v>
      </c>
    </row>
    <row r="1099" spans="1:28" ht="22.15" customHeight="1" x14ac:dyDescent="0.25">
      <c r="B1099" s="276">
        <v>5900020027672</v>
      </c>
      <c r="C1099" s="81">
        <v>12</v>
      </c>
      <c r="D1099" s="23" t="s">
        <v>2309</v>
      </c>
      <c r="H1099" s="346">
        <v>8.1999999999999993</v>
      </c>
      <c r="I1099" s="21">
        <v>7.8</v>
      </c>
      <c r="J1099" s="23" t="s">
        <v>421</v>
      </c>
      <c r="K1099" s="21">
        <v>2050692</v>
      </c>
      <c r="O1099" s="347">
        <v>942</v>
      </c>
      <c r="P1099" s="87">
        <v>1</v>
      </c>
      <c r="Q1099" s="87">
        <v>1</v>
      </c>
      <c r="R1099" s="84">
        <v>8.9</v>
      </c>
      <c r="Y1099" s="20">
        <f t="shared" si="53"/>
        <v>1</v>
      </c>
      <c r="AA1099" s="98">
        <f t="shared" si="54"/>
        <v>10.039999999999992</v>
      </c>
      <c r="AB1099" s="350">
        <f t="shared" si="55"/>
        <v>20</v>
      </c>
    </row>
    <row r="1100" spans="1:28" ht="22.15" customHeight="1" x14ac:dyDescent="0.25">
      <c r="A1100" s="21">
        <v>879</v>
      </c>
      <c r="B1100" s="276" t="s">
        <v>2310</v>
      </c>
      <c r="C1100" s="81">
        <v>10</v>
      </c>
      <c r="D1100" s="23" t="s">
        <v>2311</v>
      </c>
      <c r="H1100" s="346">
        <v>64.900000000000006</v>
      </c>
      <c r="I1100" s="21">
        <v>48.293999999999997</v>
      </c>
      <c r="J1100" s="23" t="s">
        <v>1013</v>
      </c>
      <c r="K1100" s="21" t="s">
        <v>2312</v>
      </c>
      <c r="L1100" s="21" t="s">
        <v>1013</v>
      </c>
      <c r="M1100" s="21" t="s">
        <v>2313</v>
      </c>
      <c r="N1100" s="87">
        <v>58.44</v>
      </c>
      <c r="O1100" s="347"/>
      <c r="R1100" s="84" t="s">
        <v>1015</v>
      </c>
      <c r="Y1100" s="20">
        <f>COUNTIF(K:K,K999)</f>
        <v>1</v>
      </c>
      <c r="AA1100" s="98">
        <f>H999-I999</f>
        <v>10.039999999999992</v>
      </c>
      <c r="AB1100" s="350">
        <f>R999-H999</f>
        <v>20</v>
      </c>
    </row>
    <row r="1101" spans="1:28" ht="22.15" customHeight="1" x14ac:dyDescent="0.25">
      <c r="A1101" s="21" t="s">
        <v>2314</v>
      </c>
      <c r="B1101" s="276" t="s">
        <v>2315</v>
      </c>
      <c r="C1101" s="81">
        <v>10</v>
      </c>
      <c r="D1101" s="23" t="s">
        <v>2316</v>
      </c>
      <c r="H1101" s="346">
        <v>64.900000000000006</v>
      </c>
      <c r="I1101" s="21">
        <v>48.293999999999997</v>
      </c>
      <c r="J1101" s="23" t="s">
        <v>1013</v>
      </c>
      <c r="K1101" s="21" t="s">
        <v>2317</v>
      </c>
      <c r="L1101" s="21" t="s">
        <v>2318</v>
      </c>
      <c r="M1101" s="21" t="s">
        <v>2313</v>
      </c>
      <c r="N1101" s="87">
        <v>48.293999999999997</v>
      </c>
      <c r="O1101" s="347"/>
      <c r="R1101" s="84" t="s">
        <v>1015</v>
      </c>
      <c r="Y1101" s="20">
        <f>COUNTIF(K:K,K1000)</f>
        <v>1</v>
      </c>
      <c r="AA1101" s="98">
        <f>H1000-I1000</f>
        <v>10.039999999999992</v>
      </c>
      <c r="AB1101" s="350">
        <f>R1000-H1000</f>
        <v>20</v>
      </c>
    </row>
    <row r="1102" spans="1:28" ht="22.15" customHeight="1" x14ac:dyDescent="0.25">
      <c r="A1102" s="21">
        <v>909</v>
      </c>
      <c r="B1102" s="276" t="s">
        <v>2319</v>
      </c>
      <c r="C1102" s="81">
        <v>10</v>
      </c>
      <c r="D1102" s="23" t="s">
        <v>2320</v>
      </c>
      <c r="H1102" s="346">
        <v>64.900000000000006</v>
      </c>
      <c r="I1102" s="21">
        <v>48.293999999999997</v>
      </c>
      <c r="J1102" s="23" t="s">
        <v>1013</v>
      </c>
      <c r="K1102" s="21" t="s">
        <v>2321</v>
      </c>
      <c r="L1102" s="21" t="s">
        <v>2322</v>
      </c>
      <c r="M1102" s="21" t="s">
        <v>2313</v>
      </c>
      <c r="N1102" s="87">
        <v>48.293999999999997</v>
      </c>
      <c r="O1102" s="347"/>
      <c r="R1102" s="84" t="s">
        <v>1015</v>
      </c>
      <c r="Y1102" s="20">
        <f>COUNTIF(K:K,K1001)</f>
        <v>1</v>
      </c>
      <c r="AA1102" s="98">
        <f>H1001-I1001</f>
        <v>14.04000000000002</v>
      </c>
      <c r="AB1102" s="350">
        <f>R1001-H1001</f>
        <v>20</v>
      </c>
    </row>
    <row r="1103" spans="1:28" ht="22.15" customHeight="1" x14ac:dyDescent="0.25">
      <c r="A1103" s="21" t="s">
        <v>2323</v>
      </c>
      <c r="B1103" s="276" t="s">
        <v>2324</v>
      </c>
      <c r="C1103" s="81">
        <v>10</v>
      </c>
      <c r="D1103" s="23" t="s">
        <v>2325</v>
      </c>
      <c r="H1103" s="346">
        <v>64.900000000000006</v>
      </c>
      <c r="I1103" s="21">
        <v>48.293999999999997</v>
      </c>
      <c r="J1103" s="23" t="s">
        <v>1013</v>
      </c>
      <c r="K1103" s="21" t="s">
        <v>2326</v>
      </c>
      <c r="L1103" s="21" t="s">
        <v>2327</v>
      </c>
      <c r="M1103" s="21" t="s">
        <v>2313</v>
      </c>
      <c r="N1103" s="87">
        <v>48.293999999999997</v>
      </c>
      <c r="O1103" s="347"/>
      <c r="R1103" s="84" t="s">
        <v>1015</v>
      </c>
      <c r="Y1103" s="20">
        <f t="shared" ref="Y1103:Y1134" si="56">COUNTIF(K:K,K1003)</f>
        <v>1</v>
      </c>
      <c r="AA1103" s="98">
        <f t="shared" ref="AA1103:AA1166" si="57">H1003-I1003</f>
        <v>3.3699999999999974</v>
      </c>
      <c r="AB1103" s="350">
        <f t="shared" ref="AB1103:AB1166" si="58">R1003-H1003</f>
        <v>5</v>
      </c>
    </row>
    <row r="1104" spans="1:28" ht="22.15" customHeight="1" x14ac:dyDescent="0.25">
      <c r="A1104" s="21">
        <v>495</v>
      </c>
      <c r="B1104" s="276" t="s">
        <v>2328</v>
      </c>
      <c r="C1104" s="81">
        <v>10</v>
      </c>
      <c r="D1104" s="23" t="s">
        <v>2329</v>
      </c>
      <c r="H1104" s="346">
        <v>64.900000000000006</v>
      </c>
      <c r="I1104" s="21">
        <v>48.293999999999997</v>
      </c>
      <c r="J1104" s="23" t="s">
        <v>1013</v>
      </c>
      <c r="K1104" s="21" t="s">
        <v>2330</v>
      </c>
      <c r="L1104" s="21" t="s">
        <v>2331</v>
      </c>
      <c r="M1104" s="21" t="s">
        <v>2313</v>
      </c>
      <c r="N1104" s="87">
        <v>48.293999999999997</v>
      </c>
      <c r="O1104" s="347"/>
      <c r="R1104" s="84" t="s">
        <v>1015</v>
      </c>
      <c r="Y1104" s="20">
        <f t="shared" si="56"/>
        <v>1</v>
      </c>
      <c r="AA1104" s="98">
        <f t="shared" si="57"/>
        <v>2.8099999999999952</v>
      </c>
      <c r="AB1104" s="350">
        <f t="shared" si="58"/>
        <v>5</v>
      </c>
    </row>
    <row r="1105" spans="1:28" ht="22.15" customHeight="1" x14ac:dyDescent="0.25">
      <c r="A1105" s="21" t="s">
        <v>2332</v>
      </c>
      <c r="B1105" s="276" t="s">
        <v>2333</v>
      </c>
      <c r="C1105" s="81">
        <v>10</v>
      </c>
      <c r="D1105" s="23" t="s">
        <v>2334</v>
      </c>
      <c r="H1105" s="346">
        <v>64.900000000000006</v>
      </c>
      <c r="I1105" s="21">
        <v>48.293999999999997</v>
      </c>
      <c r="J1105" s="23" t="s">
        <v>1013</v>
      </c>
      <c r="K1105" s="21" t="s">
        <v>2335</v>
      </c>
      <c r="L1105" s="21" t="s">
        <v>2336</v>
      </c>
      <c r="M1105" s="21" t="s">
        <v>2313</v>
      </c>
      <c r="N1105" s="87">
        <v>48.293999999999997</v>
      </c>
      <c r="O1105" s="347"/>
      <c r="R1105" s="84" t="s">
        <v>1015</v>
      </c>
      <c r="Y1105" s="20">
        <f t="shared" si="56"/>
        <v>1</v>
      </c>
      <c r="AA1105" s="98">
        <f t="shared" si="57"/>
        <v>4.1600000000000108</v>
      </c>
      <c r="AB1105" s="350">
        <f t="shared" si="58"/>
        <v>9</v>
      </c>
    </row>
    <row r="1106" spans="1:28" ht="22.15" customHeight="1" x14ac:dyDescent="0.25">
      <c r="A1106" s="21" t="s">
        <v>2337</v>
      </c>
      <c r="B1106" s="276" t="s">
        <v>2338</v>
      </c>
      <c r="C1106" s="81">
        <v>10</v>
      </c>
      <c r="D1106" s="23" t="s">
        <v>2339</v>
      </c>
      <c r="H1106" s="346">
        <v>64.900000000000006</v>
      </c>
      <c r="I1106" s="21">
        <v>48.293999999999997</v>
      </c>
      <c r="J1106" s="23" t="s">
        <v>1013</v>
      </c>
      <c r="K1106" s="21" t="s">
        <v>2340</v>
      </c>
      <c r="L1106" s="21" t="s">
        <v>2341</v>
      </c>
      <c r="M1106" s="21" t="s">
        <v>2313</v>
      </c>
      <c r="N1106" s="87">
        <v>48.293999999999997</v>
      </c>
      <c r="O1106" s="347"/>
      <c r="R1106" s="84" t="s">
        <v>1015</v>
      </c>
      <c r="Y1106" s="20">
        <f t="shared" si="56"/>
        <v>1</v>
      </c>
      <c r="AA1106" s="98">
        <f t="shared" si="57"/>
        <v>5.0600000000000023</v>
      </c>
      <c r="AB1106" s="350">
        <f t="shared" si="58"/>
        <v>9.9000000000000057</v>
      </c>
    </row>
    <row r="1107" spans="1:28" ht="22.15" customHeight="1" x14ac:dyDescent="0.25">
      <c r="A1107" s="21" t="s">
        <v>2342</v>
      </c>
      <c r="B1107" s="276" t="s">
        <v>2343</v>
      </c>
      <c r="C1107" s="81">
        <v>10</v>
      </c>
      <c r="D1107" s="23" t="s">
        <v>2344</v>
      </c>
      <c r="H1107" s="346">
        <v>64.900000000000006</v>
      </c>
      <c r="I1107" s="21">
        <v>48.293999999999997</v>
      </c>
      <c r="J1107" s="23" t="s">
        <v>1013</v>
      </c>
      <c r="K1107" s="21" t="s">
        <v>2345</v>
      </c>
      <c r="L1107" s="21" t="s">
        <v>2346</v>
      </c>
      <c r="M1107" s="21" t="s">
        <v>2313</v>
      </c>
      <c r="N1107" s="87">
        <v>48.293999999999997</v>
      </c>
      <c r="O1107" s="347"/>
      <c r="R1107" s="84" t="s">
        <v>1015</v>
      </c>
      <c r="Y1107" s="20">
        <f t="shared" si="56"/>
        <v>1</v>
      </c>
      <c r="AA1107" s="98">
        <f t="shared" si="57"/>
        <v>0.45999999999999908</v>
      </c>
      <c r="AB1107" s="350">
        <f t="shared" si="58"/>
        <v>0.70000000000000107</v>
      </c>
    </row>
    <row r="1108" spans="1:28" ht="22.15" customHeight="1" x14ac:dyDescent="0.25">
      <c r="A1108" s="21" t="s">
        <v>2347</v>
      </c>
      <c r="B1108" s="276" t="s">
        <v>2348</v>
      </c>
      <c r="C1108" s="81">
        <v>10</v>
      </c>
      <c r="D1108" s="23" t="s">
        <v>2349</v>
      </c>
      <c r="H1108" s="346">
        <v>64.900000000000006</v>
      </c>
      <c r="I1108" s="21">
        <v>48.293999999999997</v>
      </c>
      <c r="J1108" s="23" t="s">
        <v>1013</v>
      </c>
      <c r="K1108" s="21" t="s">
        <v>2350</v>
      </c>
      <c r="L1108" s="21" t="s">
        <v>2351</v>
      </c>
      <c r="M1108" s="21" t="s">
        <v>2313</v>
      </c>
      <c r="N1108" s="87">
        <v>48.293999999999997</v>
      </c>
      <c r="O1108" s="347"/>
      <c r="R1108" s="84" t="s">
        <v>1015</v>
      </c>
      <c r="Y1108" s="20">
        <f t="shared" si="56"/>
        <v>1</v>
      </c>
      <c r="AA1108" s="98">
        <f t="shared" si="57"/>
        <v>7.9200000000000017</v>
      </c>
      <c r="AB1108" s="350">
        <f t="shared" si="58"/>
        <v>6</v>
      </c>
    </row>
    <row r="1109" spans="1:28" ht="22.15" customHeight="1" x14ac:dyDescent="0.25">
      <c r="A1109" s="21" t="s">
        <v>2352</v>
      </c>
      <c r="B1109" s="276" t="s">
        <v>2353</v>
      </c>
      <c r="C1109" s="81">
        <v>10</v>
      </c>
      <c r="D1109" s="23" t="s">
        <v>2354</v>
      </c>
      <c r="H1109" s="346">
        <v>64.900000000000006</v>
      </c>
      <c r="I1109" s="21">
        <v>48.293999999999997</v>
      </c>
      <c r="J1109" s="23" t="s">
        <v>1013</v>
      </c>
      <c r="K1109" s="21" t="s">
        <v>2355</v>
      </c>
      <c r="L1109" s="21" t="s">
        <v>2356</v>
      </c>
      <c r="M1109" s="21" t="s">
        <v>2313</v>
      </c>
      <c r="N1109" s="87">
        <v>48.293999999999997</v>
      </c>
      <c r="O1109" s="347"/>
      <c r="R1109" s="84" t="s">
        <v>1015</v>
      </c>
      <c r="Y1109" s="20">
        <f t="shared" si="56"/>
        <v>1</v>
      </c>
      <c r="AA1109" s="98">
        <f t="shared" si="57"/>
        <v>7.9200000000000017</v>
      </c>
      <c r="AB1109" s="350">
        <f t="shared" si="58"/>
        <v>6</v>
      </c>
    </row>
    <row r="1110" spans="1:28" ht="22.15" customHeight="1" x14ac:dyDescent="0.25">
      <c r="A1110" s="21" t="s">
        <v>2357</v>
      </c>
      <c r="B1110" s="276" t="s">
        <v>2358</v>
      </c>
      <c r="C1110" s="81">
        <v>10</v>
      </c>
      <c r="D1110" s="23" t="s">
        <v>2359</v>
      </c>
      <c r="H1110" s="346">
        <v>64.900000000000006</v>
      </c>
      <c r="I1110" s="21">
        <v>48.293999999999997</v>
      </c>
      <c r="J1110" s="23" t="s">
        <v>1013</v>
      </c>
      <c r="K1110" s="21" t="s">
        <v>2360</v>
      </c>
      <c r="L1110" s="21" t="s">
        <v>2361</v>
      </c>
      <c r="M1110" s="21" t="s">
        <v>2313</v>
      </c>
      <c r="N1110" s="87">
        <v>48.293999999999997</v>
      </c>
      <c r="O1110" s="347"/>
      <c r="R1110" s="84" t="s">
        <v>1015</v>
      </c>
      <c r="Y1110" s="20">
        <f t="shared" si="56"/>
        <v>1</v>
      </c>
      <c r="AA1110" s="98">
        <f t="shared" si="57"/>
        <v>7.9200000000000017</v>
      </c>
      <c r="AB1110" s="350">
        <f t="shared" si="58"/>
        <v>6</v>
      </c>
    </row>
    <row r="1111" spans="1:28" ht="22.15" customHeight="1" x14ac:dyDescent="0.25">
      <c r="B1111" s="276" t="s">
        <v>2362</v>
      </c>
      <c r="C1111" s="81">
        <v>24</v>
      </c>
      <c r="D1111" s="23" t="s">
        <v>2363</v>
      </c>
      <c r="H1111" s="346">
        <v>35.5</v>
      </c>
      <c r="I1111" s="21">
        <v>33.759</v>
      </c>
      <c r="J1111" s="23" t="s">
        <v>1156</v>
      </c>
      <c r="K1111" s="21" t="s">
        <v>2364</v>
      </c>
      <c r="L1111" s="21" t="s">
        <v>2365</v>
      </c>
      <c r="M1111" s="21" t="s">
        <v>2366</v>
      </c>
      <c r="O1111" s="347">
        <v>33.759</v>
      </c>
      <c r="P1111" s="87" t="s">
        <v>2367</v>
      </c>
      <c r="R1111" s="84" t="s">
        <v>320</v>
      </c>
      <c r="Y1111" s="20">
        <f t="shared" si="56"/>
        <v>1</v>
      </c>
      <c r="AA1111" s="98">
        <f t="shared" si="57"/>
        <v>7.9200000000000017</v>
      </c>
      <c r="AB1111" s="350">
        <f t="shared" si="58"/>
        <v>6</v>
      </c>
    </row>
    <row r="1112" spans="1:28" ht="22.15" customHeight="1" x14ac:dyDescent="0.25">
      <c r="B1112" s="276" t="s">
        <v>2368</v>
      </c>
      <c r="C1112" s="81">
        <v>12</v>
      </c>
      <c r="D1112" s="23" t="s">
        <v>2369</v>
      </c>
      <c r="H1112" s="346">
        <v>37.9</v>
      </c>
      <c r="I1112" s="21">
        <v>36.179000000000002</v>
      </c>
      <c r="J1112" s="23" t="s">
        <v>1156</v>
      </c>
      <c r="K1112" s="21" t="s">
        <v>2370</v>
      </c>
      <c r="L1112" s="21" t="s">
        <v>2371</v>
      </c>
      <c r="M1112" s="21" t="s">
        <v>2372</v>
      </c>
      <c r="O1112" s="347">
        <v>36.179000000000002</v>
      </c>
      <c r="P1112" s="87" t="s">
        <v>2367</v>
      </c>
      <c r="R1112" s="84" t="s">
        <v>2373</v>
      </c>
      <c r="Y1112" s="20">
        <f t="shared" si="56"/>
        <v>1</v>
      </c>
      <c r="AA1112" s="98">
        <f t="shared" si="57"/>
        <v>0.17999999999999972</v>
      </c>
      <c r="AB1112" s="350">
        <f t="shared" si="58"/>
        <v>1.4000000000000004</v>
      </c>
    </row>
    <row r="1113" spans="1:28" ht="22.15" customHeight="1" x14ac:dyDescent="0.25">
      <c r="B1113" s="276" t="s">
        <v>2374</v>
      </c>
      <c r="C1113" s="81">
        <v>12</v>
      </c>
      <c r="D1113" s="23" t="s">
        <v>2375</v>
      </c>
      <c r="H1113" s="346">
        <v>54.9</v>
      </c>
      <c r="I1113" s="21">
        <v>50.82</v>
      </c>
      <c r="J1113" s="23" t="s">
        <v>1156</v>
      </c>
      <c r="K1113" s="21" t="s">
        <v>2376</v>
      </c>
      <c r="L1113" s="21" t="s">
        <v>2377</v>
      </c>
      <c r="M1113" s="21" t="s">
        <v>2378</v>
      </c>
      <c r="O1113" s="347">
        <v>50.82</v>
      </c>
      <c r="P1113" s="87" t="s">
        <v>2367</v>
      </c>
      <c r="R1113" s="84" t="s">
        <v>304</v>
      </c>
      <c r="Y1113" s="20">
        <f t="shared" si="56"/>
        <v>1</v>
      </c>
      <c r="AA1113" s="98">
        <f t="shared" si="57"/>
        <v>0.17999999999999972</v>
      </c>
      <c r="AB1113" s="350">
        <f t="shared" si="58"/>
        <v>1.4000000000000004</v>
      </c>
    </row>
    <row r="1114" spans="1:28" ht="22.15" customHeight="1" x14ac:dyDescent="0.25">
      <c r="B1114" s="276" t="s">
        <v>2379</v>
      </c>
      <c r="C1114" s="81">
        <v>12</v>
      </c>
      <c r="D1114" s="23" t="s">
        <v>2380</v>
      </c>
      <c r="H1114" s="346">
        <v>54.9</v>
      </c>
      <c r="I1114" s="21">
        <v>50.82</v>
      </c>
      <c r="J1114" s="23" t="s">
        <v>1156</v>
      </c>
      <c r="K1114" s="21" t="s">
        <v>2381</v>
      </c>
      <c r="L1114" s="21" t="s">
        <v>2382</v>
      </c>
      <c r="M1114" s="21" t="s">
        <v>2378</v>
      </c>
      <c r="O1114" s="347">
        <v>50.82</v>
      </c>
      <c r="P1114" s="87" t="s">
        <v>2367</v>
      </c>
      <c r="R1114" s="84" t="s">
        <v>304</v>
      </c>
      <c r="Y1114" s="20">
        <f t="shared" si="56"/>
        <v>1</v>
      </c>
      <c r="AA1114" s="98">
        <f t="shared" si="57"/>
        <v>0.17999999999999972</v>
      </c>
      <c r="AB1114" s="350">
        <f t="shared" si="58"/>
        <v>1.4000000000000004</v>
      </c>
    </row>
    <row r="1115" spans="1:28" ht="22.15" customHeight="1" x14ac:dyDescent="0.25">
      <c r="B1115" s="276" t="s">
        <v>2383</v>
      </c>
      <c r="C1115" s="81">
        <v>12</v>
      </c>
      <c r="D1115" s="23" t="s">
        <v>2384</v>
      </c>
      <c r="H1115" s="346">
        <v>54.9</v>
      </c>
      <c r="I1115" s="21">
        <v>50.82</v>
      </c>
      <c r="J1115" s="23" t="s">
        <v>1156</v>
      </c>
      <c r="K1115" s="21" t="s">
        <v>2385</v>
      </c>
      <c r="L1115" s="21" t="s">
        <v>2386</v>
      </c>
      <c r="M1115" s="21" t="s">
        <v>2378</v>
      </c>
      <c r="O1115" s="347">
        <v>50.82</v>
      </c>
      <c r="P1115" s="87" t="s">
        <v>2367</v>
      </c>
      <c r="R1115" s="84" t="s">
        <v>304</v>
      </c>
      <c r="Y1115" s="20">
        <f t="shared" si="56"/>
        <v>1</v>
      </c>
      <c r="AA1115" s="98">
        <f t="shared" si="57"/>
        <v>0.17999999999999972</v>
      </c>
      <c r="AB1115" s="350">
        <f t="shared" si="58"/>
        <v>1.4000000000000004</v>
      </c>
    </row>
    <row r="1116" spans="1:28" ht="22.15" customHeight="1" x14ac:dyDescent="0.25">
      <c r="A1116" s="21">
        <v>10</v>
      </c>
      <c r="B1116" s="276" t="s">
        <v>2387</v>
      </c>
      <c r="C1116" s="81">
        <v>12</v>
      </c>
      <c r="D1116" s="23" t="s">
        <v>2388</v>
      </c>
      <c r="H1116" s="346">
        <v>54.9</v>
      </c>
      <c r="I1116" s="21">
        <v>50.650599999999997</v>
      </c>
      <c r="J1116" s="23" t="s">
        <v>1013</v>
      </c>
      <c r="K1116" s="21" t="s">
        <v>2389</v>
      </c>
      <c r="L1116" s="21" t="s">
        <v>2390</v>
      </c>
      <c r="M1116" s="21" t="s">
        <v>1165</v>
      </c>
      <c r="N1116" s="87">
        <v>41.86</v>
      </c>
      <c r="O1116" s="347"/>
      <c r="R1116" s="84" t="s">
        <v>304</v>
      </c>
      <c r="Y1116" s="20">
        <f t="shared" si="56"/>
        <v>1</v>
      </c>
      <c r="AA1116" s="98">
        <f t="shared" si="57"/>
        <v>0.17999999999999972</v>
      </c>
      <c r="AB1116" s="350">
        <f t="shared" si="58"/>
        <v>1.4000000000000004</v>
      </c>
    </row>
    <row r="1117" spans="1:28" ht="22.15" customHeight="1" x14ac:dyDescent="0.25">
      <c r="A1117" s="21">
        <v>10</v>
      </c>
      <c r="B1117" s="276" t="s">
        <v>2391</v>
      </c>
      <c r="C1117" s="81">
        <v>12</v>
      </c>
      <c r="D1117" s="23" t="s">
        <v>2392</v>
      </c>
      <c r="H1117" s="346">
        <v>54.9</v>
      </c>
      <c r="I1117" s="21">
        <v>50.650599999999997</v>
      </c>
      <c r="J1117" s="23" t="s">
        <v>1013</v>
      </c>
      <c r="K1117" s="21" t="s">
        <v>2393</v>
      </c>
      <c r="L1117" s="21" t="s">
        <v>2394</v>
      </c>
      <c r="M1117" s="21" t="s">
        <v>1165</v>
      </c>
      <c r="N1117" s="87">
        <v>41.86</v>
      </c>
      <c r="O1117" s="347"/>
      <c r="R1117" s="84" t="s">
        <v>304</v>
      </c>
      <c r="Y1117" s="20">
        <f t="shared" si="56"/>
        <v>1</v>
      </c>
      <c r="AA1117" s="98">
        <f t="shared" si="57"/>
        <v>0.58999999999999986</v>
      </c>
      <c r="AB1117" s="350">
        <f t="shared" si="58"/>
        <v>1</v>
      </c>
    </row>
    <row r="1118" spans="1:28" ht="22.15" customHeight="1" x14ac:dyDescent="0.25">
      <c r="A1118" s="21">
        <v>10</v>
      </c>
      <c r="B1118" s="276" t="s">
        <v>2395</v>
      </c>
      <c r="C1118" s="81">
        <v>12</v>
      </c>
      <c r="D1118" s="23" t="s">
        <v>2396</v>
      </c>
      <c r="H1118" s="346">
        <v>54.9</v>
      </c>
      <c r="I1118" s="21">
        <v>50.650599999999997</v>
      </c>
      <c r="J1118" s="23" t="s">
        <v>1013</v>
      </c>
      <c r="K1118" s="21" t="s">
        <v>2397</v>
      </c>
      <c r="L1118" s="21" t="s">
        <v>2398</v>
      </c>
      <c r="M1118" s="21" t="s">
        <v>1165</v>
      </c>
      <c r="N1118" s="87">
        <v>41.86</v>
      </c>
      <c r="O1118" s="347"/>
      <c r="R1118" s="84" t="s">
        <v>304</v>
      </c>
      <c r="Y1118" s="20">
        <f t="shared" si="56"/>
        <v>1</v>
      </c>
      <c r="AA1118" s="98">
        <f t="shared" si="57"/>
        <v>0.58999999999999986</v>
      </c>
      <c r="AB1118" s="350">
        <f t="shared" si="58"/>
        <v>1</v>
      </c>
    </row>
    <row r="1119" spans="1:28" ht="22.15" customHeight="1" x14ac:dyDescent="0.25">
      <c r="A1119" s="21" t="s">
        <v>103</v>
      </c>
      <c r="B1119" s="276" t="s">
        <v>2399</v>
      </c>
      <c r="C1119" s="81">
        <v>24</v>
      </c>
      <c r="D1119" s="23" t="s">
        <v>2400</v>
      </c>
      <c r="H1119" s="346">
        <v>18.899999999999999</v>
      </c>
      <c r="I1119" s="21">
        <v>17.61</v>
      </c>
      <c r="J1119" s="23" t="s">
        <v>1171</v>
      </c>
      <c r="K1119" s="21" t="s">
        <v>2401</v>
      </c>
      <c r="L1119" s="21" t="s">
        <v>2402</v>
      </c>
      <c r="M1119" s="21" t="s">
        <v>1173</v>
      </c>
      <c r="O1119" s="347"/>
      <c r="R1119" s="84" t="s">
        <v>340</v>
      </c>
      <c r="Y1119" s="20">
        <f t="shared" si="56"/>
        <v>1</v>
      </c>
      <c r="AA1119" s="98">
        <f t="shared" si="57"/>
        <v>0.36000000000000032</v>
      </c>
      <c r="AB1119" s="350">
        <f t="shared" si="58"/>
        <v>0.59999999999999964</v>
      </c>
    </row>
    <row r="1120" spans="1:28" ht="22.15" customHeight="1" x14ac:dyDescent="0.25">
      <c r="A1120" s="21">
        <v>10</v>
      </c>
      <c r="B1120" s="276" t="s">
        <v>2403</v>
      </c>
      <c r="C1120" s="81">
        <v>24</v>
      </c>
      <c r="D1120" s="23" t="s">
        <v>2404</v>
      </c>
      <c r="H1120" s="346">
        <v>46.9</v>
      </c>
      <c r="I1120" s="21">
        <v>43.85964872222393</v>
      </c>
      <c r="J1120" s="23" t="s">
        <v>916</v>
      </c>
      <c r="K1120" s="21" t="s">
        <v>2405</v>
      </c>
      <c r="L1120" s="21" t="s">
        <v>2406</v>
      </c>
      <c r="M1120" s="21" t="s">
        <v>2407</v>
      </c>
      <c r="N1120" s="87">
        <v>36.247643572085892</v>
      </c>
      <c r="O1120" s="347"/>
      <c r="R1120" s="84" t="s">
        <v>738</v>
      </c>
      <c r="Y1120" s="20">
        <f t="shared" si="56"/>
        <v>1</v>
      </c>
      <c r="AA1120" s="98">
        <f t="shared" si="57"/>
        <v>0.30999999999999961</v>
      </c>
      <c r="AB1120" s="350">
        <f t="shared" si="58"/>
        <v>0.60000000000000053</v>
      </c>
    </row>
    <row r="1121" spans="1:28" ht="22.15" customHeight="1" x14ac:dyDescent="0.25">
      <c r="A1121" s="21">
        <v>12</v>
      </c>
      <c r="B1121" s="276" t="s">
        <v>2408</v>
      </c>
      <c r="C1121" s="81">
        <v>24</v>
      </c>
      <c r="D1121" s="23" t="s">
        <v>2409</v>
      </c>
      <c r="H1121" s="346">
        <v>66.900000000000006</v>
      </c>
      <c r="I1121" s="21">
        <v>63.286186950384142</v>
      </c>
      <c r="J1121" s="23" t="s">
        <v>1179</v>
      </c>
      <c r="K1121" s="21" t="s">
        <v>2410</v>
      </c>
      <c r="L1121" s="21" t="s">
        <v>2411</v>
      </c>
      <c r="M1121" s="21" t="s">
        <v>2412</v>
      </c>
      <c r="N1121" s="87">
        <v>52.302633843292682</v>
      </c>
      <c r="O1121" s="347"/>
      <c r="R1121" s="84" t="s">
        <v>2413</v>
      </c>
      <c r="Y1121" s="20">
        <f t="shared" si="56"/>
        <v>1</v>
      </c>
      <c r="AA1121" s="98">
        <f t="shared" si="57"/>
        <v>1.009999999999998</v>
      </c>
      <c r="AB1121" s="350">
        <f t="shared" si="58"/>
        <v>2</v>
      </c>
    </row>
    <row r="1122" spans="1:28" ht="22.15" customHeight="1" x14ac:dyDescent="0.25">
      <c r="A1122" s="21">
        <v>12</v>
      </c>
      <c r="B1122" s="276" t="s">
        <v>2414</v>
      </c>
      <c r="C1122" s="81">
        <v>24</v>
      </c>
      <c r="D1122" s="23" t="s">
        <v>2415</v>
      </c>
      <c r="H1122" s="346">
        <v>72.900000000000006</v>
      </c>
      <c r="I1122" s="21">
        <v>69.401243697500021</v>
      </c>
      <c r="J1122" s="23" t="s">
        <v>1179</v>
      </c>
      <c r="K1122" s="21" t="s">
        <v>2416</v>
      </c>
      <c r="L1122" s="21" t="s">
        <v>2417</v>
      </c>
      <c r="M1122" s="21" t="s">
        <v>2418</v>
      </c>
      <c r="N1122" s="87">
        <v>57.356399750000016</v>
      </c>
      <c r="O1122" s="347"/>
      <c r="R1122" s="84" t="s">
        <v>2419</v>
      </c>
      <c r="Y1122" s="20">
        <f t="shared" si="56"/>
        <v>1</v>
      </c>
      <c r="AA1122" s="98">
        <f t="shared" si="57"/>
        <v>0.19000000000000039</v>
      </c>
      <c r="AB1122" s="350">
        <f t="shared" si="58"/>
        <v>1.2999999999999989</v>
      </c>
    </row>
    <row r="1123" spans="1:28" ht="22.15" customHeight="1" x14ac:dyDescent="0.25">
      <c r="A1123" s="21">
        <v>12</v>
      </c>
      <c r="B1123" s="276" t="s">
        <v>2420</v>
      </c>
      <c r="C1123" s="81">
        <v>12</v>
      </c>
      <c r="D1123" s="23" t="s">
        <v>2421</v>
      </c>
      <c r="H1123" s="346">
        <v>84.9</v>
      </c>
      <c r="I1123" s="21">
        <v>80.53679186437499</v>
      </c>
      <c r="J1123" s="23" t="s">
        <v>1179</v>
      </c>
      <c r="K1123" s="21" t="s">
        <v>2422</v>
      </c>
      <c r="L1123" s="21" t="s">
        <v>2423</v>
      </c>
      <c r="M1123" s="21" t="s">
        <v>2424</v>
      </c>
      <c r="N1123" s="87">
        <v>66.559332119318171</v>
      </c>
      <c r="O1123" s="347"/>
      <c r="R1123" s="84" t="s">
        <v>2425</v>
      </c>
      <c r="Y1123" s="20">
        <f t="shared" si="56"/>
        <v>1</v>
      </c>
      <c r="AA1123" s="98">
        <f t="shared" si="57"/>
        <v>0.17000000000000171</v>
      </c>
      <c r="AB1123" s="350">
        <f t="shared" si="58"/>
        <v>0</v>
      </c>
    </row>
    <row r="1124" spans="1:28" ht="22.15" customHeight="1" x14ac:dyDescent="0.25">
      <c r="A1124" s="21">
        <v>999</v>
      </c>
      <c r="B1124" s="276" t="s">
        <v>2426</v>
      </c>
      <c r="C1124" s="81">
        <v>8</v>
      </c>
      <c r="D1124" s="23" t="s">
        <v>2427</v>
      </c>
      <c r="H1124" s="346">
        <v>129.9</v>
      </c>
      <c r="I1124" s="21">
        <v>120.879</v>
      </c>
      <c r="J1124" s="23" t="s">
        <v>1179</v>
      </c>
      <c r="K1124" s="21" t="s">
        <v>2428</v>
      </c>
      <c r="L1124" s="21" t="s">
        <v>2429</v>
      </c>
      <c r="M1124" s="21" t="s">
        <v>2430</v>
      </c>
      <c r="N1124" s="87">
        <v>99.9</v>
      </c>
      <c r="O1124" s="347"/>
      <c r="R1124" s="84" t="s">
        <v>2431</v>
      </c>
      <c r="Y1124" s="20">
        <f t="shared" si="56"/>
        <v>1</v>
      </c>
      <c r="AA1124" s="98">
        <f t="shared" si="57"/>
        <v>0.17000000000000171</v>
      </c>
      <c r="AB1124" s="350">
        <f t="shared" si="58"/>
        <v>0</v>
      </c>
    </row>
    <row r="1125" spans="1:28" ht="22.15" customHeight="1" x14ac:dyDescent="0.25">
      <c r="A1125" s="21">
        <v>12</v>
      </c>
      <c r="B1125" s="276">
        <v>8699444266169</v>
      </c>
      <c r="C1125" s="81">
        <v>48</v>
      </c>
      <c r="D1125" s="23" t="s">
        <v>2432</v>
      </c>
      <c r="H1125" s="346" t="s">
        <v>1186</v>
      </c>
      <c r="I1125" s="21">
        <v>33.759</v>
      </c>
      <c r="J1125" s="23" t="s">
        <v>1013</v>
      </c>
      <c r="K1125" s="21" t="s">
        <v>2433</v>
      </c>
      <c r="L1125" s="21" t="s">
        <v>2434</v>
      </c>
      <c r="M1125" s="21" t="s">
        <v>1188</v>
      </c>
      <c r="N1125" s="87">
        <v>33.759</v>
      </c>
      <c r="O1125" s="347">
        <v>33.759</v>
      </c>
      <c r="P1125" s="87" t="s">
        <v>2435</v>
      </c>
      <c r="R1125" s="84">
        <v>37.5</v>
      </c>
      <c r="Y1125" s="20">
        <f t="shared" si="56"/>
        <v>1</v>
      </c>
      <c r="AA1125" s="98">
        <f t="shared" si="57"/>
        <v>0.17000000000000171</v>
      </c>
      <c r="AB1125" s="350">
        <f t="shared" si="58"/>
        <v>0</v>
      </c>
    </row>
    <row r="1126" spans="1:28" ht="22.15" customHeight="1" x14ac:dyDescent="0.25">
      <c r="A1126" s="21">
        <v>12</v>
      </c>
      <c r="B1126" s="276">
        <v>8699444266060</v>
      </c>
      <c r="C1126" s="81">
        <v>48</v>
      </c>
      <c r="D1126" s="23" t="s">
        <v>2436</v>
      </c>
      <c r="H1126" s="346" t="s">
        <v>1186</v>
      </c>
      <c r="I1126" s="21">
        <v>33.759</v>
      </c>
      <c r="J1126" s="23" t="s">
        <v>1013</v>
      </c>
      <c r="K1126" s="21" t="s">
        <v>2437</v>
      </c>
      <c r="L1126" s="21" t="s">
        <v>2438</v>
      </c>
      <c r="M1126" s="21" t="s">
        <v>1188</v>
      </c>
      <c r="N1126" s="87">
        <v>33.759</v>
      </c>
      <c r="O1126" s="347">
        <v>33.759</v>
      </c>
      <c r="P1126" s="87" t="s">
        <v>2435</v>
      </c>
      <c r="R1126" s="84">
        <v>37.5</v>
      </c>
      <c r="Y1126" s="20">
        <f t="shared" si="56"/>
        <v>1</v>
      </c>
      <c r="AA1126" s="98">
        <f t="shared" si="57"/>
        <v>0.17000000000000171</v>
      </c>
      <c r="AB1126" s="350">
        <f t="shared" si="58"/>
        <v>0</v>
      </c>
    </row>
    <row r="1127" spans="1:28" ht="22.15" customHeight="1" x14ac:dyDescent="0.25">
      <c r="A1127" s="21">
        <v>12</v>
      </c>
      <c r="B1127" s="276">
        <v>8699444266145</v>
      </c>
      <c r="C1127" s="81">
        <v>48</v>
      </c>
      <c r="D1127" s="23" t="s">
        <v>2439</v>
      </c>
      <c r="H1127" s="346" t="s">
        <v>1186</v>
      </c>
      <c r="I1127" s="21">
        <v>33.759</v>
      </c>
      <c r="J1127" s="23" t="s">
        <v>1013</v>
      </c>
      <c r="K1127" s="21" t="s">
        <v>2440</v>
      </c>
      <c r="L1127" s="21" t="s">
        <v>2441</v>
      </c>
      <c r="M1127" s="21" t="s">
        <v>1188</v>
      </c>
      <c r="N1127" s="87">
        <v>33.759</v>
      </c>
      <c r="O1127" s="347">
        <v>33.759</v>
      </c>
      <c r="P1127" s="87" t="s">
        <v>2435</v>
      </c>
      <c r="R1127" s="84">
        <v>37.5</v>
      </c>
      <c r="Y1127" s="20">
        <f t="shared" si="56"/>
        <v>1</v>
      </c>
      <c r="AA1127" s="98">
        <f t="shared" si="57"/>
        <v>0.59999999999999964</v>
      </c>
      <c r="AB1127" s="350">
        <f t="shared" si="58"/>
        <v>1</v>
      </c>
    </row>
    <row r="1128" spans="1:28" ht="22.15" customHeight="1" x14ac:dyDescent="0.25">
      <c r="A1128" s="21">
        <v>12</v>
      </c>
      <c r="B1128" s="276" t="s">
        <v>2442</v>
      </c>
      <c r="C1128" s="81">
        <v>48</v>
      </c>
      <c r="D1128" s="23" t="s">
        <v>2443</v>
      </c>
      <c r="H1128" s="346" t="s">
        <v>1186</v>
      </c>
      <c r="I1128" s="21">
        <v>33.759</v>
      </c>
      <c r="J1128" s="23" t="s">
        <v>1013</v>
      </c>
      <c r="K1128" s="21" t="s">
        <v>2444</v>
      </c>
      <c r="L1128" s="21" t="s">
        <v>2445</v>
      </c>
      <c r="M1128" s="21" t="s">
        <v>1188</v>
      </c>
      <c r="N1128" s="87">
        <v>33.759</v>
      </c>
      <c r="O1128" s="347">
        <v>33.759</v>
      </c>
      <c r="P1128" s="87" t="s">
        <v>2435</v>
      </c>
      <c r="R1128" s="84">
        <v>37.5</v>
      </c>
      <c r="Y1128" s="20">
        <f t="shared" si="56"/>
        <v>1</v>
      </c>
      <c r="AA1128" s="98">
        <f t="shared" si="57"/>
        <v>0.59999999999999964</v>
      </c>
      <c r="AB1128" s="350">
        <f t="shared" si="58"/>
        <v>1</v>
      </c>
    </row>
    <row r="1129" spans="1:28" ht="22.15" customHeight="1" x14ac:dyDescent="0.25">
      <c r="A1129" s="21">
        <v>12</v>
      </c>
      <c r="B1129" s="276">
        <v>8699444266077</v>
      </c>
      <c r="C1129" s="81">
        <v>48</v>
      </c>
      <c r="D1129" s="23" t="s">
        <v>2446</v>
      </c>
      <c r="H1129" s="346" t="s">
        <v>1186</v>
      </c>
      <c r="I1129" s="21">
        <v>33.759</v>
      </c>
      <c r="J1129" s="23" t="s">
        <v>1013</v>
      </c>
      <c r="K1129" s="21" t="s">
        <v>2447</v>
      </c>
      <c r="L1129" s="21" t="s">
        <v>2448</v>
      </c>
      <c r="M1129" s="21" t="s">
        <v>1188</v>
      </c>
      <c r="N1129" s="87">
        <v>33.759</v>
      </c>
      <c r="O1129" s="347">
        <v>33.759</v>
      </c>
      <c r="P1129" s="87" t="s">
        <v>2435</v>
      </c>
      <c r="R1129" s="84">
        <v>37.5</v>
      </c>
      <c r="Y1129" s="20">
        <f t="shared" si="56"/>
        <v>1</v>
      </c>
      <c r="AA1129" s="98">
        <f t="shared" si="57"/>
        <v>0.59999999999999964</v>
      </c>
      <c r="AB1129" s="350">
        <f t="shared" si="58"/>
        <v>1</v>
      </c>
    </row>
    <row r="1130" spans="1:28" ht="22.15" customHeight="1" x14ac:dyDescent="0.25">
      <c r="A1130" s="21">
        <v>12</v>
      </c>
      <c r="B1130" s="276">
        <v>8699444266152</v>
      </c>
      <c r="C1130" s="81">
        <v>48</v>
      </c>
      <c r="D1130" s="23" t="s">
        <v>2449</v>
      </c>
      <c r="H1130" s="346" t="s">
        <v>1186</v>
      </c>
      <c r="I1130" s="21">
        <v>33.759</v>
      </c>
      <c r="J1130" s="23" t="s">
        <v>1013</v>
      </c>
      <c r="K1130" s="21" t="s">
        <v>2450</v>
      </c>
      <c r="L1130" s="21" t="s">
        <v>2451</v>
      </c>
      <c r="M1130" s="21" t="s">
        <v>1188</v>
      </c>
      <c r="N1130" s="87">
        <v>33.759</v>
      </c>
      <c r="O1130" s="347">
        <v>33.759</v>
      </c>
      <c r="P1130" s="87" t="s">
        <v>2435</v>
      </c>
      <c r="R1130" s="84">
        <v>37.5</v>
      </c>
      <c r="Y1130" s="20">
        <f t="shared" si="56"/>
        <v>1</v>
      </c>
      <c r="AA1130" s="98">
        <f t="shared" si="57"/>
        <v>0.20000000000000018</v>
      </c>
      <c r="AB1130" s="350">
        <f t="shared" si="58"/>
        <v>0.69999999999999929</v>
      </c>
    </row>
    <row r="1131" spans="1:28" ht="22.15" customHeight="1" x14ac:dyDescent="0.25">
      <c r="A1131" s="21">
        <v>12</v>
      </c>
      <c r="B1131" s="276" t="s">
        <v>2452</v>
      </c>
      <c r="C1131" s="81">
        <v>48</v>
      </c>
      <c r="D1131" s="23" t="s">
        <v>2453</v>
      </c>
      <c r="H1131" s="346" t="s">
        <v>1186</v>
      </c>
      <c r="I1131" s="21">
        <v>33.759</v>
      </c>
      <c r="J1131" s="23" t="s">
        <v>1013</v>
      </c>
      <c r="K1131" s="21" t="s">
        <v>2454</v>
      </c>
      <c r="L1131" s="21" t="s">
        <v>2455</v>
      </c>
      <c r="M1131" s="21" t="s">
        <v>1188</v>
      </c>
      <c r="N1131" s="87">
        <v>33.759</v>
      </c>
      <c r="O1131" s="347">
        <v>33.759</v>
      </c>
      <c r="P1131" s="87" t="s">
        <v>2435</v>
      </c>
      <c r="R1131" s="84">
        <v>37.5</v>
      </c>
      <c r="Y1131" s="20">
        <f t="shared" si="56"/>
        <v>1</v>
      </c>
      <c r="AA1131" s="98">
        <f t="shared" si="57"/>
        <v>0.20000000000000018</v>
      </c>
      <c r="AB1131" s="350">
        <f t="shared" si="58"/>
        <v>0.69999999999999929</v>
      </c>
    </row>
    <row r="1132" spans="1:28" ht="22.15" customHeight="1" x14ac:dyDescent="0.25">
      <c r="A1132" s="21">
        <v>12</v>
      </c>
      <c r="B1132" s="276">
        <v>8699444266114</v>
      </c>
      <c r="C1132" s="81">
        <v>48</v>
      </c>
      <c r="D1132" s="23" t="s">
        <v>2456</v>
      </c>
      <c r="H1132" s="346" t="s">
        <v>1186</v>
      </c>
      <c r="I1132" s="21">
        <v>33.759</v>
      </c>
      <c r="J1132" s="23" t="s">
        <v>1013</v>
      </c>
      <c r="K1132" s="21" t="s">
        <v>2457</v>
      </c>
      <c r="L1132" s="21" t="s">
        <v>2458</v>
      </c>
      <c r="M1132" s="21" t="s">
        <v>1188</v>
      </c>
      <c r="N1132" s="87">
        <v>33.759</v>
      </c>
      <c r="O1132" s="347">
        <v>33.759</v>
      </c>
      <c r="P1132" s="87" t="s">
        <v>2435</v>
      </c>
      <c r="R1132" s="84">
        <v>37.5</v>
      </c>
      <c r="Y1132" s="20">
        <f t="shared" si="56"/>
        <v>1</v>
      </c>
      <c r="AA1132" s="98">
        <f t="shared" si="57"/>
        <v>0.20000000000000018</v>
      </c>
      <c r="AB1132" s="350">
        <f t="shared" si="58"/>
        <v>0.69999999999999929</v>
      </c>
    </row>
    <row r="1133" spans="1:28" ht="22.15" customHeight="1" x14ac:dyDescent="0.25">
      <c r="A1133" s="21">
        <v>12</v>
      </c>
      <c r="B1133" s="276" t="s">
        <v>2459</v>
      </c>
      <c r="C1133" s="81">
        <v>48</v>
      </c>
      <c r="D1133" s="23" t="s">
        <v>2460</v>
      </c>
      <c r="H1133" s="346" t="s">
        <v>1186</v>
      </c>
      <c r="I1133" s="21">
        <v>33.759</v>
      </c>
      <c r="J1133" s="23" t="s">
        <v>1013</v>
      </c>
      <c r="K1133" s="21" t="s">
        <v>2461</v>
      </c>
      <c r="L1133" s="21" t="s">
        <v>2462</v>
      </c>
      <c r="M1133" s="21" t="s">
        <v>1188</v>
      </c>
      <c r="N1133" s="87">
        <v>33.759</v>
      </c>
      <c r="O1133" s="347">
        <v>33.759</v>
      </c>
      <c r="P1133" s="87" t="s">
        <v>2435</v>
      </c>
      <c r="R1133" s="84">
        <v>37.5</v>
      </c>
      <c r="Y1133" s="20">
        <f t="shared" si="56"/>
        <v>1</v>
      </c>
      <c r="AA1133" s="98">
        <f t="shared" si="57"/>
        <v>0.20000000000000018</v>
      </c>
      <c r="AB1133" s="350">
        <f t="shared" si="58"/>
        <v>0.69999999999999929</v>
      </c>
    </row>
    <row r="1134" spans="1:28" ht="22.15" customHeight="1" x14ac:dyDescent="0.25">
      <c r="A1134" s="21">
        <v>12</v>
      </c>
      <c r="B1134" s="276">
        <v>8699444266053</v>
      </c>
      <c r="C1134" s="81">
        <v>48</v>
      </c>
      <c r="D1134" s="23" t="s">
        <v>2463</v>
      </c>
      <c r="H1134" s="346" t="s">
        <v>1186</v>
      </c>
      <c r="I1134" s="21">
        <v>33.759</v>
      </c>
      <c r="J1134" s="23" t="s">
        <v>1013</v>
      </c>
      <c r="K1134" s="21" t="s">
        <v>2464</v>
      </c>
      <c r="L1134" s="21" t="s">
        <v>2465</v>
      </c>
      <c r="M1134" s="21" t="s">
        <v>1188</v>
      </c>
      <c r="N1134" s="87">
        <v>33.759</v>
      </c>
      <c r="O1134" s="347">
        <v>33.759</v>
      </c>
      <c r="P1134" s="87" t="s">
        <v>2435</v>
      </c>
      <c r="R1134" s="84">
        <v>37.5</v>
      </c>
      <c r="Y1134" s="20">
        <f t="shared" si="56"/>
        <v>1</v>
      </c>
      <c r="AA1134" s="98">
        <f t="shared" si="57"/>
        <v>0.20000000000000018</v>
      </c>
      <c r="AB1134" s="350">
        <f t="shared" si="58"/>
        <v>0.69999999999999929</v>
      </c>
    </row>
    <row r="1135" spans="1:28" ht="22.15" customHeight="1" x14ac:dyDescent="0.25">
      <c r="A1135" s="21">
        <v>12</v>
      </c>
      <c r="B1135" s="276" t="s">
        <v>2466</v>
      </c>
      <c r="C1135" s="81">
        <v>48</v>
      </c>
      <c r="D1135" s="23" t="s">
        <v>2467</v>
      </c>
      <c r="H1135" s="346" t="s">
        <v>1186</v>
      </c>
      <c r="I1135" s="21">
        <v>33.759</v>
      </c>
      <c r="J1135" s="23" t="s">
        <v>1013</v>
      </c>
      <c r="K1135" s="21" t="s">
        <v>2468</v>
      </c>
      <c r="L1135" s="21" t="s">
        <v>2469</v>
      </c>
      <c r="M1135" s="21" t="s">
        <v>1188</v>
      </c>
      <c r="N1135" s="87">
        <v>33.759</v>
      </c>
      <c r="O1135" s="347">
        <v>33.759</v>
      </c>
      <c r="P1135" s="87" t="s">
        <v>2435</v>
      </c>
      <c r="R1135" s="84">
        <v>37.5</v>
      </c>
      <c r="Y1135" s="20">
        <f t="shared" ref="Y1135:Y1166" si="59">COUNTIF(K:K,K1035)</f>
        <v>1</v>
      </c>
      <c r="AA1135" s="98">
        <f t="shared" si="57"/>
        <v>0.20000000000000018</v>
      </c>
      <c r="AB1135" s="350">
        <f t="shared" si="58"/>
        <v>0.69999999999999929</v>
      </c>
    </row>
    <row r="1136" spans="1:28" ht="22.15" customHeight="1" x14ac:dyDescent="0.25">
      <c r="A1136" s="21">
        <v>12</v>
      </c>
      <c r="B1136" s="276" t="s">
        <v>2470</v>
      </c>
      <c r="C1136" s="81">
        <v>48</v>
      </c>
      <c r="D1136" s="23" t="s">
        <v>2471</v>
      </c>
      <c r="H1136" s="346" t="s">
        <v>1186</v>
      </c>
      <c r="I1136" s="21">
        <v>33.759</v>
      </c>
      <c r="J1136" s="23" t="s">
        <v>1013</v>
      </c>
      <c r="K1136" s="21" t="s">
        <v>2472</v>
      </c>
      <c r="L1136" s="21" t="s">
        <v>2473</v>
      </c>
      <c r="M1136" s="21" t="s">
        <v>1188</v>
      </c>
      <c r="N1136" s="87">
        <v>33.759</v>
      </c>
      <c r="O1136" s="347">
        <v>33.759</v>
      </c>
      <c r="P1136" s="87" t="s">
        <v>2435</v>
      </c>
      <c r="R1136" s="84">
        <v>37.5</v>
      </c>
      <c r="Y1136" s="20">
        <f t="shared" si="59"/>
        <v>1</v>
      </c>
      <c r="AA1136" s="98">
        <f t="shared" si="57"/>
        <v>0.20000000000000018</v>
      </c>
      <c r="AB1136" s="350">
        <f t="shared" si="58"/>
        <v>0.69999999999999929</v>
      </c>
    </row>
    <row r="1137" spans="1:28" ht="22.15" customHeight="1" x14ac:dyDescent="0.25">
      <c r="A1137" s="21">
        <v>12</v>
      </c>
      <c r="B1137" s="276" t="s">
        <v>2474</v>
      </c>
      <c r="C1137" s="81">
        <v>48</v>
      </c>
      <c r="D1137" s="23" t="s">
        <v>2475</v>
      </c>
      <c r="H1137" s="346" t="s">
        <v>1186</v>
      </c>
      <c r="I1137" s="21">
        <v>33.759</v>
      </c>
      <c r="J1137" s="23" t="s">
        <v>1013</v>
      </c>
      <c r="K1137" s="21" t="s">
        <v>2476</v>
      </c>
      <c r="L1137" s="21" t="s">
        <v>2477</v>
      </c>
      <c r="M1137" s="21" t="s">
        <v>1188</v>
      </c>
      <c r="N1137" s="87">
        <v>33.759</v>
      </c>
      <c r="O1137" s="347">
        <v>33.759</v>
      </c>
      <c r="P1137" s="87" t="s">
        <v>2435</v>
      </c>
      <c r="R1137" s="84">
        <v>37.5</v>
      </c>
      <c r="Y1137" s="20">
        <f t="shared" si="59"/>
        <v>1</v>
      </c>
      <c r="AA1137" s="98">
        <f t="shared" si="57"/>
        <v>0.20000000000000018</v>
      </c>
      <c r="AB1137" s="350">
        <f t="shared" si="58"/>
        <v>0.69999999999999929</v>
      </c>
    </row>
    <row r="1138" spans="1:28" ht="22.15" customHeight="1" x14ac:dyDescent="0.25">
      <c r="A1138" s="21">
        <v>12</v>
      </c>
      <c r="B1138" s="276">
        <v>8699444266107</v>
      </c>
      <c r="C1138" s="81">
        <v>48</v>
      </c>
      <c r="D1138" s="23" t="s">
        <v>2478</v>
      </c>
      <c r="H1138" s="346" t="s">
        <v>1186</v>
      </c>
      <c r="I1138" s="21">
        <v>33.759</v>
      </c>
      <c r="J1138" s="23" t="s">
        <v>1013</v>
      </c>
      <c r="K1138" s="21" t="s">
        <v>2479</v>
      </c>
      <c r="L1138" s="21" t="s">
        <v>2480</v>
      </c>
      <c r="M1138" s="21" t="s">
        <v>1188</v>
      </c>
      <c r="N1138" s="87">
        <v>33.759</v>
      </c>
      <c r="O1138" s="347">
        <v>33.759</v>
      </c>
      <c r="P1138" s="87" t="s">
        <v>2435</v>
      </c>
      <c r="R1138" s="84">
        <v>37.5</v>
      </c>
      <c r="Y1138" s="20">
        <f t="shared" si="59"/>
        <v>1</v>
      </c>
      <c r="AA1138" s="98">
        <f t="shared" si="57"/>
        <v>0.20000000000000018</v>
      </c>
      <c r="AB1138" s="350">
        <f t="shared" si="58"/>
        <v>0.69999999999999929</v>
      </c>
    </row>
    <row r="1139" spans="1:28" ht="22.15" customHeight="1" x14ac:dyDescent="0.25">
      <c r="A1139" s="21">
        <v>12</v>
      </c>
      <c r="B1139" s="276">
        <v>8699444266091</v>
      </c>
      <c r="C1139" s="81">
        <v>48</v>
      </c>
      <c r="D1139" s="23" t="s">
        <v>2481</v>
      </c>
      <c r="H1139" s="346" t="s">
        <v>1186</v>
      </c>
      <c r="I1139" s="21">
        <v>33.759</v>
      </c>
      <c r="J1139" s="23" t="s">
        <v>1013</v>
      </c>
      <c r="K1139" s="21" t="s">
        <v>2482</v>
      </c>
      <c r="L1139" s="21" t="s">
        <v>2483</v>
      </c>
      <c r="M1139" s="21" t="s">
        <v>1188</v>
      </c>
      <c r="N1139" s="87">
        <v>33.759</v>
      </c>
      <c r="O1139" s="347">
        <v>33.759</v>
      </c>
      <c r="P1139" s="87" t="s">
        <v>2435</v>
      </c>
      <c r="R1139" s="84">
        <v>37.5</v>
      </c>
      <c r="Y1139" s="20">
        <f t="shared" si="59"/>
        <v>1</v>
      </c>
      <c r="AA1139" s="98">
        <f t="shared" si="57"/>
        <v>0.20000000000000018</v>
      </c>
      <c r="AB1139" s="350">
        <f t="shared" si="58"/>
        <v>0.69999999999999929</v>
      </c>
    </row>
    <row r="1140" spans="1:28" ht="22.15" customHeight="1" x14ac:dyDescent="0.25">
      <c r="A1140" s="21">
        <v>12</v>
      </c>
      <c r="B1140" s="276">
        <v>8699444266121</v>
      </c>
      <c r="C1140" s="81">
        <v>48</v>
      </c>
      <c r="D1140" s="23" t="s">
        <v>2484</v>
      </c>
      <c r="H1140" s="346" t="s">
        <v>1186</v>
      </c>
      <c r="I1140" s="21">
        <v>33.759</v>
      </c>
      <c r="J1140" s="23" t="s">
        <v>1013</v>
      </c>
      <c r="K1140" s="21" t="s">
        <v>2485</v>
      </c>
      <c r="L1140" s="21" t="s">
        <v>2486</v>
      </c>
      <c r="M1140" s="21" t="s">
        <v>1188</v>
      </c>
      <c r="N1140" s="87">
        <v>33.759</v>
      </c>
      <c r="O1140" s="347">
        <v>33.759</v>
      </c>
      <c r="P1140" s="87" t="s">
        <v>2435</v>
      </c>
      <c r="R1140" s="84">
        <v>37.5</v>
      </c>
      <c r="Y1140" s="20">
        <f t="shared" si="59"/>
        <v>1</v>
      </c>
      <c r="AA1140" s="98">
        <f t="shared" si="57"/>
        <v>0.20000000000000018</v>
      </c>
      <c r="AB1140" s="350">
        <f t="shared" si="58"/>
        <v>0.69999999999999929</v>
      </c>
    </row>
    <row r="1141" spans="1:28" ht="22.15" customHeight="1" x14ac:dyDescent="0.25">
      <c r="A1141" s="21">
        <v>12</v>
      </c>
      <c r="B1141" s="276">
        <v>8699444266084</v>
      </c>
      <c r="C1141" s="81">
        <v>48</v>
      </c>
      <c r="D1141" s="23" t="s">
        <v>2487</v>
      </c>
      <c r="H1141" s="346" t="s">
        <v>1186</v>
      </c>
      <c r="I1141" s="21">
        <v>33.759</v>
      </c>
      <c r="J1141" s="23" t="s">
        <v>1013</v>
      </c>
      <c r="K1141" s="21" t="s">
        <v>2488</v>
      </c>
      <c r="L1141" s="21" t="s">
        <v>2489</v>
      </c>
      <c r="M1141" s="21" t="s">
        <v>1188</v>
      </c>
      <c r="N1141" s="87">
        <v>33.759</v>
      </c>
      <c r="O1141" s="347">
        <v>33.759</v>
      </c>
      <c r="P1141" s="87" t="s">
        <v>2435</v>
      </c>
      <c r="R1141" s="84">
        <v>37.5</v>
      </c>
      <c r="Y1141" s="20">
        <f t="shared" si="59"/>
        <v>1</v>
      </c>
      <c r="AA1141" s="98">
        <f t="shared" si="57"/>
        <v>0.23000000000000043</v>
      </c>
      <c r="AB1141" s="350">
        <f t="shared" si="58"/>
        <v>0.70000000000000018</v>
      </c>
    </row>
    <row r="1142" spans="1:28" ht="22.15" customHeight="1" x14ac:dyDescent="0.25">
      <c r="A1142" s="21">
        <v>12</v>
      </c>
      <c r="B1142" s="276">
        <v>8699444266138</v>
      </c>
      <c r="C1142" s="81">
        <v>48</v>
      </c>
      <c r="D1142" s="23" t="s">
        <v>2490</v>
      </c>
      <c r="H1142" s="346" t="s">
        <v>1186</v>
      </c>
      <c r="I1142" s="21">
        <v>33.759</v>
      </c>
      <c r="J1142" s="23" t="s">
        <v>1013</v>
      </c>
      <c r="K1142" s="21" t="s">
        <v>2491</v>
      </c>
      <c r="L1142" s="21" t="s">
        <v>2492</v>
      </c>
      <c r="M1142" s="21" t="s">
        <v>1188</v>
      </c>
      <c r="N1142" s="87">
        <v>33.759</v>
      </c>
      <c r="O1142" s="347">
        <v>33.759</v>
      </c>
      <c r="P1142" s="87" t="s">
        <v>2435</v>
      </c>
      <c r="R1142" s="84">
        <v>37.5</v>
      </c>
      <c r="Y1142" s="20">
        <f t="shared" si="59"/>
        <v>1</v>
      </c>
      <c r="AA1142" s="98">
        <f t="shared" si="57"/>
        <v>0.23000000000000043</v>
      </c>
      <c r="AB1142" s="350">
        <f t="shared" si="58"/>
        <v>0.70000000000000018</v>
      </c>
    </row>
    <row r="1143" spans="1:28" ht="22.15" customHeight="1" x14ac:dyDescent="0.25">
      <c r="A1143" s="21">
        <v>12</v>
      </c>
      <c r="B1143" s="276" t="s">
        <v>2493</v>
      </c>
      <c r="C1143" s="81">
        <v>48</v>
      </c>
      <c r="D1143" s="23" t="s">
        <v>2494</v>
      </c>
      <c r="H1143" s="346" t="s">
        <v>1186</v>
      </c>
      <c r="I1143" s="21">
        <v>33.759</v>
      </c>
      <c r="J1143" s="23" t="s">
        <v>1013</v>
      </c>
      <c r="K1143" s="21" t="s">
        <v>2495</v>
      </c>
      <c r="L1143" s="21" t="s">
        <v>2496</v>
      </c>
      <c r="M1143" s="21" t="s">
        <v>1188</v>
      </c>
      <c r="N1143" s="87">
        <v>33.759</v>
      </c>
      <c r="O1143" s="347">
        <v>33.759</v>
      </c>
      <c r="P1143" s="87" t="s">
        <v>2435</v>
      </c>
      <c r="R1143" s="84">
        <v>37.5</v>
      </c>
      <c r="Y1143" s="20">
        <f t="shared" si="59"/>
        <v>1</v>
      </c>
      <c r="AA1143" s="98">
        <f t="shared" si="57"/>
        <v>1.3299999999999983</v>
      </c>
      <c r="AB1143" s="350">
        <f t="shared" si="58"/>
        <v>2</v>
      </c>
    </row>
    <row r="1144" spans="1:28" ht="22.15" customHeight="1" x14ac:dyDescent="0.25">
      <c r="A1144" s="21">
        <v>12</v>
      </c>
      <c r="B1144" s="276">
        <v>7027301999</v>
      </c>
      <c r="C1144" s="81">
        <v>24</v>
      </c>
      <c r="D1144" s="23" t="s">
        <v>2497</v>
      </c>
      <c r="H1144" s="346" t="s">
        <v>1190</v>
      </c>
      <c r="I1144" s="21">
        <v>23.494327999999999</v>
      </c>
      <c r="J1144" s="23" t="s">
        <v>1013</v>
      </c>
      <c r="K1144" s="21" t="s">
        <v>2498</v>
      </c>
      <c r="L1144" s="21" t="s">
        <v>1013</v>
      </c>
      <c r="M1144" s="21" t="s">
        <v>1192</v>
      </c>
      <c r="N1144" s="87">
        <v>23.494327999999999</v>
      </c>
      <c r="O1144" s="347">
        <v>23.494327999999999</v>
      </c>
      <c r="P1144" s="87" t="s">
        <v>2499</v>
      </c>
      <c r="R1144" s="84">
        <v>26.5</v>
      </c>
      <c r="Y1144" s="20">
        <f t="shared" si="59"/>
        <v>1</v>
      </c>
      <c r="AA1144" s="98">
        <f t="shared" si="57"/>
        <v>1.3299999999999983</v>
      </c>
      <c r="AB1144" s="350">
        <f t="shared" si="58"/>
        <v>2</v>
      </c>
    </row>
    <row r="1145" spans="1:28" ht="22.15" customHeight="1" x14ac:dyDescent="0.25">
      <c r="A1145" s="21">
        <v>12</v>
      </c>
      <c r="B1145" s="276">
        <v>8697926008481</v>
      </c>
      <c r="C1145" s="81">
        <v>48</v>
      </c>
      <c r="D1145" s="23" t="s">
        <v>2500</v>
      </c>
      <c r="H1145" s="346" t="s">
        <v>1190</v>
      </c>
      <c r="I1145" s="21">
        <v>23.494327999999999</v>
      </c>
      <c r="J1145" s="23" t="s">
        <v>1013</v>
      </c>
      <c r="K1145" s="21" t="s">
        <v>2501</v>
      </c>
      <c r="L1145" s="21" t="s">
        <v>1013</v>
      </c>
      <c r="M1145" s="21" t="s">
        <v>2502</v>
      </c>
      <c r="N1145" s="87">
        <v>23.494327999999999</v>
      </c>
      <c r="O1145" s="347">
        <v>23.494327999999999</v>
      </c>
      <c r="P1145" s="87" t="s">
        <v>2499</v>
      </c>
      <c r="R1145" s="84">
        <v>26.5</v>
      </c>
      <c r="Y1145" s="20">
        <f t="shared" si="59"/>
        <v>1</v>
      </c>
      <c r="AA1145" s="98">
        <f t="shared" si="57"/>
        <v>1.3299999999999983</v>
      </c>
      <c r="AB1145" s="350">
        <f t="shared" si="58"/>
        <v>2</v>
      </c>
    </row>
    <row r="1146" spans="1:28" ht="22.15" customHeight="1" x14ac:dyDescent="0.25">
      <c r="A1146" s="21">
        <v>12</v>
      </c>
      <c r="B1146" s="276">
        <v>8697926008504</v>
      </c>
      <c r="C1146" s="81">
        <v>24</v>
      </c>
      <c r="D1146" s="23" t="s">
        <v>2503</v>
      </c>
      <c r="H1146" s="346" t="s">
        <v>1190</v>
      </c>
      <c r="I1146" s="21">
        <v>23.494327999999999</v>
      </c>
      <c r="J1146" s="23" t="s">
        <v>1013</v>
      </c>
      <c r="K1146" s="21" t="s">
        <v>2504</v>
      </c>
      <c r="L1146" s="21" t="s">
        <v>1013</v>
      </c>
      <c r="M1146" s="21" t="s">
        <v>1192</v>
      </c>
      <c r="N1146" s="87">
        <v>23.494327999999999</v>
      </c>
      <c r="O1146" s="347">
        <v>23.494327999999999</v>
      </c>
      <c r="P1146" s="87" t="s">
        <v>2499</v>
      </c>
      <c r="R1146" s="84">
        <v>26.5</v>
      </c>
      <c r="Y1146" s="20">
        <f t="shared" si="59"/>
        <v>1</v>
      </c>
      <c r="AA1146" s="98">
        <f t="shared" si="57"/>
        <v>1.3299999999999983</v>
      </c>
      <c r="AB1146" s="350">
        <f t="shared" si="58"/>
        <v>2</v>
      </c>
    </row>
    <row r="1147" spans="1:28" ht="22.15" customHeight="1" x14ac:dyDescent="0.25">
      <c r="A1147" s="21">
        <v>12</v>
      </c>
      <c r="B1147" s="276">
        <v>8697755699591</v>
      </c>
      <c r="C1147" s="81">
        <v>24</v>
      </c>
      <c r="D1147" s="23" t="s">
        <v>2505</v>
      </c>
      <c r="H1147" s="346" t="s">
        <v>1190</v>
      </c>
      <c r="I1147" s="21">
        <v>23.494327999999999</v>
      </c>
      <c r="J1147" s="23" t="s">
        <v>1013</v>
      </c>
      <c r="K1147" s="21" t="s">
        <v>2506</v>
      </c>
      <c r="L1147" s="21" t="s">
        <v>1013</v>
      </c>
      <c r="M1147" s="21" t="s">
        <v>1192</v>
      </c>
      <c r="N1147" s="87">
        <v>23.494327999999999</v>
      </c>
      <c r="O1147" s="347">
        <v>23.494327999999999</v>
      </c>
      <c r="P1147" s="87" t="s">
        <v>2499</v>
      </c>
      <c r="R1147" s="84">
        <v>26.5</v>
      </c>
      <c r="Y1147" s="20">
        <f t="shared" si="59"/>
        <v>1</v>
      </c>
      <c r="AA1147" s="98">
        <f t="shared" si="57"/>
        <v>1.3299999999999983</v>
      </c>
      <c r="AB1147" s="350">
        <f t="shared" si="58"/>
        <v>2</v>
      </c>
    </row>
    <row r="1148" spans="1:28" ht="22.15" customHeight="1" x14ac:dyDescent="0.25">
      <c r="A1148" s="21">
        <v>12</v>
      </c>
      <c r="B1148" s="276">
        <v>8697755693643</v>
      </c>
      <c r="C1148" s="81">
        <v>24</v>
      </c>
      <c r="D1148" s="23" t="s">
        <v>2507</v>
      </c>
      <c r="H1148" s="346" t="s">
        <v>1190</v>
      </c>
      <c r="I1148" s="21">
        <v>23.498200000000001</v>
      </c>
      <c r="J1148" s="23" t="s">
        <v>1013</v>
      </c>
      <c r="K1148" s="21" t="s">
        <v>2508</v>
      </c>
      <c r="L1148" s="21" t="s">
        <v>1013</v>
      </c>
      <c r="M1148" s="21" t="s">
        <v>1192</v>
      </c>
      <c r="N1148" s="87">
        <v>23.498200000000001</v>
      </c>
      <c r="O1148" s="347">
        <v>23.498200000000001</v>
      </c>
      <c r="P1148" s="87" t="s">
        <v>2509</v>
      </c>
      <c r="R1148" s="84">
        <v>26.5</v>
      </c>
      <c r="Y1148" s="20">
        <f t="shared" si="59"/>
        <v>1</v>
      </c>
      <c r="AA1148" s="98">
        <f t="shared" si="57"/>
        <v>1.3299999999999983</v>
      </c>
      <c r="AB1148" s="350">
        <f t="shared" si="58"/>
        <v>2</v>
      </c>
    </row>
    <row r="1149" spans="1:28" ht="22.15" customHeight="1" x14ac:dyDescent="0.25">
      <c r="A1149" s="21">
        <v>12</v>
      </c>
      <c r="B1149" s="276">
        <v>8697755693810</v>
      </c>
      <c r="C1149" s="81">
        <v>24</v>
      </c>
      <c r="D1149" s="23" t="s">
        <v>2510</v>
      </c>
      <c r="H1149" s="346" t="s">
        <v>1190</v>
      </c>
      <c r="I1149" s="21">
        <v>23.498200000000001</v>
      </c>
      <c r="J1149" s="23" t="s">
        <v>1013</v>
      </c>
      <c r="K1149" s="21" t="s">
        <v>2511</v>
      </c>
      <c r="L1149" s="21" t="s">
        <v>1013</v>
      </c>
      <c r="M1149" s="21" t="s">
        <v>1192</v>
      </c>
      <c r="N1149" s="87">
        <v>23.498200000000001</v>
      </c>
      <c r="O1149" s="347">
        <v>23.498200000000001</v>
      </c>
      <c r="P1149" s="87" t="s">
        <v>2509</v>
      </c>
      <c r="R1149" s="84">
        <v>26.5</v>
      </c>
      <c r="Y1149" s="20">
        <f t="shared" si="59"/>
        <v>1</v>
      </c>
      <c r="AA1149" s="98">
        <f t="shared" si="57"/>
        <v>1.3299999999999983</v>
      </c>
      <c r="AB1149" s="350">
        <f t="shared" si="58"/>
        <v>2</v>
      </c>
    </row>
    <row r="1150" spans="1:28" ht="22.15" customHeight="1" x14ac:dyDescent="0.25">
      <c r="A1150" s="21">
        <v>12</v>
      </c>
      <c r="B1150" s="276">
        <v>7027303999</v>
      </c>
      <c r="C1150" s="81">
        <v>24</v>
      </c>
      <c r="D1150" s="23" t="s">
        <v>2512</v>
      </c>
      <c r="H1150" s="346" t="s">
        <v>1190</v>
      </c>
      <c r="I1150" s="21">
        <v>23.494327999999999</v>
      </c>
      <c r="J1150" s="23" t="s">
        <v>1013</v>
      </c>
      <c r="K1150" s="21" t="s">
        <v>2513</v>
      </c>
      <c r="L1150" s="21" t="s">
        <v>2514</v>
      </c>
      <c r="M1150" s="21" t="s">
        <v>1192</v>
      </c>
      <c r="N1150" s="87">
        <v>23.494327999999999</v>
      </c>
      <c r="O1150" s="347">
        <v>23.494327999999999</v>
      </c>
      <c r="P1150" s="87" t="s">
        <v>2499</v>
      </c>
      <c r="R1150" s="84">
        <v>26.5</v>
      </c>
      <c r="Y1150" s="20">
        <f t="shared" si="59"/>
        <v>1</v>
      </c>
      <c r="AA1150" s="98">
        <f t="shared" si="57"/>
        <v>1.3299999999999983</v>
      </c>
      <c r="AB1150" s="350">
        <f t="shared" si="58"/>
        <v>2</v>
      </c>
    </row>
    <row r="1151" spans="1:28" ht="22.15" customHeight="1" x14ac:dyDescent="0.25">
      <c r="A1151" s="21">
        <v>12</v>
      </c>
      <c r="B1151" s="276">
        <v>8697755693797</v>
      </c>
      <c r="C1151" s="81">
        <v>24</v>
      </c>
      <c r="D1151" s="23" t="s">
        <v>2515</v>
      </c>
      <c r="H1151" s="346" t="s">
        <v>1190</v>
      </c>
      <c r="I1151" s="21">
        <v>23.498200000000001</v>
      </c>
      <c r="J1151" s="23" t="s">
        <v>1013</v>
      </c>
      <c r="K1151" s="21" t="s">
        <v>2516</v>
      </c>
      <c r="L1151" s="21" t="s">
        <v>1013</v>
      </c>
      <c r="M1151" s="21" t="s">
        <v>1192</v>
      </c>
      <c r="N1151" s="87">
        <v>23.498200000000001</v>
      </c>
      <c r="O1151" s="347">
        <v>23.498200000000001</v>
      </c>
      <c r="P1151" s="87" t="s">
        <v>2509</v>
      </c>
      <c r="R1151" s="84">
        <v>26.5</v>
      </c>
      <c r="Y1151" s="20">
        <f t="shared" si="59"/>
        <v>1</v>
      </c>
      <c r="AA1151" s="98">
        <f t="shared" si="57"/>
        <v>1.3299999999999983</v>
      </c>
      <c r="AB1151" s="350">
        <f t="shared" si="58"/>
        <v>2</v>
      </c>
    </row>
    <row r="1152" spans="1:28" ht="22.15" customHeight="1" x14ac:dyDescent="0.25">
      <c r="A1152" s="21">
        <v>12</v>
      </c>
      <c r="B1152" s="276">
        <v>8697755699386</v>
      </c>
      <c r="C1152" s="81">
        <v>24</v>
      </c>
      <c r="D1152" s="23" t="s">
        <v>2517</v>
      </c>
      <c r="H1152" s="346" t="s">
        <v>1190</v>
      </c>
      <c r="I1152" s="21">
        <v>23.494327999999999</v>
      </c>
      <c r="J1152" s="23" t="s">
        <v>1013</v>
      </c>
      <c r="K1152" s="21" t="s">
        <v>2518</v>
      </c>
      <c r="L1152" s="21" t="s">
        <v>2519</v>
      </c>
      <c r="M1152" s="21" t="s">
        <v>1192</v>
      </c>
      <c r="N1152" s="87">
        <v>23.494327999999999</v>
      </c>
      <c r="O1152" s="347">
        <v>23.494327999999999</v>
      </c>
      <c r="P1152" s="87" t="s">
        <v>2499</v>
      </c>
      <c r="R1152" s="84">
        <v>26.5</v>
      </c>
      <c r="Y1152" s="20">
        <f t="shared" si="59"/>
        <v>1</v>
      </c>
      <c r="AA1152" s="98">
        <f t="shared" si="57"/>
        <v>1.3299999999999983</v>
      </c>
      <c r="AB1152" s="350">
        <f t="shared" si="58"/>
        <v>2</v>
      </c>
    </row>
    <row r="1153" spans="1:28" ht="22.15" customHeight="1" x14ac:dyDescent="0.25">
      <c r="A1153" s="21">
        <v>12</v>
      </c>
      <c r="B1153" s="276">
        <v>8697755699409</v>
      </c>
      <c r="C1153" s="81">
        <v>24</v>
      </c>
      <c r="D1153" s="23" t="s">
        <v>2520</v>
      </c>
      <c r="H1153" s="346" t="s">
        <v>1190</v>
      </c>
      <c r="I1153" s="21">
        <v>23.494327999999999</v>
      </c>
      <c r="J1153" s="23" t="s">
        <v>1013</v>
      </c>
      <c r="K1153" s="21" t="s">
        <v>2521</v>
      </c>
      <c r="L1153" s="21" t="s">
        <v>1013</v>
      </c>
      <c r="M1153" s="21" t="s">
        <v>1192</v>
      </c>
      <c r="N1153" s="87">
        <v>23.494327999999999</v>
      </c>
      <c r="O1153" s="347">
        <v>23.494327999999999</v>
      </c>
      <c r="P1153" s="87" t="s">
        <v>2499</v>
      </c>
      <c r="R1153" s="84">
        <v>26.5</v>
      </c>
      <c r="Y1153" s="20">
        <f t="shared" si="59"/>
        <v>1</v>
      </c>
      <c r="AA1153" s="98">
        <f t="shared" si="57"/>
        <v>1.3299999999999983</v>
      </c>
      <c r="AB1153" s="350">
        <f t="shared" si="58"/>
        <v>2</v>
      </c>
    </row>
    <row r="1154" spans="1:28" ht="22.15" customHeight="1" x14ac:dyDescent="0.25">
      <c r="A1154" s="21">
        <v>12</v>
      </c>
      <c r="B1154" s="276">
        <v>8697755693568</v>
      </c>
      <c r="C1154" s="81">
        <v>24</v>
      </c>
      <c r="D1154" s="23" t="s">
        <v>2522</v>
      </c>
      <c r="H1154" s="346" t="s">
        <v>1190</v>
      </c>
      <c r="I1154" s="21">
        <v>23.498200000000001</v>
      </c>
      <c r="J1154" s="23" t="s">
        <v>1013</v>
      </c>
      <c r="K1154" s="21" t="s">
        <v>2523</v>
      </c>
      <c r="L1154" s="21" t="s">
        <v>1013</v>
      </c>
      <c r="M1154" s="21" t="s">
        <v>1192</v>
      </c>
      <c r="N1154" s="87">
        <v>23.498200000000001</v>
      </c>
      <c r="O1154" s="347">
        <v>23.498200000000001</v>
      </c>
      <c r="P1154" s="87" t="s">
        <v>2509</v>
      </c>
      <c r="R1154" s="84">
        <v>26.5</v>
      </c>
      <c r="Y1154" s="20">
        <f t="shared" si="59"/>
        <v>1</v>
      </c>
      <c r="AA1154" s="98">
        <f t="shared" si="57"/>
        <v>1.3299999999999983</v>
      </c>
      <c r="AB1154" s="350">
        <f t="shared" si="58"/>
        <v>2</v>
      </c>
    </row>
    <row r="1155" spans="1:28" ht="22.15" customHeight="1" x14ac:dyDescent="0.25">
      <c r="A1155" s="21">
        <v>12</v>
      </c>
      <c r="B1155" s="276">
        <v>8697926008559</v>
      </c>
      <c r="C1155" s="81">
        <v>48</v>
      </c>
      <c r="D1155" s="23" t="s">
        <v>2524</v>
      </c>
      <c r="H1155" s="346" t="s">
        <v>1190</v>
      </c>
      <c r="I1155" s="21">
        <v>23.494327999999999</v>
      </c>
      <c r="J1155" s="23" t="s">
        <v>1013</v>
      </c>
      <c r="K1155" s="21" t="s">
        <v>2525</v>
      </c>
      <c r="L1155" s="21" t="s">
        <v>1013</v>
      </c>
      <c r="M1155" s="21" t="s">
        <v>2502</v>
      </c>
      <c r="N1155" s="87">
        <v>23.494327999999999</v>
      </c>
      <c r="O1155" s="347">
        <v>23.494327999999999</v>
      </c>
      <c r="P1155" s="87" t="s">
        <v>2499</v>
      </c>
      <c r="R1155" s="84">
        <v>26.5</v>
      </c>
      <c r="Y1155" s="20">
        <f t="shared" si="59"/>
        <v>1</v>
      </c>
      <c r="AA1155" s="98">
        <f t="shared" si="57"/>
        <v>1.3299999999999983</v>
      </c>
      <c r="AB1155" s="350">
        <f t="shared" si="58"/>
        <v>2</v>
      </c>
    </row>
    <row r="1156" spans="1:28" ht="22.15" customHeight="1" x14ac:dyDescent="0.25">
      <c r="A1156" s="21">
        <v>12</v>
      </c>
      <c r="B1156" s="276">
        <v>8697926003042</v>
      </c>
      <c r="C1156" s="81">
        <v>48</v>
      </c>
      <c r="D1156" s="23" t="s">
        <v>2526</v>
      </c>
      <c r="H1156" s="346" t="s">
        <v>1190</v>
      </c>
      <c r="I1156" s="21">
        <v>23.494327999999999</v>
      </c>
      <c r="J1156" s="23" t="s">
        <v>1013</v>
      </c>
      <c r="K1156" s="21" t="s">
        <v>2527</v>
      </c>
      <c r="L1156" s="21" t="s">
        <v>2528</v>
      </c>
      <c r="M1156" s="21" t="s">
        <v>2502</v>
      </c>
      <c r="N1156" s="87">
        <v>23.494327999999999</v>
      </c>
      <c r="O1156" s="347">
        <v>23.494327999999999</v>
      </c>
      <c r="P1156" s="87" t="s">
        <v>2499</v>
      </c>
      <c r="R1156" s="84">
        <v>26.5</v>
      </c>
      <c r="Y1156" s="20">
        <f t="shared" si="59"/>
        <v>1</v>
      </c>
      <c r="AA1156" s="98">
        <f t="shared" si="57"/>
        <v>1.3299999999999983</v>
      </c>
      <c r="AB1156" s="350">
        <f t="shared" si="58"/>
        <v>2</v>
      </c>
    </row>
    <row r="1157" spans="1:28" ht="22.15" customHeight="1" x14ac:dyDescent="0.25">
      <c r="A1157" s="21">
        <v>12</v>
      </c>
      <c r="B1157" s="276">
        <v>7027305999</v>
      </c>
      <c r="C1157" s="81">
        <v>24</v>
      </c>
      <c r="D1157" s="23" t="s">
        <v>2529</v>
      </c>
      <c r="H1157" s="346" t="s">
        <v>1190</v>
      </c>
      <c r="I1157" s="21">
        <v>23.494327999999999</v>
      </c>
      <c r="J1157" s="23" t="s">
        <v>1013</v>
      </c>
      <c r="K1157" s="21" t="s">
        <v>2530</v>
      </c>
      <c r="L1157" s="21" t="s">
        <v>2531</v>
      </c>
      <c r="M1157" s="21" t="s">
        <v>1192</v>
      </c>
      <c r="N1157" s="87">
        <v>23.494327999999999</v>
      </c>
      <c r="O1157" s="347">
        <v>23.494327999999999</v>
      </c>
      <c r="P1157" s="87" t="s">
        <v>2499</v>
      </c>
      <c r="R1157" s="84">
        <v>26.5</v>
      </c>
      <c r="Y1157" s="20">
        <f t="shared" si="59"/>
        <v>1</v>
      </c>
      <c r="AA1157" s="98">
        <f t="shared" si="57"/>
        <v>1.3299999999999983</v>
      </c>
      <c r="AB1157" s="350">
        <f t="shared" si="58"/>
        <v>2</v>
      </c>
    </row>
    <row r="1158" spans="1:28" ht="22.15" customHeight="1" x14ac:dyDescent="0.25">
      <c r="A1158" s="21">
        <v>12</v>
      </c>
      <c r="B1158" s="276">
        <v>7027306999</v>
      </c>
      <c r="C1158" s="81">
        <v>24</v>
      </c>
      <c r="D1158" s="23" t="s">
        <v>2532</v>
      </c>
      <c r="H1158" s="346" t="s">
        <v>1190</v>
      </c>
      <c r="I1158" s="21">
        <v>23.494327999999999</v>
      </c>
      <c r="J1158" s="23" t="s">
        <v>1013</v>
      </c>
      <c r="K1158" s="21" t="s">
        <v>2533</v>
      </c>
      <c r="L1158" s="21" t="s">
        <v>1013</v>
      </c>
      <c r="M1158" s="21" t="s">
        <v>1192</v>
      </c>
      <c r="N1158" s="87">
        <v>23.494327999999999</v>
      </c>
      <c r="O1158" s="347">
        <v>23.494327999999999</v>
      </c>
      <c r="P1158" s="87" t="s">
        <v>2499</v>
      </c>
      <c r="R1158" s="84">
        <v>26.5</v>
      </c>
      <c r="Y1158" s="20">
        <f t="shared" si="59"/>
        <v>1</v>
      </c>
      <c r="AA1158" s="98">
        <f t="shared" si="57"/>
        <v>1.6500000000000004</v>
      </c>
      <c r="AB1158" s="350">
        <f t="shared" si="58"/>
        <v>1</v>
      </c>
    </row>
    <row r="1159" spans="1:28" ht="22.15" customHeight="1" x14ac:dyDescent="0.25">
      <c r="A1159" s="21">
        <v>12</v>
      </c>
      <c r="B1159" s="276">
        <v>8697926008511</v>
      </c>
      <c r="C1159" s="81">
        <v>24</v>
      </c>
      <c r="D1159" s="23" t="s">
        <v>2534</v>
      </c>
      <c r="H1159" s="346" t="s">
        <v>1190</v>
      </c>
      <c r="I1159" s="21">
        <v>23.494327999999999</v>
      </c>
      <c r="J1159" s="23" t="s">
        <v>1013</v>
      </c>
      <c r="K1159" s="21" t="s">
        <v>2535</v>
      </c>
      <c r="L1159" s="21" t="s">
        <v>1013</v>
      </c>
      <c r="M1159" s="21" t="s">
        <v>1192</v>
      </c>
      <c r="N1159" s="87">
        <v>23.494327999999999</v>
      </c>
      <c r="O1159" s="347">
        <v>23.494327999999999</v>
      </c>
      <c r="P1159" s="87" t="s">
        <v>2499</v>
      </c>
      <c r="R1159" s="84">
        <v>26.5</v>
      </c>
      <c r="Y1159" s="20">
        <f t="shared" si="59"/>
        <v>1</v>
      </c>
      <c r="AA1159" s="98">
        <f t="shared" si="57"/>
        <v>1.6500000000000004</v>
      </c>
      <c r="AB1159" s="350">
        <f t="shared" si="58"/>
        <v>1</v>
      </c>
    </row>
    <row r="1160" spans="1:28" ht="22.15" customHeight="1" x14ac:dyDescent="0.25">
      <c r="A1160" s="21">
        <v>12</v>
      </c>
      <c r="B1160" s="276">
        <v>8697755695753</v>
      </c>
      <c r="C1160" s="81">
        <v>48</v>
      </c>
      <c r="D1160" s="23" t="s">
        <v>2536</v>
      </c>
      <c r="H1160" s="346" t="s">
        <v>1190</v>
      </c>
      <c r="I1160" s="21">
        <v>23.494327999999999</v>
      </c>
      <c r="J1160" s="23" t="s">
        <v>1013</v>
      </c>
      <c r="K1160" s="21" t="s">
        <v>2537</v>
      </c>
      <c r="L1160" s="21" t="s">
        <v>1013</v>
      </c>
      <c r="M1160" s="21" t="s">
        <v>2502</v>
      </c>
      <c r="N1160" s="87">
        <v>23.494327999999999</v>
      </c>
      <c r="O1160" s="347">
        <v>23.494327999999999</v>
      </c>
      <c r="P1160" s="87" t="s">
        <v>2499</v>
      </c>
      <c r="R1160" s="84">
        <v>26.5</v>
      </c>
      <c r="Y1160" s="20">
        <f t="shared" si="59"/>
        <v>1</v>
      </c>
      <c r="AA1160" s="98">
        <f t="shared" si="57"/>
        <v>3.370000000000001</v>
      </c>
      <c r="AB1160" s="350">
        <f t="shared" si="58"/>
        <v>4.3999999999999986</v>
      </c>
    </row>
    <row r="1161" spans="1:28" ht="22.15" customHeight="1" x14ac:dyDescent="0.25">
      <c r="A1161" s="21">
        <v>12</v>
      </c>
      <c r="B1161" s="276">
        <v>8697755699584</v>
      </c>
      <c r="C1161" s="81">
        <v>24</v>
      </c>
      <c r="D1161" s="23" t="s">
        <v>2538</v>
      </c>
      <c r="H1161" s="346" t="s">
        <v>1190</v>
      </c>
      <c r="I1161" s="21">
        <v>23.494327999999999</v>
      </c>
      <c r="J1161" s="23" t="s">
        <v>1013</v>
      </c>
      <c r="K1161" s="21" t="s">
        <v>2539</v>
      </c>
      <c r="L1161" s="21" t="s">
        <v>1013</v>
      </c>
      <c r="M1161" s="21" t="s">
        <v>1192</v>
      </c>
      <c r="N1161" s="87">
        <v>23.494327999999999</v>
      </c>
      <c r="O1161" s="347">
        <v>23.494327999999999</v>
      </c>
      <c r="P1161" s="87" t="s">
        <v>2499</v>
      </c>
      <c r="R1161" s="84">
        <v>26.5</v>
      </c>
      <c r="Y1161" s="20">
        <f t="shared" si="59"/>
        <v>1</v>
      </c>
      <c r="AA1161" s="98">
        <f t="shared" si="57"/>
        <v>3.370000000000001</v>
      </c>
      <c r="AB1161" s="350">
        <f t="shared" si="58"/>
        <v>4.3999999999999986</v>
      </c>
    </row>
    <row r="1162" spans="1:28" ht="22.15" customHeight="1" x14ac:dyDescent="0.25">
      <c r="A1162" s="21">
        <v>12</v>
      </c>
      <c r="B1162" s="276">
        <v>8697755693803</v>
      </c>
      <c r="C1162" s="81">
        <v>24</v>
      </c>
      <c r="D1162" s="23" t="s">
        <v>2540</v>
      </c>
      <c r="H1162" s="346" t="s">
        <v>1190</v>
      </c>
      <c r="I1162" s="21">
        <v>23.498200000000001</v>
      </c>
      <c r="J1162" s="23" t="s">
        <v>1013</v>
      </c>
      <c r="K1162" s="21" t="s">
        <v>2541</v>
      </c>
      <c r="L1162" s="21" t="s">
        <v>1013</v>
      </c>
      <c r="M1162" s="21" t="s">
        <v>1192</v>
      </c>
      <c r="N1162" s="87">
        <v>23.498200000000001</v>
      </c>
      <c r="O1162" s="347">
        <v>23.498200000000001</v>
      </c>
      <c r="P1162" s="87" t="s">
        <v>2509</v>
      </c>
      <c r="R1162" s="84">
        <v>26.5</v>
      </c>
      <c r="Y1162" s="20">
        <f t="shared" si="59"/>
        <v>1</v>
      </c>
      <c r="AA1162" s="98">
        <f t="shared" si="57"/>
        <v>3.370000000000001</v>
      </c>
      <c r="AB1162" s="350">
        <f t="shared" si="58"/>
        <v>4.3999999999999986</v>
      </c>
    </row>
    <row r="1163" spans="1:28" ht="22.15" customHeight="1" x14ac:dyDescent="0.25">
      <c r="A1163" s="21">
        <v>12</v>
      </c>
      <c r="B1163" s="276">
        <v>8697755699393</v>
      </c>
      <c r="C1163" s="81">
        <v>24</v>
      </c>
      <c r="D1163" s="23" t="s">
        <v>2542</v>
      </c>
      <c r="H1163" s="346" t="s">
        <v>1190</v>
      </c>
      <c r="I1163" s="21">
        <v>23.498200000000001</v>
      </c>
      <c r="J1163" s="23" t="s">
        <v>1013</v>
      </c>
      <c r="K1163" s="21" t="s">
        <v>2543</v>
      </c>
      <c r="L1163" s="21" t="s">
        <v>1013</v>
      </c>
      <c r="M1163" s="21" t="s">
        <v>1192</v>
      </c>
      <c r="N1163" s="87">
        <v>23.498200000000001</v>
      </c>
      <c r="O1163" s="347">
        <v>23.498200000000001</v>
      </c>
      <c r="P1163" s="87" t="s">
        <v>2509</v>
      </c>
      <c r="R1163" s="84">
        <v>26.5</v>
      </c>
      <c r="Y1163" s="20">
        <f t="shared" si="59"/>
        <v>1</v>
      </c>
      <c r="AA1163" s="98">
        <f t="shared" si="57"/>
        <v>0.91000000000000014</v>
      </c>
      <c r="AB1163" s="350">
        <f t="shared" si="58"/>
        <v>4</v>
      </c>
    </row>
    <row r="1164" spans="1:28" ht="22.15" customHeight="1" x14ac:dyDescent="0.25">
      <c r="A1164" s="21">
        <v>12</v>
      </c>
      <c r="B1164" s="276">
        <v>7027309999</v>
      </c>
      <c r="C1164" s="81">
        <v>24</v>
      </c>
      <c r="D1164" s="23" t="s">
        <v>2544</v>
      </c>
      <c r="H1164" s="346" t="s">
        <v>1190</v>
      </c>
      <c r="I1164" s="21">
        <v>23.494327999999999</v>
      </c>
      <c r="J1164" s="23" t="s">
        <v>1013</v>
      </c>
      <c r="K1164" s="21" t="s">
        <v>2545</v>
      </c>
      <c r="L1164" s="21" t="s">
        <v>1013</v>
      </c>
      <c r="M1164" s="21" t="s">
        <v>1192</v>
      </c>
      <c r="N1164" s="87">
        <v>23.494327999999999</v>
      </c>
      <c r="O1164" s="347">
        <v>23.494327999999999</v>
      </c>
      <c r="P1164" s="87" t="s">
        <v>2499</v>
      </c>
      <c r="R1164" s="84">
        <v>26.5</v>
      </c>
      <c r="Y1164" s="20">
        <f t="shared" si="59"/>
        <v>1</v>
      </c>
      <c r="AA1164" s="98">
        <f t="shared" si="57"/>
        <v>0.91000000000000014</v>
      </c>
      <c r="AB1164" s="350">
        <f t="shared" si="58"/>
        <v>4</v>
      </c>
    </row>
    <row r="1165" spans="1:28" ht="22.15" customHeight="1" x14ac:dyDescent="0.25">
      <c r="A1165" s="21">
        <v>12</v>
      </c>
      <c r="B1165" s="276">
        <v>7027310999</v>
      </c>
      <c r="C1165" s="81">
        <v>24</v>
      </c>
      <c r="D1165" s="23" t="s">
        <v>2546</v>
      </c>
      <c r="H1165" s="346" t="s">
        <v>1190</v>
      </c>
      <c r="I1165" s="21">
        <v>23.494327999999999</v>
      </c>
      <c r="J1165" s="23" t="s">
        <v>1013</v>
      </c>
      <c r="K1165" s="21" t="s">
        <v>2547</v>
      </c>
      <c r="L1165" s="21" t="s">
        <v>1013</v>
      </c>
      <c r="M1165" s="21" t="s">
        <v>1192</v>
      </c>
      <c r="N1165" s="87">
        <v>23.494327999999999</v>
      </c>
      <c r="O1165" s="347">
        <v>23.494327999999999</v>
      </c>
      <c r="P1165" s="87" t="s">
        <v>2499</v>
      </c>
      <c r="R1165" s="84">
        <v>26.5</v>
      </c>
      <c r="Y1165" s="20">
        <f t="shared" si="59"/>
        <v>1</v>
      </c>
      <c r="AA1165" s="98">
        <f t="shared" si="57"/>
        <v>2.8700000000000045</v>
      </c>
      <c r="AB1165" s="350">
        <f t="shared" si="58"/>
        <v>12</v>
      </c>
    </row>
    <row r="1166" spans="1:28" ht="22.15" customHeight="1" x14ac:dyDescent="0.25">
      <c r="A1166" s="21">
        <v>12</v>
      </c>
      <c r="B1166" s="276">
        <v>8697755699577</v>
      </c>
      <c r="C1166" s="81">
        <v>24</v>
      </c>
      <c r="D1166" s="23" t="s">
        <v>2548</v>
      </c>
      <c r="H1166" s="346" t="s">
        <v>1190</v>
      </c>
      <c r="I1166" s="21">
        <v>23.494327999999999</v>
      </c>
      <c r="J1166" s="23" t="s">
        <v>1013</v>
      </c>
      <c r="K1166" s="21" t="s">
        <v>2549</v>
      </c>
      <c r="L1166" s="21" t="s">
        <v>1013</v>
      </c>
      <c r="M1166" s="21" t="s">
        <v>1192</v>
      </c>
      <c r="N1166" s="87">
        <v>23.494327999999999</v>
      </c>
      <c r="O1166" s="347">
        <v>23.494327999999999</v>
      </c>
      <c r="P1166" s="87" t="s">
        <v>2499</v>
      </c>
      <c r="R1166" s="84">
        <v>26.5</v>
      </c>
      <c r="Y1166" s="20">
        <f t="shared" si="59"/>
        <v>1</v>
      </c>
      <c r="AA1166" s="98">
        <f t="shared" si="57"/>
        <v>2.8700000000000045</v>
      </c>
      <c r="AB1166" s="350">
        <f t="shared" si="58"/>
        <v>12</v>
      </c>
    </row>
    <row r="1167" spans="1:28" ht="22.15" customHeight="1" x14ac:dyDescent="0.25">
      <c r="A1167" s="21">
        <v>12</v>
      </c>
      <c r="B1167" s="276">
        <v>8697755699416</v>
      </c>
      <c r="C1167" s="81">
        <v>24</v>
      </c>
      <c r="D1167" s="23" t="s">
        <v>2550</v>
      </c>
      <c r="H1167" s="346" t="s">
        <v>1190</v>
      </c>
      <c r="I1167" s="21">
        <v>23.494327999999999</v>
      </c>
      <c r="J1167" s="23" t="s">
        <v>1013</v>
      </c>
      <c r="K1167" s="21" t="s">
        <v>2551</v>
      </c>
      <c r="L1167" s="21" t="s">
        <v>1013</v>
      </c>
      <c r="M1167" s="21" t="s">
        <v>1192</v>
      </c>
      <c r="N1167" s="87">
        <v>23.494327999999999</v>
      </c>
      <c r="O1167" s="347">
        <v>23.494327999999999</v>
      </c>
      <c r="P1167" s="87" t="s">
        <v>2499</v>
      </c>
      <c r="R1167" s="84">
        <v>26.5</v>
      </c>
      <c r="Y1167" s="20">
        <f t="shared" ref="Y1167:Y1198" si="60">COUNTIF(K:K,K1067)</f>
        <v>1</v>
      </c>
      <c r="AA1167" s="98">
        <f t="shared" ref="AA1167:AA1198" si="61">H1067-I1067</f>
        <v>2.8700000000000045</v>
      </c>
      <c r="AB1167" s="350">
        <f t="shared" ref="AB1167:AB1198" si="62">R1067-H1067</f>
        <v>12</v>
      </c>
    </row>
    <row r="1168" spans="1:28" ht="22.15" customHeight="1" x14ac:dyDescent="0.25">
      <c r="A1168" s="21">
        <v>12</v>
      </c>
      <c r="B1168" s="276">
        <v>8697755698730</v>
      </c>
      <c r="C1168" s="81">
        <v>24</v>
      </c>
      <c r="D1168" s="23" t="s">
        <v>2552</v>
      </c>
      <c r="H1168" s="346" t="s">
        <v>1190</v>
      </c>
      <c r="I1168" s="21">
        <v>23.498200000000001</v>
      </c>
      <c r="J1168" s="23" t="s">
        <v>1013</v>
      </c>
      <c r="K1168" s="21" t="s">
        <v>2553</v>
      </c>
      <c r="L1168" s="21" t="s">
        <v>1013</v>
      </c>
      <c r="M1168" s="21" t="s">
        <v>1192</v>
      </c>
      <c r="N1168" s="87">
        <v>23.498200000000001</v>
      </c>
      <c r="O1168" s="347">
        <v>23.498200000000001</v>
      </c>
      <c r="P1168" s="87" t="s">
        <v>2509</v>
      </c>
      <c r="R1168" s="84">
        <v>26.5</v>
      </c>
      <c r="Y1168" s="20">
        <f t="shared" si="60"/>
        <v>1</v>
      </c>
      <c r="AA1168" s="98">
        <f t="shared" si="61"/>
        <v>2.8700000000000045</v>
      </c>
      <c r="AB1168" s="350">
        <f t="shared" si="62"/>
        <v>12</v>
      </c>
    </row>
    <row r="1169" spans="1:28" ht="22.15" customHeight="1" x14ac:dyDescent="0.25">
      <c r="A1169" s="21">
        <v>12</v>
      </c>
      <c r="B1169" s="276">
        <v>8697755699614</v>
      </c>
      <c r="C1169" s="81">
        <v>24</v>
      </c>
      <c r="D1169" s="23" t="s">
        <v>2554</v>
      </c>
      <c r="H1169" s="346" t="s">
        <v>1190</v>
      </c>
      <c r="I1169" s="21">
        <v>23.498200000000001</v>
      </c>
      <c r="J1169" s="23" t="s">
        <v>1013</v>
      </c>
      <c r="K1169" s="21" t="s">
        <v>2555</v>
      </c>
      <c r="L1169" s="21" t="s">
        <v>1013</v>
      </c>
      <c r="M1169" s="21" t="s">
        <v>1192</v>
      </c>
      <c r="N1169" s="87">
        <v>23.498200000000001</v>
      </c>
      <c r="O1169" s="347">
        <v>23.498200000000001</v>
      </c>
      <c r="P1169" s="87" t="s">
        <v>2509</v>
      </c>
      <c r="R1169" s="84">
        <v>26.5</v>
      </c>
      <c r="Y1169" s="20">
        <f t="shared" si="60"/>
        <v>1</v>
      </c>
      <c r="AA1169" s="98">
        <f t="shared" si="61"/>
        <v>1.6099999999999994</v>
      </c>
      <c r="AB1169" s="350">
        <f t="shared" si="62"/>
        <v>10</v>
      </c>
    </row>
    <row r="1170" spans="1:28" ht="22.15" customHeight="1" x14ac:dyDescent="0.25">
      <c r="A1170" s="21">
        <v>12</v>
      </c>
      <c r="B1170" s="276">
        <v>8697755698006</v>
      </c>
      <c r="C1170" s="81">
        <v>24</v>
      </c>
      <c r="D1170" s="23" t="s">
        <v>2556</v>
      </c>
      <c r="H1170" s="346" t="s">
        <v>1190</v>
      </c>
      <c r="I1170" s="21">
        <v>23.494327999999999</v>
      </c>
      <c r="J1170" s="23" t="s">
        <v>1013</v>
      </c>
      <c r="K1170" s="21" t="s">
        <v>2557</v>
      </c>
      <c r="L1170" s="21" t="s">
        <v>1013</v>
      </c>
      <c r="M1170" s="21" t="s">
        <v>1192</v>
      </c>
      <c r="N1170" s="87">
        <v>23.494327999999999</v>
      </c>
      <c r="O1170" s="347">
        <v>23.494327999999999</v>
      </c>
      <c r="P1170" s="87" t="s">
        <v>2499</v>
      </c>
      <c r="R1170" s="84">
        <v>26.5</v>
      </c>
      <c r="Y1170" s="20">
        <f t="shared" si="60"/>
        <v>1</v>
      </c>
      <c r="AA1170" s="98">
        <f t="shared" si="61"/>
        <v>0.85999999999999943</v>
      </c>
      <c r="AB1170" s="350">
        <f t="shared" si="62"/>
        <v>1.4000000000000004</v>
      </c>
    </row>
    <row r="1171" spans="1:28" ht="22.15" customHeight="1" x14ac:dyDescent="0.25">
      <c r="A1171" s="21">
        <v>12</v>
      </c>
      <c r="B1171" s="276">
        <v>8697755691069</v>
      </c>
      <c r="C1171" s="81">
        <v>24</v>
      </c>
      <c r="D1171" s="23" t="s">
        <v>2558</v>
      </c>
      <c r="H1171" s="346" t="s">
        <v>1190</v>
      </c>
      <c r="I1171" s="21">
        <v>23.494327999999999</v>
      </c>
      <c r="J1171" s="23" t="s">
        <v>1013</v>
      </c>
      <c r="K1171" s="21" t="s">
        <v>2559</v>
      </c>
      <c r="L1171" s="21" t="s">
        <v>1013</v>
      </c>
      <c r="M1171" s="21" t="s">
        <v>1192</v>
      </c>
      <c r="N1171" s="87">
        <v>23.494327999999999</v>
      </c>
      <c r="O1171" s="347">
        <v>23.494327999999999</v>
      </c>
      <c r="P1171" s="87" t="s">
        <v>2499</v>
      </c>
      <c r="R1171" s="84">
        <v>26.5</v>
      </c>
      <c r="Y1171" s="20">
        <f t="shared" si="60"/>
        <v>1</v>
      </c>
      <c r="AA1171" s="98">
        <f t="shared" si="61"/>
        <v>0.90000000000000036</v>
      </c>
      <c r="AB1171" s="350">
        <f t="shared" si="62"/>
        <v>1.4000000000000004</v>
      </c>
    </row>
    <row r="1172" spans="1:28" ht="22.15" customHeight="1" x14ac:dyDescent="0.25">
      <c r="A1172" s="21">
        <v>12</v>
      </c>
      <c r="B1172" s="276">
        <v>8697926008429</v>
      </c>
      <c r="C1172" s="81">
        <v>24</v>
      </c>
      <c r="D1172" s="23" t="s">
        <v>2560</v>
      </c>
      <c r="H1172" s="346" t="s">
        <v>1190</v>
      </c>
      <c r="I1172" s="21">
        <v>23.494327999999999</v>
      </c>
      <c r="J1172" s="23" t="s">
        <v>1013</v>
      </c>
      <c r="K1172" s="21" t="s">
        <v>2561</v>
      </c>
      <c r="L1172" s="21" t="s">
        <v>2562</v>
      </c>
      <c r="M1172" s="21" t="s">
        <v>1192</v>
      </c>
      <c r="N1172" s="87">
        <v>23.494327999999999</v>
      </c>
      <c r="O1172" s="347">
        <v>23.494327999999999</v>
      </c>
      <c r="P1172" s="87" t="s">
        <v>2499</v>
      </c>
      <c r="R1172" s="84">
        <v>26.5</v>
      </c>
      <c r="Y1172" s="20">
        <f t="shared" si="60"/>
        <v>1</v>
      </c>
      <c r="AA1172" s="98">
        <f t="shared" si="61"/>
        <v>0.91000000000000014</v>
      </c>
      <c r="AB1172" s="350">
        <f t="shared" si="62"/>
        <v>1.4000000000000004</v>
      </c>
    </row>
    <row r="1173" spans="1:28" ht="22.15" customHeight="1" x14ac:dyDescent="0.25">
      <c r="A1173" s="21">
        <v>12</v>
      </c>
      <c r="B1173" s="276">
        <v>8697755697993</v>
      </c>
      <c r="C1173" s="81">
        <v>24</v>
      </c>
      <c r="D1173" s="23" t="s">
        <v>2563</v>
      </c>
      <c r="H1173" s="346" t="s">
        <v>1190</v>
      </c>
      <c r="I1173" s="21">
        <v>23.494327999999999</v>
      </c>
      <c r="J1173" s="23" t="s">
        <v>1013</v>
      </c>
      <c r="K1173" s="21" t="s">
        <v>2564</v>
      </c>
      <c r="L1173" s="21" t="s">
        <v>1013</v>
      </c>
      <c r="M1173" s="21" t="s">
        <v>1192</v>
      </c>
      <c r="N1173" s="87">
        <v>23.494327999999999</v>
      </c>
      <c r="O1173" s="347">
        <v>23.494327999999999</v>
      </c>
      <c r="P1173" s="87" t="s">
        <v>2499</v>
      </c>
      <c r="R1173" s="84">
        <v>26.5</v>
      </c>
      <c r="Y1173" s="20">
        <f t="shared" si="60"/>
        <v>1</v>
      </c>
      <c r="AA1173" s="98">
        <f t="shared" si="61"/>
        <v>0.92999999999999972</v>
      </c>
      <c r="AB1173" s="350">
        <f t="shared" si="62"/>
        <v>3</v>
      </c>
    </row>
    <row r="1174" spans="1:28" ht="22.15" customHeight="1" x14ac:dyDescent="0.25">
      <c r="A1174" s="21">
        <v>12</v>
      </c>
      <c r="B1174" s="276">
        <v>8697926008474</v>
      </c>
      <c r="C1174" s="81">
        <v>24</v>
      </c>
      <c r="D1174" s="23" t="s">
        <v>2565</v>
      </c>
      <c r="H1174" s="346" t="s">
        <v>1190</v>
      </c>
      <c r="I1174" s="21">
        <v>23.494327999999999</v>
      </c>
      <c r="J1174" s="23" t="s">
        <v>1013</v>
      </c>
      <c r="K1174" s="21" t="s">
        <v>2566</v>
      </c>
      <c r="L1174" s="21" t="s">
        <v>1013</v>
      </c>
      <c r="M1174" s="21" t="s">
        <v>1192</v>
      </c>
      <c r="N1174" s="87">
        <v>23.494327999999999</v>
      </c>
      <c r="O1174" s="347">
        <v>23.494327999999999</v>
      </c>
      <c r="P1174" s="87" t="s">
        <v>2499</v>
      </c>
      <c r="R1174" s="84">
        <v>26.5</v>
      </c>
      <c r="Y1174" s="20">
        <f t="shared" si="60"/>
        <v>1</v>
      </c>
      <c r="AA1174" s="98">
        <f t="shared" si="61"/>
        <v>0.92999999999999972</v>
      </c>
      <c r="AB1174" s="350">
        <f t="shared" si="62"/>
        <v>3</v>
      </c>
    </row>
    <row r="1175" spans="1:28" ht="22.15" customHeight="1" x14ac:dyDescent="0.25">
      <c r="A1175" s="21">
        <v>12</v>
      </c>
      <c r="B1175" s="276">
        <v>8697926008498</v>
      </c>
      <c r="C1175" s="81">
        <v>24</v>
      </c>
      <c r="D1175" s="23" t="s">
        <v>2567</v>
      </c>
      <c r="H1175" s="346" t="s">
        <v>1190</v>
      </c>
      <c r="I1175" s="21">
        <v>23.494327999999999</v>
      </c>
      <c r="J1175" s="23" t="s">
        <v>1013</v>
      </c>
      <c r="K1175" s="21" t="s">
        <v>2568</v>
      </c>
      <c r="L1175" s="21" t="s">
        <v>1013</v>
      </c>
      <c r="M1175" s="21" t="s">
        <v>1192</v>
      </c>
      <c r="N1175" s="87">
        <v>23.494327999999999</v>
      </c>
      <c r="O1175" s="347">
        <v>23.494327999999999</v>
      </c>
      <c r="P1175" s="87" t="s">
        <v>2499</v>
      </c>
      <c r="R1175" s="84">
        <v>26.5</v>
      </c>
      <c r="Y1175" s="20">
        <f t="shared" si="60"/>
        <v>1</v>
      </c>
      <c r="AA1175" s="98">
        <f t="shared" si="61"/>
        <v>1.2299999999999969</v>
      </c>
      <c r="AB1175" s="350">
        <f t="shared" si="62"/>
        <v>5</v>
      </c>
    </row>
    <row r="1176" spans="1:28" ht="22.15" customHeight="1" x14ac:dyDescent="0.25">
      <c r="A1176" s="21">
        <v>12</v>
      </c>
      <c r="B1176" s="276">
        <v>8696630138347</v>
      </c>
      <c r="C1176" s="81">
        <v>24</v>
      </c>
      <c r="D1176" s="23" t="s">
        <v>2569</v>
      </c>
      <c r="H1176" s="346" t="s">
        <v>826</v>
      </c>
      <c r="I1176" s="21">
        <v>16.774471999999999</v>
      </c>
      <c r="J1176" s="23" t="s">
        <v>1013</v>
      </c>
      <c r="K1176" s="21" t="s">
        <v>2570</v>
      </c>
      <c r="L1176" s="21" t="s">
        <v>1013</v>
      </c>
      <c r="M1176" s="21" t="s">
        <v>1195</v>
      </c>
      <c r="N1176" s="87">
        <v>16.774471999999999</v>
      </c>
      <c r="O1176" s="347">
        <v>16.774471999999999</v>
      </c>
      <c r="P1176" s="87" t="s">
        <v>2499</v>
      </c>
      <c r="R1176" s="84">
        <v>18.899999999999999</v>
      </c>
      <c r="Y1176" s="20">
        <f t="shared" si="60"/>
        <v>1</v>
      </c>
      <c r="AA1176" s="98">
        <f t="shared" si="61"/>
        <v>2.25</v>
      </c>
      <c r="AB1176" s="350">
        <f t="shared" si="62"/>
        <v>7</v>
      </c>
    </row>
    <row r="1177" spans="1:28" ht="22.15" customHeight="1" x14ac:dyDescent="0.25">
      <c r="A1177" s="21">
        <v>12</v>
      </c>
      <c r="B1177" s="276">
        <v>8699444263342</v>
      </c>
      <c r="C1177" s="81">
        <v>24</v>
      </c>
      <c r="D1177" s="23" t="s">
        <v>2571</v>
      </c>
      <c r="H1177" s="346" t="s">
        <v>826</v>
      </c>
      <c r="I1177" s="21">
        <v>16.774471999999999</v>
      </c>
      <c r="J1177" s="23" t="s">
        <v>1013</v>
      </c>
      <c r="K1177" s="21" t="s">
        <v>2572</v>
      </c>
      <c r="L1177" s="21" t="s">
        <v>1013</v>
      </c>
      <c r="M1177" s="21" t="s">
        <v>1195</v>
      </c>
      <c r="N1177" s="87">
        <v>16.774471999999999</v>
      </c>
      <c r="O1177" s="347">
        <v>16.774471999999999</v>
      </c>
      <c r="P1177" s="87" t="s">
        <v>2499</v>
      </c>
      <c r="R1177" s="84">
        <v>18.899999999999999</v>
      </c>
      <c r="Y1177" s="20">
        <f t="shared" si="60"/>
        <v>1</v>
      </c>
      <c r="AA1177" s="98">
        <f t="shared" si="61"/>
        <v>1.8099999999999952</v>
      </c>
      <c r="AB1177" s="350">
        <f t="shared" si="62"/>
        <v>7</v>
      </c>
    </row>
    <row r="1178" spans="1:28" ht="22.15" customHeight="1" x14ac:dyDescent="0.25">
      <c r="A1178" s="21">
        <v>12</v>
      </c>
      <c r="B1178" s="276">
        <v>8696630138354</v>
      </c>
      <c r="C1178" s="81">
        <v>24</v>
      </c>
      <c r="D1178" s="23" t="s">
        <v>2573</v>
      </c>
      <c r="H1178" s="346" t="s">
        <v>826</v>
      </c>
      <c r="I1178" s="21">
        <v>16.774471999999999</v>
      </c>
      <c r="J1178" s="23" t="s">
        <v>1013</v>
      </c>
      <c r="K1178" s="21" t="s">
        <v>2574</v>
      </c>
      <c r="L1178" s="21" t="s">
        <v>1013</v>
      </c>
      <c r="M1178" s="21" t="s">
        <v>1195</v>
      </c>
      <c r="N1178" s="87">
        <v>16.774471999999999</v>
      </c>
      <c r="O1178" s="347">
        <v>16.774471999999999</v>
      </c>
      <c r="P1178" s="87" t="s">
        <v>2499</v>
      </c>
      <c r="R1178" s="84">
        <v>18.899999999999999</v>
      </c>
      <c r="Y1178" s="20">
        <f t="shared" si="60"/>
        <v>1</v>
      </c>
      <c r="AA1178" s="98">
        <f t="shared" si="61"/>
        <v>1.8099999999999952</v>
      </c>
      <c r="AB1178" s="350">
        <f t="shared" si="62"/>
        <v>7</v>
      </c>
    </row>
    <row r="1179" spans="1:28" ht="22.15" customHeight="1" x14ac:dyDescent="0.25">
      <c r="A1179" s="21">
        <v>12</v>
      </c>
      <c r="B1179" s="276">
        <v>8699444266640</v>
      </c>
      <c r="C1179" s="81">
        <v>24</v>
      </c>
      <c r="D1179" s="23" t="s">
        <v>2575</v>
      </c>
      <c r="H1179" s="346" t="s">
        <v>826</v>
      </c>
      <c r="I1179" s="21">
        <v>16.774471999999999</v>
      </c>
      <c r="J1179" s="23" t="s">
        <v>1013</v>
      </c>
      <c r="K1179" s="21" t="s">
        <v>2576</v>
      </c>
      <c r="L1179" s="21" t="s">
        <v>1013</v>
      </c>
      <c r="M1179" s="21" t="s">
        <v>1195</v>
      </c>
      <c r="N1179" s="87">
        <v>16.774471999999999</v>
      </c>
      <c r="O1179" s="347">
        <v>16.774471999999999</v>
      </c>
      <c r="P1179" s="87" t="s">
        <v>2499</v>
      </c>
      <c r="R1179" s="84">
        <v>18.899999999999999</v>
      </c>
      <c r="Y1179" s="20">
        <f t="shared" si="60"/>
        <v>1</v>
      </c>
      <c r="AA1179" s="98">
        <f t="shared" si="61"/>
        <v>1.259999999999998</v>
      </c>
      <c r="AB1179" s="350">
        <f t="shared" si="62"/>
        <v>5</v>
      </c>
    </row>
    <row r="1180" spans="1:28" ht="22.15" customHeight="1" x14ac:dyDescent="0.25">
      <c r="A1180" s="21">
        <v>12</v>
      </c>
      <c r="B1180" s="276">
        <v>8696630142290</v>
      </c>
      <c r="C1180" s="81">
        <v>24</v>
      </c>
      <c r="D1180" s="23" t="s">
        <v>2577</v>
      </c>
      <c r="H1180" s="346" t="s">
        <v>826</v>
      </c>
      <c r="I1180" s="21">
        <v>16.770600000000002</v>
      </c>
      <c r="J1180" s="23" t="s">
        <v>1013</v>
      </c>
      <c r="K1180" s="21" t="s">
        <v>2578</v>
      </c>
      <c r="L1180" s="21" t="s">
        <v>1013</v>
      </c>
      <c r="M1180" s="21" t="s">
        <v>2579</v>
      </c>
      <c r="N1180" s="87">
        <v>16.770600000000002</v>
      </c>
      <c r="O1180" s="347">
        <v>16.770600000000002</v>
      </c>
      <c r="P1180" s="87" t="s">
        <v>2509</v>
      </c>
      <c r="R1180" s="84">
        <v>18.899999999999999</v>
      </c>
      <c r="Y1180" s="20">
        <f t="shared" si="60"/>
        <v>1</v>
      </c>
      <c r="AA1180" s="98">
        <f t="shared" si="61"/>
        <v>1.259999999999998</v>
      </c>
      <c r="AB1180" s="350">
        <f t="shared" si="62"/>
        <v>5</v>
      </c>
    </row>
    <row r="1181" spans="1:28" ht="22.15" customHeight="1" x14ac:dyDescent="0.25">
      <c r="A1181" s="21">
        <v>12</v>
      </c>
      <c r="B1181" s="276">
        <v>8696630142306</v>
      </c>
      <c r="C1181" s="81">
        <v>24</v>
      </c>
      <c r="D1181" s="23" t="s">
        <v>2580</v>
      </c>
      <c r="H1181" s="346" t="s">
        <v>826</v>
      </c>
      <c r="I1181" s="21">
        <v>16.770600000000002</v>
      </c>
      <c r="J1181" s="23" t="s">
        <v>1013</v>
      </c>
      <c r="K1181" s="21" t="s">
        <v>2581</v>
      </c>
      <c r="L1181" s="21" t="s">
        <v>1013</v>
      </c>
      <c r="M1181" s="21" t="s">
        <v>2579</v>
      </c>
      <c r="N1181" s="87">
        <v>16.770600000000002</v>
      </c>
      <c r="O1181" s="347">
        <v>16.770600000000002</v>
      </c>
      <c r="P1181" s="87" t="s">
        <v>2509</v>
      </c>
      <c r="R1181" s="84">
        <v>18.899999999999999</v>
      </c>
      <c r="Y1181" s="20">
        <f t="shared" si="60"/>
        <v>1</v>
      </c>
      <c r="AA1181" s="98">
        <f t="shared" si="61"/>
        <v>1.259999999999998</v>
      </c>
      <c r="AB1181" s="350">
        <f t="shared" si="62"/>
        <v>5</v>
      </c>
    </row>
    <row r="1182" spans="1:28" ht="22.15" customHeight="1" x14ac:dyDescent="0.25">
      <c r="A1182" s="21">
        <v>12</v>
      </c>
      <c r="B1182" s="276">
        <v>8696630142313</v>
      </c>
      <c r="C1182" s="81">
        <v>24</v>
      </c>
      <c r="D1182" s="23" t="s">
        <v>2582</v>
      </c>
      <c r="H1182" s="346" t="s">
        <v>826</v>
      </c>
      <c r="I1182" s="21">
        <v>16.774471999999999</v>
      </c>
      <c r="J1182" s="23" t="s">
        <v>1013</v>
      </c>
      <c r="K1182" s="21" t="s">
        <v>2583</v>
      </c>
      <c r="L1182" s="21" t="s">
        <v>1013</v>
      </c>
      <c r="M1182" s="21" t="s">
        <v>1195</v>
      </c>
      <c r="N1182" s="87">
        <v>16.774471999999999</v>
      </c>
      <c r="O1182" s="347">
        <v>16.774471999999999</v>
      </c>
      <c r="P1182" s="87" t="s">
        <v>2499</v>
      </c>
      <c r="R1182" s="84">
        <v>18.899999999999999</v>
      </c>
      <c r="Y1182" s="20">
        <f t="shared" si="60"/>
        <v>1</v>
      </c>
      <c r="AA1182" s="98">
        <f t="shared" si="61"/>
        <v>1.259999999999998</v>
      </c>
      <c r="AB1182" s="350">
        <f t="shared" si="62"/>
        <v>5</v>
      </c>
    </row>
    <row r="1183" spans="1:28" ht="22.15" customHeight="1" x14ac:dyDescent="0.25">
      <c r="A1183" s="21">
        <v>12</v>
      </c>
      <c r="B1183" s="276">
        <v>8699444266633</v>
      </c>
      <c r="C1183" s="81">
        <v>24</v>
      </c>
      <c r="D1183" s="23" t="s">
        <v>2584</v>
      </c>
      <c r="H1183" s="346" t="s">
        <v>826</v>
      </c>
      <c r="I1183" s="21">
        <v>16.774471999999999</v>
      </c>
      <c r="J1183" s="23" t="s">
        <v>1013</v>
      </c>
      <c r="K1183" s="21" t="s">
        <v>2585</v>
      </c>
      <c r="L1183" s="21" t="s">
        <v>1013</v>
      </c>
      <c r="M1183" s="21" t="s">
        <v>1195</v>
      </c>
      <c r="N1183" s="87">
        <v>16.774471999999999</v>
      </c>
      <c r="O1183" s="347">
        <v>16.774471999999999</v>
      </c>
      <c r="P1183" s="87" t="s">
        <v>2499</v>
      </c>
      <c r="R1183" s="84">
        <v>18.899999999999999</v>
      </c>
      <c r="Y1183" s="20">
        <f t="shared" si="60"/>
        <v>1</v>
      </c>
      <c r="AA1183" s="98">
        <f t="shared" si="61"/>
        <v>4.5400000000000063</v>
      </c>
      <c r="AB1183" s="350">
        <f t="shared" si="62"/>
        <v>10</v>
      </c>
    </row>
    <row r="1184" spans="1:28" ht="22.15" customHeight="1" x14ac:dyDescent="0.25">
      <c r="A1184" s="21">
        <v>12</v>
      </c>
      <c r="B1184" s="276">
        <v>8699444266183</v>
      </c>
      <c r="C1184" s="81">
        <v>24</v>
      </c>
      <c r="D1184" s="23" t="s">
        <v>2586</v>
      </c>
      <c r="H1184" s="346" t="s">
        <v>826</v>
      </c>
      <c r="I1184" s="21">
        <v>16.774471999999999</v>
      </c>
      <c r="J1184" s="23" t="s">
        <v>1013</v>
      </c>
      <c r="K1184" s="21" t="s">
        <v>2587</v>
      </c>
      <c r="L1184" s="21" t="s">
        <v>1013</v>
      </c>
      <c r="M1184" s="21" t="s">
        <v>1195</v>
      </c>
      <c r="N1184" s="87">
        <v>16.774471999999999</v>
      </c>
      <c r="O1184" s="347">
        <v>16.774471999999999</v>
      </c>
      <c r="P1184" s="87" t="s">
        <v>2499</v>
      </c>
      <c r="R1184" s="84">
        <v>18.899999999999999</v>
      </c>
      <c r="Y1184" s="20">
        <f t="shared" si="60"/>
        <v>1</v>
      </c>
      <c r="AA1184" s="98">
        <f t="shared" si="61"/>
        <v>4.5400000000000063</v>
      </c>
      <c r="AB1184" s="350">
        <f t="shared" si="62"/>
        <v>10</v>
      </c>
    </row>
    <row r="1185" spans="1:28" ht="22.15" customHeight="1" x14ac:dyDescent="0.25">
      <c r="A1185" s="21">
        <v>12</v>
      </c>
      <c r="B1185" s="276">
        <v>8699444266664</v>
      </c>
      <c r="C1185" s="81">
        <v>24</v>
      </c>
      <c r="D1185" s="23" t="s">
        <v>2588</v>
      </c>
      <c r="H1185" s="346" t="s">
        <v>826</v>
      </c>
      <c r="I1185" s="21">
        <v>16.774471999999999</v>
      </c>
      <c r="J1185" s="23" t="s">
        <v>1013</v>
      </c>
      <c r="K1185" s="21" t="s">
        <v>2589</v>
      </c>
      <c r="L1185" s="21" t="s">
        <v>1013</v>
      </c>
      <c r="M1185" s="21" t="s">
        <v>1195</v>
      </c>
      <c r="N1185" s="87">
        <v>16.774471999999999</v>
      </c>
      <c r="O1185" s="347">
        <v>16.774471999999999</v>
      </c>
      <c r="P1185" s="87" t="s">
        <v>2499</v>
      </c>
      <c r="R1185" s="84">
        <v>18.899999999999999</v>
      </c>
      <c r="Y1185" s="20">
        <f t="shared" si="60"/>
        <v>1</v>
      </c>
      <c r="AA1185" s="98">
        <f t="shared" si="61"/>
        <v>4.5400000000000063</v>
      </c>
      <c r="AB1185" s="350">
        <f t="shared" si="62"/>
        <v>10</v>
      </c>
    </row>
    <row r="1186" spans="1:28" ht="22.15" customHeight="1" x14ac:dyDescent="0.25">
      <c r="A1186" s="21">
        <v>12</v>
      </c>
      <c r="B1186" s="276">
        <v>8696630138361</v>
      </c>
      <c r="C1186" s="81">
        <v>24</v>
      </c>
      <c r="D1186" s="23" t="s">
        <v>2590</v>
      </c>
      <c r="H1186" s="346" t="s">
        <v>826</v>
      </c>
      <c r="I1186" s="21">
        <v>16.774471999999999</v>
      </c>
      <c r="J1186" s="23" t="s">
        <v>1013</v>
      </c>
      <c r="K1186" s="21" t="s">
        <v>2591</v>
      </c>
      <c r="L1186" s="21" t="s">
        <v>1013</v>
      </c>
      <c r="M1186" s="21" t="s">
        <v>1195</v>
      </c>
      <c r="N1186" s="87">
        <v>16.774471999999999</v>
      </c>
      <c r="O1186" s="347">
        <v>16.774471999999999</v>
      </c>
      <c r="P1186" s="87" t="s">
        <v>2499</v>
      </c>
      <c r="R1186" s="84">
        <v>18.899999999999999</v>
      </c>
      <c r="Y1186" s="20">
        <f t="shared" si="60"/>
        <v>1</v>
      </c>
      <c r="AA1186" s="98">
        <f t="shared" si="61"/>
        <v>0.9599999999999973</v>
      </c>
      <c r="AB1186" s="350">
        <f t="shared" si="62"/>
        <v>3</v>
      </c>
    </row>
    <row r="1187" spans="1:28" ht="22.15" customHeight="1" x14ac:dyDescent="0.25">
      <c r="A1187" s="21">
        <v>12</v>
      </c>
      <c r="B1187" s="276">
        <v>8696630138378</v>
      </c>
      <c r="C1187" s="81">
        <v>24</v>
      </c>
      <c r="D1187" s="23" t="s">
        <v>2592</v>
      </c>
      <c r="H1187" s="346" t="s">
        <v>826</v>
      </c>
      <c r="I1187" s="21">
        <v>16.774471999999999</v>
      </c>
      <c r="J1187" s="23" t="s">
        <v>1013</v>
      </c>
      <c r="K1187" s="21" t="s">
        <v>2593</v>
      </c>
      <c r="L1187" s="21" t="s">
        <v>1013</v>
      </c>
      <c r="M1187" s="21" t="s">
        <v>1195</v>
      </c>
      <c r="N1187" s="87">
        <v>16.774471999999999</v>
      </c>
      <c r="O1187" s="347">
        <v>16.774471999999999</v>
      </c>
      <c r="P1187" s="87" t="s">
        <v>2499</v>
      </c>
      <c r="R1187" s="84">
        <v>18.899999999999999</v>
      </c>
      <c r="Y1187" s="20">
        <f t="shared" si="60"/>
        <v>1</v>
      </c>
      <c r="AA1187" s="98">
        <f t="shared" si="61"/>
        <v>1.4399999999999977</v>
      </c>
      <c r="AB1187" s="350">
        <f t="shared" si="62"/>
        <v>7</v>
      </c>
    </row>
    <row r="1188" spans="1:28" ht="22.15" customHeight="1" x14ac:dyDescent="0.25">
      <c r="A1188" s="21">
        <v>12</v>
      </c>
      <c r="B1188" s="276">
        <v>8696630138385</v>
      </c>
      <c r="C1188" s="81">
        <v>24</v>
      </c>
      <c r="D1188" s="23" t="s">
        <v>2594</v>
      </c>
      <c r="H1188" s="346" t="s">
        <v>826</v>
      </c>
      <c r="I1188" s="21">
        <v>16.774471999999999</v>
      </c>
      <c r="J1188" s="23" t="s">
        <v>1013</v>
      </c>
      <c r="K1188" s="21" t="s">
        <v>2595</v>
      </c>
      <c r="L1188" s="21" t="s">
        <v>1013</v>
      </c>
      <c r="M1188" s="21" t="s">
        <v>1195</v>
      </c>
      <c r="N1188" s="87">
        <v>16.774471999999999</v>
      </c>
      <c r="O1188" s="347">
        <v>16.774471999999999</v>
      </c>
      <c r="P1188" s="87" t="s">
        <v>2499</v>
      </c>
      <c r="R1188" s="84">
        <v>18.899999999999999</v>
      </c>
      <c r="Y1188" s="20">
        <f t="shared" si="60"/>
        <v>1</v>
      </c>
      <c r="AA1188" s="98">
        <f t="shared" si="61"/>
        <v>1.4399999999999977</v>
      </c>
      <c r="AB1188" s="350">
        <f t="shared" si="62"/>
        <v>7</v>
      </c>
    </row>
    <row r="1189" spans="1:28" ht="22.15" customHeight="1" x14ac:dyDescent="0.25">
      <c r="A1189" s="21">
        <v>12</v>
      </c>
      <c r="B1189" s="276">
        <v>8696630138392</v>
      </c>
      <c r="C1189" s="81">
        <v>24</v>
      </c>
      <c r="D1189" s="23" t="s">
        <v>2596</v>
      </c>
      <c r="H1189" s="346" t="s">
        <v>826</v>
      </c>
      <c r="I1189" s="21">
        <v>16.774471999999999</v>
      </c>
      <c r="J1189" s="23" t="s">
        <v>1013</v>
      </c>
      <c r="K1189" s="21" t="s">
        <v>2597</v>
      </c>
      <c r="L1189" s="21" t="s">
        <v>1013</v>
      </c>
      <c r="M1189" s="21" t="s">
        <v>2598</v>
      </c>
      <c r="N1189" s="87">
        <v>16.774471999999999</v>
      </c>
      <c r="O1189" s="347">
        <v>16.774471999999999</v>
      </c>
      <c r="P1189" s="87" t="s">
        <v>2499</v>
      </c>
      <c r="R1189" s="84">
        <v>18.899999999999999</v>
      </c>
      <c r="Y1189" s="20">
        <f t="shared" si="60"/>
        <v>1</v>
      </c>
      <c r="AA1189" s="98">
        <f t="shared" si="61"/>
        <v>11.319999999999993</v>
      </c>
      <c r="AB1189" s="350">
        <f t="shared" si="62"/>
        <v>26</v>
      </c>
    </row>
    <row r="1190" spans="1:28" ht="22.15" customHeight="1" x14ac:dyDescent="0.25">
      <c r="A1190" s="21">
        <v>12</v>
      </c>
      <c r="B1190" s="276">
        <v>8696630142320</v>
      </c>
      <c r="C1190" s="81">
        <v>24</v>
      </c>
      <c r="D1190" s="23" t="s">
        <v>2599</v>
      </c>
      <c r="H1190" s="346" t="s">
        <v>826</v>
      </c>
      <c r="I1190" s="21">
        <v>16.774471999999999</v>
      </c>
      <c r="J1190" s="23" t="s">
        <v>1013</v>
      </c>
      <c r="K1190" s="21" t="s">
        <v>2600</v>
      </c>
      <c r="L1190" s="21" t="s">
        <v>1013</v>
      </c>
      <c r="M1190" s="21" t="s">
        <v>1195</v>
      </c>
      <c r="N1190" s="87">
        <v>16.774471999999999</v>
      </c>
      <c r="O1190" s="347">
        <v>16.774471999999999</v>
      </c>
      <c r="P1190" s="87" t="s">
        <v>2499</v>
      </c>
      <c r="R1190" s="84">
        <v>18.899999999999999</v>
      </c>
      <c r="Y1190" s="20">
        <f t="shared" si="60"/>
        <v>1</v>
      </c>
      <c r="AA1190" s="98">
        <f t="shared" si="61"/>
        <v>2.9200000000000017</v>
      </c>
      <c r="AB1190" s="350">
        <f t="shared" si="62"/>
        <v>4</v>
      </c>
    </row>
    <row r="1191" spans="1:28" ht="22.15" customHeight="1" x14ac:dyDescent="0.25">
      <c r="A1191" s="21">
        <v>12</v>
      </c>
      <c r="B1191" s="276">
        <v>8699444266626</v>
      </c>
      <c r="C1191" s="81">
        <v>24</v>
      </c>
      <c r="D1191" s="23" t="s">
        <v>2601</v>
      </c>
      <c r="H1191" s="346" t="s">
        <v>826</v>
      </c>
      <c r="I1191" s="21">
        <v>16.774471999999999</v>
      </c>
      <c r="J1191" s="23" t="s">
        <v>1013</v>
      </c>
      <c r="K1191" s="21" t="s">
        <v>2602</v>
      </c>
      <c r="L1191" s="21" t="s">
        <v>1013</v>
      </c>
      <c r="M1191" s="21" t="s">
        <v>1195</v>
      </c>
      <c r="N1191" s="87">
        <v>16.774471999999999</v>
      </c>
      <c r="O1191" s="347">
        <v>16.774471999999999</v>
      </c>
      <c r="P1191" s="87" t="s">
        <v>2499</v>
      </c>
      <c r="R1191" s="84">
        <v>18.899999999999999</v>
      </c>
      <c r="Y1191" s="20">
        <f t="shared" si="60"/>
        <v>1</v>
      </c>
      <c r="AA1191" s="98">
        <f t="shared" si="61"/>
        <v>0.31999999999999984</v>
      </c>
      <c r="AB1191" s="350">
        <f t="shared" si="62"/>
        <v>0.20000000000000018</v>
      </c>
    </row>
    <row r="1192" spans="1:28" ht="22.15" customHeight="1" x14ac:dyDescent="0.25">
      <c r="A1192" s="21">
        <v>12</v>
      </c>
      <c r="B1192" s="276">
        <v>8696630142337</v>
      </c>
      <c r="C1192" s="81">
        <v>24</v>
      </c>
      <c r="D1192" s="23" t="s">
        <v>2603</v>
      </c>
      <c r="H1192" s="346" t="s">
        <v>826</v>
      </c>
      <c r="I1192" s="21">
        <v>16.774471999999999</v>
      </c>
      <c r="J1192" s="23" t="s">
        <v>1013</v>
      </c>
      <c r="K1192" s="21" t="s">
        <v>2604</v>
      </c>
      <c r="L1192" s="21" t="s">
        <v>1013</v>
      </c>
      <c r="M1192" s="21" t="s">
        <v>1195</v>
      </c>
      <c r="N1192" s="87">
        <v>16.774471999999999</v>
      </c>
      <c r="O1192" s="347">
        <v>16.774471999999999</v>
      </c>
      <c r="P1192" s="87" t="s">
        <v>2499</v>
      </c>
      <c r="R1192" s="84">
        <v>18.899999999999999</v>
      </c>
      <c r="Y1192" s="20">
        <f t="shared" si="60"/>
        <v>1</v>
      </c>
      <c r="AA1192" s="98">
        <f t="shared" si="61"/>
        <v>0.31999999999999984</v>
      </c>
      <c r="AB1192" s="350">
        <f t="shared" si="62"/>
        <v>0.20000000000000018</v>
      </c>
    </row>
    <row r="1193" spans="1:28" ht="22.15" customHeight="1" x14ac:dyDescent="0.25">
      <c r="A1193" s="21">
        <v>12</v>
      </c>
      <c r="B1193" s="276">
        <v>8699444266800</v>
      </c>
      <c r="C1193" s="81">
        <v>24</v>
      </c>
      <c r="D1193" s="23" t="s">
        <v>2605</v>
      </c>
      <c r="H1193" s="346" t="s">
        <v>826</v>
      </c>
      <c r="I1193" s="21">
        <v>16.770600000000002</v>
      </c>
      <c r="J1193" s="23" t="s">
        <v>1013</v>
      </c>
      <c r="K1193" s="21" t="s">
        <v>2606</v>
      </c>
      <c r="L1193" s="21" t="s">
        <v>1013</v>
      </c>
      <c r="M1193" s="21" t="s">
        <v>2579</v>
      </c>
      <c r="N1193" s="87">
        <v>16.770600000000002</v>
      </c>
      <c r="O1193" s="347">
        <v>16.770600000000002</v>
      </c>
      <c r="P1193" s="87" t="s">
        <v>2509</v>
      </c>
      <c r="R1193" s="84">
        <v>18.899999999999999</v>
      </c>
      <c r="Y1193" s="20">
        <f t="shared" si="60"/>
        <v>1</v>
      </c>
      <c r="AA1193" s="98">
        <f t="shared" si="61"/>
        <v>0.20999999999999996</v>
      </c>
      <c r="AB1193" s="350">
        <f t="shared" si="62"/>
        <v>0.39999999999999991</v>
      </c>
    </row>
    <row r="1194" spans="1:28" ht="22.15" customHeight="1" x14ac:dyDescent="0.25">
      <c r="A1194" s="21">
        <v>12</v>
      </c>
      <c r="B1194" s="276">
        <v>8696630138408</v>
      </c>
      <c r="C1194" s="81">
        <v>24</v>
      </c>
      <c r="D1194" s="23" t="s">
        <v>2607</v>
      </c>
      <c r="H1194" s="346" t="s">
        <v>826</v>
      </c>
      <c r="I1194" s="21">
        <v>16.774471999999999</v>
      </c>
      <c r="J1194" s="23" t="s">
        <v>1013</v>
      </c>
      <c r="K1194" s="21" t="s">
        <v>2608</v>
      </c>
      <c r="L1194" s="21" t="s">
        <v>1013</v>
      </c>
      <c r="M1194" s="21" t="s">
        <v>1195</v>
      </c>
      <c r="N1194" s="87">
        <v>16.774471999999999</v>
      </c>
      <c r="O1194" s="347">
        <v>16.774471999999999</v>
      </c>
      <c r="P1194" s="87" t="s">
        <v>2499</v>
      </c>
      <c r="R1194" s="84">
        <v>18.899999999999999</v>
      </c>
      <c r="Y1194" s="20">
        <f t="shared" si="60"/>
        <v>1</v>
      </c>
      <c r="AA1194" s="98">
        <f t="shared" si="61"/>
        <v>0.39999999999999947</v>
      </c>
      <c r="AB1194" s="350">
        <f t="shared" si="62"/>
        <v>0.70000000000000107</v>
      </c>
    </row>
    <row r="1195" spans="1:28" ht="22.15" customHeight="1" x14ac:dyDescent="0.25">
      <c r="A1195" s="21">
        <v>12</v>
      </c>
      <c r="B1195" s="276">
        <v>8696630142344</v>
      </c>
      <c r="C1195" s="81">
        <v>24</v>
      </c>
      <c r="D1195" s="23" t="s">
        <v>2609</v>
      </c>
      <c r="H1195" s="346" t="s">
        <v>826</v>
      </c>
      <c r="I1195" s="21">
        <v>16.774471999999999</v>
      </c>
      <c r="J1195" s="23" t="s">
        <v>1013</v>
      </c>
      <c r="K1195" s="21" t="s">
        <v>2610</v>
      </c>
      <c r="L1195" s="21" t="s">
        <v>1013</v>
      </c>
      <c r="M1195" s="21" t="s">
        <v>1195</v>
      </c>
      <c r="N1195" s="87">
        <v>16.774471999999999</v>
      </c>
      <c r="O1195" s="347">
        <v>16.774471999999999</v>
      </c>
      <c r="P1195" s="87" t="s">
        <v>2499</v>
      </c>
      <c r="R1195" s="84">
        <v>18.899999999999999</v>
      </c>
      <c r="Y1195" s="20">
        <f t="shared" si="60"/>
        <v>1</v>
      </c>
      <c r="AA1195" s="98">
        <f t="shared" si="61"/>
        <v>0.39999999999999947</v>
      </c>
      <c r="AB1195" s="350">
        <f t="shared" si="62"/>
        <v>0.70000000000000107</v>
      </c>
    </row>
    <row r="1196" spans="1:28" ht="22.15" customHeight="1" x14ac:dyDescent="0.25">
      <c r="A1196" s="21">
        <v>12</v>
      </c>
      <c r="B1196" s="276">
        <v>8699444266657</v>
      </c>
      <c r="C1196" s="81">
        <v>24</v>
      </c>
      <c r="D1196" s="23" t="s">
        <v>2611</v>
      </c>
      <c r="H1196" s="346" t="s">
        <v>826</v>
      </c>
      <c r="I1196" s="21">
        <v>16.774471999999999</v>
      </c>
      <c r="J1196" s="23" t="s">
        <v>1013</v>
      </c>
      <c r="K1196" s="21" t="s">
        <v>2612</v>
      </c>
      <c r="L1196" s="21" t="s">
        <v>1013</v>
      </c>
      <c r="M1196" s="21" t="s">
        <v>1195</v>
      </c>
      <c r="N1196" s="87">
        <v>16.774471999999999</v>
      </c>
      <c r="O1196" s="347">
        <v>16.774471999999999</v>
      </c>
      <c r="P1196" s="87" t="s">
        <v>2499</v>
      </c>
      <c r="R1196" s="84">
        <v>18.899999999999999</v>
      </c>
      <c r="Y1196" s="20">
        <f t="shared" si="60"/>
        <v>1</v>
      </c>
      <c r="AA1196" s="98">
        <f t="shared" si="61"/>
        <v>0.39999999999999947</v>
      </c>
      <c r="AB1196" s="350">
        <f t="shared" si="62"/>
        <v>0.70000000000000107</v>
      </c>
    </row>
    <row r="1197" spans="1:28" ht="22.15" customHeight="1" x14ac:dyDescent="0.25">
      <c r="A1197" s="21">
        <v>12</v>
      </c>
      <c r="B1197" s="276">
        <v>8696630138415</v>
      </c>
      <c r="C1197" s="81">
        <v>24</v>
      </c>
      <c r="D1197" s="23" t="s">
        <v>2613</v>
      </c>
      <c r="H1197" s="346" t="s">
        <v>826</v>
      </c>
      <c r="I1197" s="21">
        <v>16.774471999999999</v>
      </c>
      <c r="J1197" s="23" t="s">
        <v>1013</v>
      </c>
      <c r="K1197" s="21" t="s">
        <v>2614</v>
      </c>
      <c r="L1197" s="21" t="s">
        <v>1013</v>
      </c>
      <c r="M1197" s="21" t="s">
        <v>1195</v>
      </c>
      <c r="N1197" s="87">
        <v>16.774471999999999</v>
      </c>
      <c r="O1197" s="347">
        <v>16.774471999999999</v>
      </c>
      <c r="P1197" s="87" t="s">
        <v>2499</v>
      </c>
      <c r="R1197" s="84">
        <v>18.899999999999999</v>
      </c>
      <c r="Y1197" s="20">
        <f t="shared" si="60"/>
        <v>1</v>
      </c>
      <c r="AA1197" s="98">
        <f t="shared" si="61"/>
        <v>0.39999999999999947</v>
      </c>
      <c r="AB1197" s="350">
        <f t="shared" si="62"/>
        <v>0.70000000000000107</v>
      </c>
    </row>
    <row r="1198" spans="1:28" ht="22.15" customHeight="1" x14ac:dyDescent="0.25">
      <c r="A1198" s="21">
        <v>12</v>
      </c>
      <c r="B1198" s="276">
        <v>8696630142368</v>
      </c>
      <c r="C1198" s="81">
        <v>24</v>
      </c>
      <c r="D1198" s="23" t="s">
        <v>2615</v>
      </c>
      <c r="H1198" s="346" t="s">
        <v>826</v>
      </c>
      <c r="I1198" s="21">
        <v>16.774471999999999</v>
      </c>
      <c r="J1198" s="23" t="s">
        <v>1013</v>
      </c>
      <c r="K1198" s="21" t="s">
        <v>2616</v>
      </c>
      <c r="L1198" s="21" t="s">
        <v>1013</v>
      </c>
      <c r="M1198" s="21" t="s">
        <v>1195</v>
      </c>
      <c r="N1198" s="87">
        <v>16.774471999999999</v>
      </c>
      <c r="O1198" s="347">
        <v>16.774471999999999</v>
      </c>
      <c r="P1198" s="87" t="s">
        <v>2499</v>
      </c>
      <c r="R1198" s="84">
        <v>18.899999999999999</v>
      </c>
      <c r="Y1198" s="20">
        <f t="shared" si="60"/>
        <v>1</v>
      </c>
      <c r="AA1198" s="98">
        <f t="shared" si="61"/>
        <v>0.39999999999999947</v>
      </c>
      <c r="AB1198" s="350">
        <f t="shared" si="62"/>
        <v>0.70000000000000107</v>
      </c>
    </row>
    <row r="1199" spans="1:28" ht="22.15" customHeight="1" x14ac:dyDescent="0.25">
      <c r="A1199" s="21">
        <v>12</v>
      </c>
      <c r="B1199" s="276">
        <v>8699444266176</v>
      </c>
      <c r="C1199" s="81">
        <v>24</v>
      </c>
      <c r="D1199" s="23" t="s">
        <v>2617</v>
      </c>
      <c r="H1199" s="346" t="s">
        <v>826</v>
      </c>
      <c r="I1199" s="21">
        <v>16.774471999999999</v>
      </c>
      <c r="J1199" s="23" t="s">
        <v>1013</v>
      </c>
      <c r="K1199" s="21" t="s">
        <v>2618</v>
      </c>
      <c r="L1199" s="21" t="s">
        <v>1013</v>
      </c>
      <c r="M1199" s="21" t="s">
        <v>1195</v>
      </c>
      <c r="N1199" s="87">
        <v>16.774471999999999</v>
      </c>
      <c r="O1199" s="347">
        <v>16.774471999999999</v>
      </c>
      <c r="P1199" s="87" t="s">
        <v>2499</v>
      </c>
      <c r="R1199" s="84">
        <v>18.899999999999999</v>
      </c>
      <c r="Y1199" s="20">
        <f>COUNTIF(K:K,K1099)</f>
        <v>1</v>
      </c>
      <c r="AA1199" s="98">
        <f>H1099-I1099</f>
        <v>0.39999999999999947</v>
      </c>
      <c r="AB1199" s="350">
        <f>R1099-H1099</f>
        <v>0.70000000000000107</v>
      </c>
    </row>
    <row r="1200" spans="1:28" ht="22.15" customHeight="1" x14ac:dyDescent="0.25">
      <c r="A1200" s="21">
        <v>12</v>
      </c>
      <c r="B1200" s="276">
        <v>8696630142375</v>
      </c>
      <c r="C1200" s="81">
        <v>24</v>
      </c>
      <c r="D1200" s="23" t="s">
        <v>2619</v>
      </c>
      <c r="H1200" s="346" t="s">
        <v>826</v>
      </c>
      <c r="I1200" s="21">
        <v>16.774471999999999</v>
      </c>
      <c r="J1200" s="23" t="s">
        <v>1013</v>
      </c>
      <c r="K1200" s="21" t="s">
        <v>2620</v>
      </c>
      <c r="L1200" s="21" t="s">
        <v>1013</v>
      </c>
      <c r="M1200" s="21" t="s">
        <v>1195</v>
      </c>
      <c r="N1200" s="87">
        <v>16.774471999999999</v>
      </c>
      <c r="O1200" s="347">
        <v>16.774471999999999</v>
      </c>
      <c r="P1200" s="87" t="s">
        <v>2499</v>
      </c>
      <c r="R1200" s="84">
        <v>18.899999999999999</v>
      </c>
      <c r="Y1200" s="20">
        <f>COUNTIF(K:K,K1099)</f>
        <v>1</v>
      </c>
      <c r="AA1200" s="98">
        <f>H1099-I1099</f>
        <v>0.39999999999999947</v>
      </c>
      <c r="AB1200" s="350">
        <f>R1099-H1099</f>
        <v>0.70000000000000107</v>
      </c>
    </row>
    <row r="1201" spans="1:28" ht="22.15" customHeight="1" x14ac:dyDescent="0.25">
      <c r="A1201" s="21">
        <v>12</v>
      </c>
      <c r="B1201" s="276">
        <v>8696630138422</v>
      </c>
      <c r="C1201" s="81">
        <v>24</v>
      </c>
      <c r="D1201" s="23" t="s">
        <v>2621</v>
      </c>
      <c r="H1201" s="346" t="s">
        <v>826</v>
      </c>
      <c r="I1201" s="21">
        <v>16.774471999999999</v>
      </c>
      <c r="J1201" s="23" t="s">
        <v>1013</v>
      </c>
      <c r="K1201" s="21" t="s">
        <v>2622</v>
      </c>
      <c r="L1201" s="21" t="s">
        <v>1013</v>
      </c>
      <c r="M1201" s="21" t="s">
        <v>1195</v>
      </c>
      <c r="N1201" s="87">
        <v>16.774471999999999</v>
      </c>
      <c r="O1201" s="347">
        <v>16.774471999999999</v>
      </c>
      <c r="P1201" s="87" t="s">
        <v>2499</v>
      </c>
      <c r="R1201" s="84">
        <v>18.899999999999999</v>
      </c>
      <c r="Y1201" s="20">
        <f>COUNTIF(K:K,K1100)</f>
        <v>1</v>
      </c>
      <c r="AA1201" s="98">
        <f>H1100-I1100</f>
        <v>16.606000000000009</v>
      </c>
      <c r="AB1201" s="350" t="e">
        <f>R1100-H1100</f>
        <v>#VALUE!</v>
      </c>
    </row>
    <row r="1202" spans="1:28" ht="22.15" customHeight="1" x14ac:dyDescent="0.25">
      <c r="A1202" s="21">
        <v>12</v>
      </c>
      <c r="B1202" s="276">
        <v>8699444266817</v>
      </c>
      <c r="C1202" s="81">
        <v>24</v>
      </c>
      <c r="D1202" s="23" t="s">
        <v>2623</v>
      </c>
      <c r="H1202" s="346" t="s">
        <v>826</v>
      </c>
      <c r="I1202" s="21">
        <v>16.770600000000002</v>
      </c>
      <c r="J1202" s="23" t="s">
        <v>1013</v>
      </c>
      <c r="K1202" s="21" t="s">
        <v>2624</v>
      </c>
      <c r="L1202" s="21" t="s">
        <v>1013</v>
      </c>
      <c r="M1202" s="21" t="s">
        <v>2579</v>
      </c>
      <c r="N1202" s="87">
        <v>16.770600000000002</v>
      </c>
      <c r="O1202" s="347">
        <v>16.770600000000002</v>
      </c>
      <c r="P1202" s="87" t="s">
        <v>2509</v>
      </c>
      <c r="R1202" s="84">
        <v>18.899999999999999</v>
      </c>
      <c r="Y1202" s="20">
        <f>COUNTIF(K:K,K1101)</f>
        <v>1</v>
      </c>
      <c r="AA1202" s="98">
        <f>H1101-I1101</f>
        <v>16.606000000000009</v>
      </c>
      <c r="AB1202" s="350" t="e">
        <f>R1101-H1101</f>
        <v>#VALUE!</v>
      </c>
    </row>
    <row r="1203" spans="1:28" ht="22.15" customHeight="1" x14ac:dyDescent="0.25">
      <c r="H1203" s="346"/>
      <c r="O1203" s="347"/>
      <c r="Y1203" s="20">
        <f t="shared" ref="Y1203:Y1218" si="63">COUNTIF(K:K,K1103)</f>
        <v>1</v>
      </c>
      <c r="AA1203" s="98">
        <f t="shared" ref="AA1203:AA1218" si="64">H1103-I1103</f>
        <v>16.606000000000009</v>
      </c>
      <c r="AB1203" s="350" t="e">
        <f t="shared" ref="AB1203:AB1218" si="65">R1103-H1103</f>
        <v>#VALUE!</v>
      </c>
    </row>
    <row r="1204" spans="1:28" ht="22.15" customHeight="1" x14ac:dyDescent="0.25">
      <c r="H1204" s="346"/>
      <c r="O1204" s="347"/>
      <c r="Y1204" s="20">
        <f t="shared" si="63"/>
        <v>1</v>
      </c>
      <c r="AA1204" s="98">
        <f t="shared" si="64"/>
        <v>16.606000000000009</v>
      </c>
      <c r="AB1204" s="350" t="e">
        <f t="shared" si="65"/>
        <v>#VALUE!</v>
      </c>
    </row>
    <row r="1205" spans="1:28" ht="22.15" customHeight="1" x14ac:dyDescent="0.25">
      <c r="H1205" s="346"/>
      <c r="O1205" s="347"/>
      <c r="Y1205" s="20">
        <f t="shared" si="63"/>
        <v>1</v>
      </c>
      <c r="AA1205" s="98">
        <f t="shared" si="64"/>
        <v>16.606000000000009</v>
      </c>
      <c r="AB1205" s="350" t="e">
        <f t="shared" si="65"/>
        <v>#VALUE!</v>
      </c>
    </row>
    <row r="1206" spans="1:28" ht="22.15" customHeight="1" x14ac:dyDescent="0.25">
      <c r="H1206" s="346"/>
      <c r="O1206" s="347"/>
      <c r="Y1206" s="20">
        <f t="shared" si="63"/>
        <v>1</v>
      </c>
      <c r="AA1206" s="98">
        <f t="shared" si="64"/>
        <v>16.606000000000009</v>
      </c>
      <c r="AB1206" s="350" t="e">
        <f t="shared" si="65"/>
        <v>#VALUE!</v>
      </c>
    </row>
    <row r="1207" spans="1:28" ht="22.15" customHeight="1" x14ac:dyDescent="0.25">
      <c r="H1207" s="346"/>
      <c r="O1207" s="347"/>
      <c r="Y1207" s="20">
        <f t="shared" si="63"/>
        <v>1</v>
      </c>
      <c r="AA1207" s="98">
        <f t="shared" si="64"/>
        <v>16.606000000000009</v>
      </c>
      <c r="AB1207" s="350" t="e">
        <f t="shared" si="65"/>
        <v>#VALUE!</v>
      </c>
    </row>
    <row r="1208" spans="1:28" ht="22.15" customHeight="1" x14ac:dyDescent="0.25">
      <c r="H1208" s="346"/>
      <c r="O1208" s="347"/>
      <c r="Y1208" s="20">
        <f t="shared" si="63"/>
        <v>1</v>
      </c>
      <c r="AA1208" s="98">
        <f t="shared" si="64"/>
        <v>16.606000000000009</v>
      </c>
      <c r="AB1208" s="350" t="e">
        <f t="shared" si="65"/>
        <v>#VALUE!</v>
      </c>
    </row>
    <row r="1209" spans="1:28" ht="22.15" customHeight="1" x14ac:dyDescent="0.25">
      <c r="H1209" s="346"/>
      <c r="O1209" s="347"/>
      <c r="Y1209" s="20">
        <f t="shared" si="63"/>
        <v>1</v>
      </c>
      <c r="AA1209" s="98">
        <f t="shared" si="64"/>
        <v>16.606000000000009</v>
      </c>
      <c r="AB1209" s="350" t="e">
        <f t="shared" si="65"/>
        <v>#VALUE!</v>
      </c>
    </row>
    <row r="1210" spans="1:28" ht="22.15" customHeight="1" x14ac:dyDescent="0.25">
      <c r="H1210" s="346"/>
      <c r="O1210" s="347"/>
      <c r="Y1210" s="20">
        <f t="shared" si="63"/>
        <v>1</v>
      </c>
      <c r="AA1210" s="98">
        <f t="shared" si="64"/>
        <v>16.606000000000009</v>
      </c>
      <c r="AB1210" s="350" t="e">
        <f t="shared" si="65"/>
        <v>#VALUE!</v>
      </c>
    </row>
    <row r="1211" spans="1:28" ht="22.15" customHeight="1" x14ac:dyDescent="0.25">
      <c r="H1211" s="346"/>
      <c r="O1211" s="347"/>
      <c r="Y1211" s="20">
        <f t="shared" si="63"/>
        <v>1</v>
      </c>
      <c r="AA1211" s="98">
        <f t="shared" si="64"/>
        <v>1.7409999999999997</v>
      </c>
      <c r="AB1211" s="350" t="e">
        <f t="shared" si="65"/>
        <v>#VALUE!</v>
      </c>
    </row>
    <row r="1212" spans="1:28" ht="22.15" customHeight="1" x14ac:dyDescent="0.25">
      <c r="H1212" s="346"/>
      <c r="O1212" s="347"/>
      <c r="Y1212" s="20">
        <f t="shared" si="63"/>
        <v>1</v>
      </c>
      <c r="AA1212" s="98">
        <f t="shared" si="64"/>
        <v>1.7209999999999965</v>
      </c>
      <c r="AB1212" s="350" t="e">
        <f t="shared" si="65"/>
        <v>#VALUE!</v>
      </c>
    </row>
    <row r="1213" spans="1:28" ht="22.15" customHeight="1" x14ac:dyDescent="0.25">
      <c r="H1213" s="346"/>
      <c r="O1213" s="347"/>
      <c r="Y1213" s="20">
        <f t="shared" si="63"/>
        <v>1</v>
      </c>
      <c r="AA1213" s="98">
        <f t="shared" si="64"/>
        <v>4.0799999999999983</v>
      </c>
      <c r="AB1213" s="350" t="e">
        <f t="shared" si="65"/>
        <v>#VALUE!</v>
      </c>
    </row>
    <row r="1214" spans="1:28" ht="22.15" customHeight="1" x14ac:dyDescent="0.25">
      <c r="H1214" s="346"/>
      <c r="O1214" s="347"/>
      <c r="Y1214" s="20">
        <f t="shared" si="63"/>
        <v>1</v>
      </c>
      <c r="AA1214" s="98">
        <f t="shared" si="64"/>
        <v>4.0799999999999983</v>
      </c>
      <c r="AB1214" s="350" t="e">
        <f t="shared" si="65"/>
        <v>#VALUE!</v>
      </c>
    </row>
    <row r="1215" spans="1:28" ht="22.15" customHeight="1" x14ac:dyDescent="0.25">
      <c r="H1215" s="346"/>
      <c r="O1215" s="347"/>
      <c r="Y1215" s="20">
        <f t="shared" si="63"/>
        <v>1</v>
      </c>
      <c r="AA1215" s="98">
        <f t="shared" si="64"/>
        <v>4.0799999999999983</v>
      </c>
      <c r="AB1215" s="350" t="e">
        <f t="shared" si="65"/>
        <v>#VALUE!</v>
      </c>
    </row>
    <row r="1216" spans="1:28" ht="22.15" customHeight="1" x14ac:dyDescent="0.25">
      <c r="H1216" s="346"/>
      <c r="O1216" s="347"/>
      <c r="Y1216" s="20">
        <f t="shared" si="63"/>
        <v>1</v>
      </c>
      <c r="AA1216" s="98">
        <f t="shared" si="64"/>
        <v>4.2494000000000014</v>
      </c>
      <c r="AB1216" s="350" t="e">
        <f t="shared" si="65"/>
        <v>#VALUE!</v>
      </c>
    </row>
    <row r="1217" spans="8:28" ht="22.15" customHeight="1" x14ac:dyDescent="0.25">
      <c r="H1217" s="346"/>
      <c r="O1217" s="347"/>
      <c r="Y1217" s="20">
        <f t="shared" si="63"/>
        <v>1</v>
      </c>
      <c r="AA1217" s="98">
        <f t="shared" si="64"/>
        <v>4.2494000000000014</v>
      </c>
      <c r="AB1217" s="350" t="e">
        <f t="shared" si="65"/>
        <v>#VALUE!</v>
      </c>
    </row>
    <row r="1218" spans="8:28" ht="22.15" customHeight="1" x14ac:dyDescent="0.25">
      <c r="H1218" s="346"/>
      <c r="O1218" s="347"/>
      <c r="Y1218" s="20">
        <f t="shared" si="63"/>
        <v>1</v>
      </c>
      <c r="AA1218" s="98">
        <f t="shared" si="64"/>
        <v>4.2494000000000014</v>
      </c>
      <c r="AB1218" s="350" t="e">
        <f t="shared" si="65"/>
        <v>#VALUE!</v>
      </c>
    </row>
    <row r="1219" spans="8:28" ht="22.15" customHeight="1" x14ac:dyDescent="0.25">
      <c r="H1219" s="346"/>
      <c r="O1219" s="347"/>
      <c r="Y1219" s="20">
        <f t="shared" ref="Y1219:Y1228" si="66">COUNTIF(K:K,K1109)</f>
        <v>1</v>
      </c>
      <c r="AA1219" s="98">
        <f t="shared" ref="AA1219:AA1228" si="67">H1109-I1109</f>
        <v>16.606000000000009</v>
      </c>
      <c r="AB1219" s="350" t="e">
        <f t="shared" ref="AB1219:AB1228" si="68">R1109-H1109</f>
        <v>#VALUE!</v>
      </c>
    </row>
    <row r="1220" spans="8:28" ht="22.15" customHeight="1" x14ac:dyDescent="0.25">
      <c r="H1220" s="346"/>
      <c r="O1220" s="347"/>
      <c r="Y1220" s="20">
        <f t="shared" si="66"/>
        <v>1</v>
      </c>
      <c r="AA1220" s="98">
        <f t="shared" si="67"/>
        <v>16.606000000000009</v>
      </c>
      <c r="AB1220" s="350" t="e">
        <f t="shared" si="68"/>
        <v>#VALUE!</v>
      </c>
    </row>
    <row r="1221" spans="8:28" ht="22.15" customHeight="1" x14ac:dyDescent="0.25">
      <c r="H1221" s="346"/>
      <c r="O1221" s="347"/>
      <c r="Y1221" s="20">
        <f t="shared" si="66"/>
        <v>1</v>
      </c>
      <c r="AA1221" s="98">
        <f t="shared" si="67"/>
        <v>1.7409999999999997</v>
      </c>
      <c r="AB1221" s="350" t="e">
        <f t="shared" si="68"/>
        <v>#VALUE!</v>
      </c>
    </row>
    <row r="1222" spans="8:28" ht="22.15" customHeight="1" x14ac:dyDescent="0.25">
      <c r="H1222" s="346"/>
      <c r="O1222" s="347"/>
      <c r="Y1222" s="20">
        <f t="shared" si="66"/>
        <v>1</v>
      </c>
      <c r="AA1222" s="98">
        <f t="shared" si="67"/>
        <v>1.7209999999999965</v>
      </c>
      <c r="AB1222" s="350" t="e">
        <f t="shared" si="68"/>
        <v>#VALUE!</v>
      </c>
    </row>
    <row r="1223" spans="8:28" ht="22.15" customHeight="1" x14ac:dyDescent="0.25">
      <c r="H1223" s="346"/>
      <c r="O1223" s="347"/>
      <c r="Y1223" s="20">
        <f t="shared" si="66"/>
        <v>1</v>
      </c>
      <c r="AA1223" s="98">
        <f t="shared" si="67"/>
        <v>4.0799999999999983</v>
      </c>
      <c r="AB1223" s="350" t="e">
        <f t="shared" si="68"/>
        <v>#VALUE!</v>
      </c>
    </row>
    <row r="1224" spans="8:28" ht="22.15" customHeight="1" x14ac:dyDescent="0.25">
      <c r="H1224" s="346"/>
      <c r="O1224" s="347"/>
      <c r="Y1224" s="20">
        <f t="shared" si="66"/>
        <v>1</v>
      </c>
      <c r="AA1224" s="98">
        <f t="shared" si="67"/>
        <v>4.0799999999999983</v>
      </c>
      <c r="AB1224" s="350" t="e">
        <f t="shared" si="68"/>
        <v>#VALUE!</v>
      </c>
    </row>
    <row r="1225" spans="8:28" ht="22.15" customHeight="1" x14ac:dyDescent="0.25">
      <c r="H1225" s="346"/>
      <c r="O1225" s="347"/>
      <c r="Y1225" s="20">
        <f t="shared" si="66"/>
        <v>1</v>
      </c>
      <c r="AA1225" s="98">
        <f t="shared" si="67"/>
        <v>4.0799999999999983</v>
      </c>
      <c r="AB1225" s="350" t="e">
        <f t="shared" si="68"/>
        <v>#VALUE!</v>
      </c>
    </row>
    <row r="1226" spans="8:28" ht="22.15" customHeight="1" x14ac:dyDescent="0.25">
      <c r="H1226" s="346"/>
      <c r="O1226" s="347"/>
      <c r="Y1226" s="20">
        <f t="shared" si="66"/>
        <v>1</v>
      </c>
      <c r="AA1226" s="98">
        <f t="shared" si="67"/>
        <v>4.2494000000000014</v>
      </c>
      <c r="AB1226" s="350" t="e">
        <f t="shared" si="68"/>
        <v>#VALUE!</v>
      </c>
    </row>
    <row r="1227" spans="8:28" ht="22.15" customHeight="1" x14ac:dyDescent="0.25">
      <c r="H1227" s="346"/>
      <c r="O1227" s="347"/>
      <c r="Y1227" s="20">
        <f t="shared" si="66"/>
        <v>1</v>
      </c>
      <c r="AA1227" s="98">
        <f t="shared" si="67"/>
        <v>4.2494000000000014</v>
      </c>
      <c r="AB1227" s="350" t="e">
        <f t="shared" si="68"/>
        <v>#VALUE!</v>
      </c>
    </row>
    <row r="1228" spans="8:28" ht="22.15" customHeight="1" x14ac:dyDescent="0.25">
      <c r="H1228" s="346"/>
      <c r="O1228" s="347"/>
      <c r="Y1228" s="20">
        <f t="shared" si="66"/>
        <v>1</v>
      </c>
      <c r="AA1228" s="98">
        <f t="shared" si="67"/>
        <v>4.2494000000000014</v>
      </c>
      <c r="AB1228" s="350" t="e">
        <f t="shared" si="68"/>
        <v>#VALUE!</v>
      </c>
    </row>
    <row r="1229" spans="8:28" ht="22.15" customHeight="1" x14ac:dyDescent="0.25">
      <c r="H1229" s="346"/>
      <c r="O1229" s="347"/>
      <c r="Y1229" s="20">
        <f t="shared" ref="Y1229:Y1260" si="69">COUNTIF(K:K,K1129)</f>
        <v>1</v>
      </c>
      <c r="AA1229" s="98" t="e">
        <f t="shared" ref="AA1229:AA1292" si="70">H1129-I1129</f>
        <v>#VALUE!</v>
      </c>
      <c r="AB1229" s="350" t="e">
        <f t="shared" ref="AB1229:AB1292" si="71">R1129-H1129</f>
        <v>#VALUE!</v>
      </c>
    </row>
    <row r="1230" spans="8:28" ht="22.15" customHeight="1" x14ac:dyDescent="0.25">
      <c r="H1230" s="346"/>
      <c r="O1230" s="347"/>
      <c r="Y1230" s="20">
        <f t="shared" si="69"/>
        <v>1</v>
      </c>
      <c r="AA1230" s="98" t="e">
        <f t="shared" si="70"/>
        <v>#VALUE!</v>
      </c>
      <c r="AB1230" s="350" t="e">
        <f t="shared" si="71"/>
        <v>#VALUE!</v>
      </c>
    </row>
    <row r="1231" spans="8:28" ht="22.15" customHeight="1" x14ac:dyDescent="0.25">
      <c r="H1231" s="346"/>
      <c r="O1231" s="347"/>
      <c r="Y1231" s="20">
        <f t="shared" si="69"/>
        <v>1</v>
      </c>
      <c r="AA1231" s="98" t="e">
        <f t="shared" si="70"/>
        <v>#VALUE!</v>
      </c>
      <c r="AB1231" s="350" t="e">
        <f t="shared" si="71"/>
        <v>#VALUE!</v>
      </c>
    </row>
    <row r="1232" spans="8:28" ht="22.15" customHeight="1" x14ac:dyDescent="0.25">
      <c r="H1232" s="346"/>
      <c r="O1232" s="347"/>
      <c r="Y1232" s="20">
        <f t="shared" si="69"/>
        <v>1</v>
      </c>
      <c r="AA1232" s="98" t="e">
        <f t="shared" si="70"/>
        <v>#VALUE!</v>
      </c>
      <c r="AB1232" s="350" t="e">
        <f t="shared" si="71"/>
        <v>#VALUE!</v>
      </c>
    </row>
    <row r="1233" spans="8:28" ht="22.15" customHeight="1" x14ac:dyDescent="0.25">
      <c r="H1233" s="346"/>
      <c r="O1233" s="347"/>
      <c r="Y1233" s="20">
        <f t="shared" si="69"/>
        <v>1</v>
      </c>
      <c r="AA1233" s="98" t="e">
        <f t="shared" si="70"/>
        <v>#VALUE!</v>
      </c>
      <c r="AB1233" s="350" t="e">
        <f t="shared" si="71"/>
        <v>#VALUE!</v>
      </c>
    </row>
    <row r="1234" spans="8:28" ht="22.15" customHeight="1" x14ac:dyDescent="0.25">
      <c r="H1234" s="346"/>
      <c r="O1234" s="347"/>
      <c r="Y1234" s="20">
        <f t="shared" si="69"/>
        <v>1</v>
      </c>
      <c r="AA1234" s="98" t="e">
        <f t="shared" si="70"/>
        <v>#VALUE!</v>
      </c>
      <c r="AB1234" s="350" t="e">
        <f t="shared" si="71"/>
        <v>#VALUE!</v>
      </c>
    </row>
    <row r="1235" spans="8:28" ht="22.15" customHeight="1" x14ac:dyDescent="0.25">
      <c r="H1235" s="346"/>
      <c r="O1235" s="347"/>
      <c r="Y1235" s="20">
        <f t="shared" si="69"/>
        <v>1</v>
      </c>
      <c r="AA1235" s="98" t="e">
        <f t="shared" si="70"/>
        <v>#VALUE!</v>
      </c>
      <c r="AB1235" s="350" t="e">
        <f t="shared" si="71"/>
        <v>#VALUE!</v>
      </c>
    </row>
    <row r="1236" spans="8:28" ht="22.15" customHeight="1" x14ac:dyDescent="0.25">
      <c r="H1236" s="346"/>
      <c r="O1236" s="347"/>
      <c r="Y1236" s="20">
        <f t="shared" si="69"/>
        <v>1</v>
      </c>
      <c r="AA1236" s="98" t="e">
        <f t="shared" si="70"/>
        <v>#VALUE!</v>
      </c>
      <c r="AB1236" s="350" t="e">
        <f t="shared" si="71"/>
        <v>#VALUE!</v>
      </c>
    </row>
    <row r="1237" spans="8:28" ht="22.15" customHeight="1" x14ac:dyDescent="0.25">
      <c r="H1237" s="346"/>
      <c r="O1237" s="347"/>
      <c r="Y1237" s="20">
        <f t="shared" si="69"/>
        <v>1</v>
      </c>
      <c r="AA1237" s="98" t="e">
        <f t="shared" si="70"/>
        <v>#VALUE!</v>
      </c>
      <c r="AB1237" s="350" t="e">
        <f t="shared" si="71"/>
        <v>#VALUE!</v>
      </c>
    </row>
    <row r="1238" spans="8:28" ht="22.15" customHeight="1" x14ac:dyDescent="0.25">
      <c r="H1238" s="346"/>
      <c r="O1238" s="347"/>
      <c r="Y1238" s="20">
        <f t="shared" si="69"/>
        <v>1</v>
      </c>
      <c r="AA1238" s="98" t="e">
        <f t="shared" si="70"/>
        <v>#VALUE!</v>
      </c>
      <c r="AB1238" s="350" t="e">
        <f t="shared" si="71"/>
        <v>#VALUE!</v>
      </c>
    </row>
    <row r="1239" spans="8:28" ht="22.15" customHeight="1" x14ac:dyDescent="0.25">
      <c r="H1239" s="346"/>
      <c r="O1239" s="347"/>
      <c r="Y1239" s="20">
        <f t="shared" si="69"/>
        <v>1</v>
      </c>
      <c r="AA1239" s="98" t="e">
        <f t="shared" si="70"/>
        <v>#VALUE!</v>
      </c>
      <c r="AB1239" s="350" t="e">
        <f t="shared" si="71"/>
        <v>#VALUE!</v>
      </c>
    </row>
    <row r="1240" spans="8:28" ht="22.15" customHeight="1" x14ac:dyDescent="0.25">
      <c r="H1240" s="346"/>
      <c r="O1240" s="347"/>
      <c r="Y1240" s="20">
        <f t="shared" si="69"/>
        <v>1</v>
      </c>
      <c r="AA1240" s="98" t="e">
        <f t="shared" si="70"/>
        <v>#VALUE!</v>
      </c>
      <c r="AB1240" s="350" t="e">
        <f t="shared" si="71"/>
        <v>#VALUE!</v>
      </c>
    </row>
    <row r="1241" spans="8:28" ht="22.15" customHeight="1" x14ac:dyDescent="0.25">
      <c r="H1241" s="346"/>
      <c r="O1241" s="347"/>
      <c r="Y1241" s="20">
        <f t="shared" si="69"/>
        <v>1</v>
      </c>
      <c r="AA1241" s="98" t="e">
        <f t="shared" si="70"/>
        <v>#VALUE!</v>
      </c>
      <c r="AB1241" s="350" t="e">
        <f t="shared" si="71"/>
        <v>#VALUE!</v>
      </c>
    </row>
    <row r="1242" spans="8:28" ht="22.15" customHeight="1" x14ac:dyDescent="0.25">
      <c r="H1242" s="346"/>
      <c r="O1242" s="347"/>
      <c r="Y1242" s="20">
        <f t="shared" si="69"/>
        <v>1</v>
      </c>
      <c r="AA1242" s="98" t="e">
        <f t="shared" si="70"/>
        <v>#VALUE!</v>
      </c>
      <c r="AB1242" s="350" t="e">
        <f t="shared" si="71"/>
        <v>#VALUE!</v>
      </c>
    </row>
    <row r="1243" spans="8:28" ht="22.15" customHeight="1" x14ac:dyDescent="0.25">
      <c r="H1243" s="346"/>
      <c r="O1243" s="347"/>
      <c r="Y1243" s="20">
        <f t="shared" si="69"/>
        <v>1</v>
      </c>
      <c r="AA1243" s="98" t="e">
        <f t="shared" si="70"/>
        <v>#VALUE!</v>
      </c>
      <c r="AB1243" s="350" t="e">
        <f t="shared" si="71"/>
        <v>#VALUE!</v>
      </c>
    </row>
    <row r="1244" spans="8:28" ht="22.15" customHeight="1" x14ac:dyDescent="0.25">
      <c r="H1244" s="346"/>
      <c r="O1244" s="347"/>
      <c r="Y1244" s="20">
        <f t="shared" si="69"/>
        <v>1</v>
      </c>
      <c r="AA1244" s="98" t="e">
        <f t="shared" si="70"/>
        <v>#VALUE!</v>
      </c>
      <c r="AB1244" s="350" t="e">
        <f t="shared" si="71"/>
        <v>#VALUE!</v>
      </c>
    </row>
    <row r="1245" spans="8:28" ht="22.15" customHeight="1" x14ac:dyDescent="0.25">
      <c r="H1245" s="346"/>
      <c r="O1245" s="347"/>
      <c r="Y1245" s="20">
        <f t="shared" si="69"/>
        <v>1</v>
      </c>
      <c r="AA1245" s="98" t="e">
        <f t="shared" si="70"/>
        <v>#VALUE!</v>
      </c>
      <c r="AB1245" s="350" t="e">
        <f t="shared" si="71"/>
        <v>#VALUE!</v>
      </c>
    </row>
    <row r="1246" spans="8:28" ht="22.15" customHeight="1" x14ac:dyDescent="0.25">
      <c r="H1246" s="346"/>
      <c r="O1246" s="347"/>
      <c r="Y1246" s="20">
        <f t="shared" si="69"/>
        <v>1</v>
      </c>
      <c r="AA1246" s="98" t="e">
        <f t="shared" si="70"/>
        <v>#VALUE!</v>
      </c>
      <c r="AB1246" s="350" t="e">
        <f t="shared" si="71"/>
        <v>#VALUE!</v>
      </c>
    </row>
    <row r="1247" spans="8:28" ht="22.15" customHeight="1" x14ac:dyDescent="0.25">
      <c r="H1247" s="346"/>
      <c r="O1247" s="347"/>
      <c r="Y1247" s="20">
        <f t="shared" si="69"/>
        <v>1</v>
      </c>
      <c r="AA1247" s="98" t="e">
        <f t="shared" si="70"/>
        <v>#VALUE!</v>
      </c>
      <c r="AB1247" s="350" t="e">
        <f t="shared" si="71"/>
        <v>#VALUE!</v>
      </c>
    </row>
    <row r="1248" spans="8:28" ht="22.15" customHeight="1" x14ac:dyDescent="0.25">
      <c r="H1248" s="346"/>
      <c r="O1248" s="347"/>
      <c r="Y1248" s="20">
        <f t="shared" si="69"/>
        <v>1</v>
      </c>
      <c r="AA1248" s="98" t="e">
        <f t="shared" si="70"/>
        <v>#VALUE!</v>
      </c>
      <c r="AB1248" s="350" t="e">
        <f t="shared" si="71"/>
        <v>#VALUE!</v>
      </c>
    </row>
    <row r="1249" spans="8:28" ht="22.15" customHeight="1" x14ac:dyDescent="0.25">
      <c r="H1249" s="346"/>
      <c r="O1249" s="347"/>
      <c r="Y1249" s="20">
        <f t="shared" si="69"/>
        <v>1</v>
      </c>
      <c r="AA1249" s="98" t="e">
        <f t="shared" si="70"/>
        <v>#VALUE!</v>
      </c>
      <c r="AB1249" s="350" t="e">
        <f t="shared" si="71"/>
        <v>#VALUE!</v>
      </c>
    </row>
    <row r="1250" spans="8:28" ht="22.15" customHeight="1" x14ac:dyDescent="0.25">
      <c r="H1250" s="346"/>
      <c r="O1250" s="347"/>
      <c r="Y1250" s="20">
        <f t="shared" si="69"/>
        <v>1</v>
      </c>
      <c r="AA1250" s="98" t="e">
        <f t="shared" si="70"/>
        <v>#VALUE!</v>
      </c>
      <c r="AB1250" s="350" t="e">
        <f t="shared" si="71"/>
        <v>#VALUE!</v>
      </c>
    </row>
    <row r="1251" spans="8:28" ht="22.15" customHeight="1" x14ac:dyDescent="0.25">
      <c r="H1251" s="346"/>
      <c r="O1251" s="347"/>
      <c r="Y1251" s="20">
        <f t="shared" si="69"/>
        <v>1</v>
      </c>
      <c r="AA1251" s="98" t="e">
        <f t="shared" si="70"/>
        <v>#VALUE!</v>
      </c>
      <c r="AB1251" s="350" t="e">
        <f t="shared" si="71"/>
        <v>#VALUE!</v>
      </c>
    </row>
    <row r="1252" spans="8:28" ht="22.15" customHeight="1" x14ac:dyDescent="0.25">
      <c r="H1252" s="346"/>
      <c r="O1252" s="347"/>
      <c r="Y1252" s="20">
        <f t="shared" si="69"/>
        <v>1</v>
      </c>
      <c r="AA1252" s="98" t="e">
        <f t="shared" si="70"/>
        <v>#VALUE!</v>
      </c>
      <c r="AB1252" s="350" t="e">
        <f t="shared" si="71"/>
        <v>#VALUE!</v>
      </c>
    </row>
    <row r="1253" spans="8:28" ht="22.15" customHeight="1" x14ac:dyDescent="0.25">
      <c r="H1253" s="346"/>
      <c r="O1253" s="347"/>
      <c r="Y1253" s="20">
        <f t="shared" si="69"/>
        <v>1</v>
      </c>
      <c r="AA1253" s="98" t="e">
        <f t="shared" si="70"/>
        <v>#VALUE!</v>
      </c>
      <c r="AB1253" s="350" t="e">
        <f t="shared" si="71"/>
        <v>#VALUE!</v>
      </c>
    </row>
    <row r="1254" spans="8:28" ht="22.15" customHeight="1" x14ac:dyDescent="0.25">
      <c r="H1254" s="346"/>
      <c r="O1254" s="347"/>
      <c r="Y1254" s="20">
        <f t="shared" si="69"/>
        <v>1</v>
      </c>
      <c r="AA1254" s="98" t="e">
        <f t="shared" si="70"/>
        <v>#VALUE!</v>
      </c>
      <c r="AB1254" s="350" t="e">
        <f t="shared" si="71"/>
        <v>#VALUE!</v>
      </c>
    </row>
    <row r="1255" spans="8:28" ht="22.15" customHeight="1" x14ac:dyDescent="0.25">
      <c r="H1255" s="346"/>
      <c r="O1255" s="347"/>
      <c r="Y1255" s="20">
        <f t="shared" si="69"/>
        <v>1</v>
      </c>
      <c r="AA1255" s="98" t="e">
        <f t="shared" si="70"/>
        <v>#VALUE!</v>
      </c>
      <c r="AB1255" s="350" t="e">
        <f t="shared" si="71"/>
        <v>#VALUE!</v>
      </c>
    </row>
    <row r="1256" spans="8:28" ht="22.15" customHeight="1" x14ac:dyDescent="0.25">
      <c r="H1256" s="346"/>
      <c r="O1256" s="347"/>
      <c r="Y1256" s="20">
        <f t="shared" si="69"/>
        <v>1</v>
      </c>
      <c r="AA1256" s="98" t="e">
        <f t="shared" si="70"/>
        <v>#VALUE!</v>
      </c>
      <c r="AB1256" s="350" t="e">
        <f t="shared" si="71"/>
        <v>#VALUE!</v>
      </c>
    </row>
    <row r="1257" spans="8:28" ht="22.15" customHeight="1" x14ac:dyDescent="0.25">
      <c r="H1257" s="346"/>
      <c r="O1257" s="347"/>
      <c r="Y1257" s="20">
        <f t="shared" si="69"/>
        <v>1</v>
      </c>
      <c r="AA1257" s="98" t="e">
        <f t="shared" si="70"/>
        <v>#VALUE!</v>
      </c>
      <c r="AB1257" s="350" t="e">
        <f t="shared" si="71"/>
        <v>#VALUE!</v>
      </c>
    </row>
    <row r="1258" spans="8:28" ht="22.15" customHeight="1" x14ac:dyDescent="0.25">
      <c r="H1258" s="346"/>
      <c r="O1258" s="347"/>
      <c r="Y1258" s="20">
        <f t="shared" si="69"/>
        <v>1</v>
      </c>
      <c r="AA1258" s="98" t="e">
        <f t="shared" si="70"/>
        <v>#VALUE!</v>
      </c>
      <c r="AB1258" s="350" t="e">
        <f t="shared" si="71"/>
        <v>#VALUE!</v>
      </c>
    </row>
    <row r="1259" spans="8:28" ht="22.15" customHeight="1" x14ac:dyDescent="0.25">
      <c r="H1259" s="346"/>
      <c r="O1259" s="347"/>
      <c r="Y1259" s="20">
        <f t="shared" si="69"/>
        <v>1</v>
      </c>
      <c r="AA1259" s="98" t="e">
        <f t="shared" si="70"/>
        <v>#VALUE!</v>
      </c>
      <c r="AB1259" s="350" t="e">
        <f t="shared" si="71"/>
        <v>#VALUE!</v>
      </c>
    </row>
    <row r="1260" spans="8:28" ht="22.15" customHeight="1" x14ac:dyDescent="0.25">
      <c r="H1260" s="346"/>
      <c r="O1260" s="347"/>
      <c r="Y1260" s="20">
        <f t="shared" si="69"/>
        <v>1</v>
      </c>
      <c r="AA1260" s="98" t="e">
        <f t="shared" si="70"/>
        <v>#VALUE!</v>
      </c>
      <c r="AB1260" s="350" t="e">
        <f t="shared" si="71"/>
        <v>#VALUE!</v>
      </c>
    </row>
    <row r="1261" spans="8:28" ht="22.15" customHeight="1" x14ac:dyDescent="0.25">
      <c r="H1261" s="346"/>
      <c r="O1261" s="347"/>
      <c r="Y1261" s="20">
        <f t="shared" ref="Y1261:Y1292" si="72">COUNTIF(K:K,K1161)</f>
        <v>1</v>
      </c>
      <c r="AA1261" s="98" t="e">
        <f t="shared" si="70"/>
        <v>#VALUE!</v>
      </c>
      <c r="AB1261" s="350" t="e">
        <f t="shared" si="71"/>
        <v>#VALUE!</v>
      </c>
    </row>
    <row r="1262" spans="8:28" ht="22.15" customHeight="1" x14ac:dyDescent="0.25">
      <c r="H1262" s="346"/>
      <c r="O1262" s="347"/>
      <c r="Y1262" s="20">
        <f t="shared" si="72"/>
        <v>1</v>
      </c>
      <c r="AA1262" s="98" t="e">
        <f t="shared" si="70"/>
        <v>#VALUE!</v>
      </c>
      <c r="AB1262" s="350" t="e">
        <f t="shared" si="71"/>
        <v>#VALUE!</v>
      </c>
    </row>
    <row r="1263" spans="8:28" ht="22.15" customHeight="1" x14ac:dyDescent="0.25">
      <c r="H1263" s="346"/>
      <c r="O1263" s="347"/>
      <c r="Y1263" s="20">
        <f t="shared" si="72"/>
        <v>1</v>
      </c>
      <c r="AA1263" s="98" t="e">
        <f t="shared" si="70"/>
        <v>#VALUE!</v>
      </c>
      <c r="AB1263" s="350" t="e">
        <f t="shared" si="71"/>
        <v>#VALUE!</v>
      </c>
    </row>
    <row r="1264" spans="8:28" ht="22.15" customHeight="1" x14ac:dyDescent="0.25">
      <c r="H1264" s="346"/>
      <c r="O1264" s="347"/>
      <c r="Y1264" s="20">
        <f t="shared" si="72"/>
        <v>1</v>
      </c>
      <c r="AA1264" s="98" t="e">
        <f t="shared" si="70"/>
        <v>#VALUE!</v>
      </c>
      <c r="AB1264" s="350" t="e">
        <f t="shared" si="71"/>
        <v>#VALUE!</v>
      </c>
    </row>
    <row r="1265" spans="8:28" ht="22.15" customHeight="1" x14ac:dyDescent="0.25">
      <c r="H1265" s="346"/>
      <c r="O1265" s="347"/>
      <c r="Y1265" s="20">
        <f t="shared" si="72"/>
        <v>1</v>
      </c>
      <c r="AA1265" s="98" t="e">
        <f t="shared" si="70"/>
        <v>#VALUE!</v>
      </c>
      <c r="AB1265" s="350" t="e">
        <f t="shared" si="71"/>
        <v>#VALUE!</v>
      </c>
    </row>
    <row r="1266" spans="8:28" ht="22.15" customHeight="1" x14ac:dyDescent="0.25">
      <c r="H1266" s="346"/>
      <c r="O1266" s="347"/>
      <c r="Y1266" s="20">
        <f t="shared" si="72"/>
        <v>1</v>
      </c>
      <c r="AA1266" s="98" t="e">
        <f t="shared" si="70"/>
        <v>#VALUE!</v>
      </c>
      <c r="AB1266" s="350" t="e">
        <f t="shared" si="71"/>
        <v>#VALUE!</v>
      </c>
    </row>
    <row r="1267" spans="8:28" ht="22.15" customHeight="1" x14ac:dyDescent="0.25">
      <c r="H1267" s="346"/>
      <c r="O1267" s="347"/>
      <c r="Y1267" s="20">
        <f t="shared" si="72"/>
        <v>1</v>
      </c>
      <c r="AA1267" s="98" t="e">
        <f t="shared" si="70"/>
        <v>#VALUE!</v>
      </c>
      <c r="AB1267" s="350" t="e">
        <f t="shared" si="71"/>
        <v>#VALUE!</v>
      </c>
    </row>
    <row r="1268" spans="8:28" ht="22.15" customHeight="1" x14ac:dyDescent="0.25">
      <c r="H1268" s="346"/>
      <c r="O1268" s="347"/>
      <c r="Y1268" s="20">
        <f t="shared" si="72"/>
        <v>1</v>
      </c>
      <c r="AA1268" s="98" t="e">
        <f t="shared" si="70"/>
        <v>#VALUE!</v>
      </c>
      <c r="AB1268" s="350" t="e">
        <f t="shared" si="71"/>
        <v>#VALUE!</v>
      </c>
    </row>
    <row r="1269" spans="8:28" ht="22.15" customHeight="1" x14ac:dyDescent="0.25">
      <c r="H1269" s="346"/>
      <c r="O1269" s="347"/>
      <c r="Y1269" s="20">
        <f t="shared" si="72"/>
        <v>1</v>
      </c>
      <c r="AA1269" s="98" t="e">
        <f t="shared" si="70"/>
        <v>#VALUE!</v>
      </c>
      <c r="AB1269" s="350" t="e">
        <f t="shared" si="71"/>
        <v>#VALUE!</v>
      </c>
    </row>
    <row r="1270" spans="8:28" ht="22.15" customHeight="1" x14ac:dyDescent="0.25">
      <c r="H1270" s="346"/>
      <c r="O1270" s="347"/>
      <c r="Y1270" s="20">
        <f t="shared" si="72"/>
        <v>1</v>
      </c>
      <c r="AA1270" s="98" t="e">
        <f t="shared" si="70"/>
        <v>#VALUE!</v>
      </c>
      <c r="AB1270" s="350" t="e">
        <f t="shared" si="71"/>
        <v>#VALUE!</v>
      </c>
    </row>
    <row r="1271" spans="8:28" ht="22.15" customHeight="1" x14ac:dyDescent="0.25">
      <c r="H1271" s="346"/>
      <c r="O1271" s="347"/>
      <c r="Y1271" s="20">
        <f t="shared" si="72"/>
        <v>1</v>
      </c>
      <c r="AA1271" s="98" t="e">
        <f t="shared" si="70"/>
        <v>#VALUE!</v>
      </c>
      <c r="AB1271" s="350" t="e">
        <f t="shared" si="71"/>
        <v>#VALUE!</v>
      </c>
    </row>
    <row r="1272" spans="8:28" ht="22.15" customHeight="1" x14ac:dyDescent="0.25">
      <c r="H1272" s="346"/>
      <c r="O1272" s="347"/>
      <c r="Y1272" s="20">
        <f t="shared" si="72"/>
        <v>1</v>
      </c>
      <c r="AA1272" s="98" t="e">
        <f t="shared" si="70"/>
        <v>#VALUE!</v>
      </c>
      <c r="AB1272" s="350" t="e">
        <f t="shared" si="71"/>
        <v>#VALUE!</v>
      </c>
    </row>
    <row r="1273" spans="8:28" ht="22.15" customHeight="1" x14ac:dyDescent="0.25">
      <c r="H1273" s="346"/>
      <c r="O1273" s="347"/>
      <c r="Y1273" s="20">
        <f t="shared" si="72"/>
        <v>1</v>
      </c>
      <c r="AA1273" s="98" t="e">
        <f t="shared" si="70"/>
        <v>#VALUE!</v>
      </c>
      <c r="AB1273" s="350" t="e">
        <f t="shared" si="71"/>
        <v>#VALUE!</v>
      </c>
    </row>
    <row r="1274" spans="8:28" ht="22.15" customHeight="1" x14ac:dyDescent="0.25">
      <c r="H1274" s="346"/>
      <c r="O1274" s="347"/>
      <c r="Y1274" s="20">
        <f t="shared" si="72"/>
        <v>1</v>
      </c>
      <c r="AA1274" s="98" t="e">
        <f t="shared" si="70"/>
        <v>#VALUE!</v>
      </c>
      <c r="AB1274" s="350" t="e">
        <f t="shared" si="71"/>
        <v>#VALUE!</v>
      </c>
    </row>
    <row r="1275" spans="8:28" ht="22.15" customHeight="1" x14ac:dyDescent="0.25">
      <c r="H1275" s="346"/>
      <c r="O1275" s="347"/>
      <c r="Y1275" s="20">
        <f t="shared" si="72"/>
        <v>1</v>
      </c>
      <c r="AA1275" s="98" t="e">
        <f t="shared" si="70"/>
        <v>#VALUE!</v>
      </c>
      <c r="AB1275" s="350" t="e">
        <f t="shared" si="71"/>
        <v>#VALUE!</v>
      </c>
    </row>
    <row r="1276" spans="8:28" ht="22.15" customHeight="1" x14ac:dyDescent="0.25">
      <c r="H1276" s="346"/>
      <c r="O1276" s="347"/>
      <c r="Y1276" s="20">
        <f t="shared" si="72"/>
        <v>1</v>
      </c>
      <c r="AA1276" s="98" t="e">
        <f t="shared" si="70"/>
        <v>#VALUE!</v>
      </c>
      <c r="AB1276" s="350" t="e">
        <f t="shared" si="71"/>
        <v>#VALUE!</v>
      </c>
    </row>
    <row r="1277" spans="8:28" ht="22.15" customHeight="1" x14ac:dyDescent="0.25">
      <c r="H1277" s="346"/>
      <c r="O1277" s="347"/>
      <c r="Y1277" s="20">
        <f t="shared" si="72"/>
        <v>1</v>
      </c>
      <c r="AA1277" s="98" t="e">
        <f t="shared" si="70"/>
        <v>#VALUE!</v>
      </c>
      <c r="AB1277" s="350" t="e">
        <f t="shared" si="71"/>
        <v>#VALUE!</v>
      </c>
    </row>
    <row r="1278" spans="8:28" ht="22.15" customHeight="1" x14ac:dyDescent="0.25">
      <c r="H1278" s="346"/>
      <c r="O1278" s="347"/>
      <c r="Y1278" s="20">
        <f t="shared" si="72"/>
        <v>1</v>
      </c>
      <c r="AA1278" s="98" t="e">
        <f t="shared" si="70"/>
        <v>#VALUE!</v>
      </c>
      <c r="AB1278" s="350" t="e">
        <f t="shared" si="71"/>
        <v>#VALUE!</v>
      </c>
    </row>
    <row r="1279" spans="8:28" ht="22.15" customHeight="1" x14ac:dyDescent="0.25">
      <c r="H1279" s="346"/>
      <c r="O1279" s="347"/>
      <c r="Y1279" s="20">
        <f t="shared" si="72"/>
        <v>1</v>
      </c>
      <c r="AA1279" s="98" t="e">
        <f t="shared" si="70"/>
        <v>#VALUE!</v>
      </c>
      <c r="AB1279" s="350" t="e">
        <f t="shared" si="71"/>
        <v>#VALUE!</v>
      </c>
    </row>
    <row r="1280" spans="8:28" ht="22.15" customHeight="1" x14ac:dyDescent="0.25">
      <c r="H1280" s="346"/>
      <c r="O1280" s="347"/>
      <c r="Y1280" s="20">
        <f t="shared" si="72"/>
        <v>1</v>
      </c>
      <c r="AA1280" s="98" t="e">
        <f t="shared" si="70"/>
        <v>#VALUE!</v>
      </c>
      <c r="AB1280" s="350" t="e">
        <f t="shared" si="71"/>
        <v>#VALUE!</v>
      </c>
    </row>
    <row r="1281" spans="8:28" ht="22.15" customHeight="1" x14ac:dyDescent="0.25">
      <c r="H1281" s="346"/>
      <c r="O1281" s="347"/>
      <c r="Y1281" s="20">
        <f t="shared" si="72"/>
        <v>1</v>
      </c>
      <c r="AA1281" s="98" t="e">
        <f t="shared" si="70"/>
        <v>#VALUE!</v>
      </c>
      <c r="AB1281" s="350" t="e">
        <f t="shared" si="71"/>
        <v>#VALUE!</v>
      </c>
    </row>
    <row r="1282" spans="8:28" ht="22.15" customHeight="1" x14ac:dyDescent="0.25">
      <c r="H1282" s="346"/>
      <c r="O1282" s="347"/>
      <c r="Y1282" s="20">
        <f t="shared" si="72"/>
        <v>1</v>
      </c>
      <c r="AA1282" s="98" t="e">
        <f t="shared" si="70"/>
        <v>#VALUE!</v>
      </c>
      <c r="AB1282" s="350" t="e">
        <f t="shared" si="71"/>
        <v>#VALUE!</v>
      </c>
    </row>
    <row r="1283" spans="8:28" ht="22.15" customHeight="1" x14ac:dyDescent="0.25">
      <c r="H1283" s="346"/>
      <c r="O1283" s="347"/>
      <c r="Y1283" s="20">
        <f t="shared" si="72"/>
        <v>1</v>
      </c>
      <c r="AA1283" s="98" t="e">
        <f t="shared" si="70"/>
        <v>#VALUE!</v>
      </c>
      <c r="AB1283" s="350" t="e">
        <f t="shared" si="71"/>
        <v>#VALUE!</v>
      </c>
    </row>
    <row r="1284" spans="8:28" ht="22.15" customHeight="1" x14ac:dyDescent="0.25">
      <c r="H1284" s="346"/>
      <c r="O1284" s="347"/>
      <c r="Y1284" s="20">
        <f t="shared" si="72"/>
        <v>1</v>
      </c>
      <c r="AA1284" s="98" t="e">
        <f t="shared" si="70"/>
        <v>#VALUE!</v>
      </c>
      <c r="AB1284" s="350" t="e">
        <f t="shared" si="71"/>
        <v>#VALUE!</v>
      </c>
    </row>
    <row r="1285" spans="8:28" ht="22.15" customHeight="1" x14ac:dyDescent="0.25">
      <c r="H1285" s="346"/>
      <c r="O1285" s="347"/>
      <c r="Y1285" s="20">
        <f t="shared" si="72"/>
        <v>1</v>
      </c>
      <c r="AA1285" s="98" t="e">
        <f t="shared" si="70"/>
        <v>#VALUE!</v>
      </c>
      <c r="AB1285" s="350" t="e">
        <f t="shared" si="71"/>
        <v>#VALUE!</v>
      </c>
    </row>
    <row r="1286" spans="8:28" ht="22.15" customHeight="1" x14ac:dyDescent="0.25">
      <c r="H1286" s="346"/>
      <c r="O1286" s="347"/>
      <c r="Y1286" s="20">
        <f t="shared" si="72"/>
        <v>1</v>
      </c>
      <c r="AA1286" s="98" t="e">
        <f t="shared" si="70"/>
        <v>#VALUE!</v>
      </c>
      <c r="AB1286" s="350" t="e">
        <f t="shared" si="71"/>
        <v>#VALUE!</v>
      </c>
    </row>
    <row r="1287" spans="8:28" ht="22.15" customHeight="1" x14ac:dyDescent="0.25">
      <c r="H1287" s="346"/>
      <c r="O1287" s="347"/>
      <c r="Y1287" s="20">
        <f t="shared" si="72"/>
        <v>1</v>
      </c>
      <c r="AA1287" s="98" t="e">
        <f t="shared" si="70"/>
        <v>#VALUE!</v>
      </c>
      <c r="AB1287" s="350" t="e">
        <f t="shared" si="71"/>
        <v>#VALUE!</v>
      </c>
    </row>
    <row r="1288" spans="8:28" ht="22.15" customHeight="1" x14ac:dyDescent="0.25">
      <c r="H1288" s="346"/>
      <c r="O1288" s="347"/>
      <c r="Y1288" s="20">
        <f t="shared" si="72"/>
        <v>1</v>
      </c>
      <c r="AA1288" s="98" t="e">
        <f t="shared" si="70"/>
        <v>#VALUE!</v>
      </c>
      <c r="AB1288" s="350" t="e">
        <f t="shared" si="71"/>
        <v>#VALUE!</v>
      </c>
    </row>
    <row r="1289" spans="8:28" ht="22.15" customHeight="1" x14ac:dyDescent="0.25">
      <c r="H1289" s="346"/>
      <c r="O1289" s="347"/>
      <c r="Y1289" s="20">
        <f t="shared" si="72"/>
        <v>1</v>
      </c>
      <c r="AA1289" s="98" t="e">
        <f t="shared" si="70"/>
        <v>#VALUE!</v>
      </c>
      <c r="AB1289" s="350" t="e">
        <f t="shared" si="71"/>
        <v>#VALUE!</v>
      </c>
    </row>
    <row r="1290" spans="8:28" ht="22.15" customHeight="1" x14ac:dyDescent="0.25">
      <c r="H1290" s="346"/>
      <c r="O1290" s="347"/>
      <c r="Y1290" s="20">
        <f t="shared" si="72"/>
        <v>1</v>
      </c>
      <c r="AA1290" s="98" t="e">
        <f t="shared" si="70"/>
        <v>#VALUE!</v>
      </c>
      <c r="AB1290" s="350" t="e">
        <f t="shared" si="71"/>
        <v>#VALUE!</v>
      </c>
    </row>
    <row r="1291" spans="8:28" ht="22.15" customHeight="1" x14ac:dyDescent="0.25">
      <c r="H1291" s="346"/>
      <c r="O1291" s="347"/>
      <c r="Y1291" s="20">
        <f t="shared" si="72"/>
        <v>1</v>
      </c>
      <c r="AA1291" s="98" t="e">
        <f t="shared" si="70"/>
        <v>#VALUE!</v>
      </c>
      <c r="AB1291" s="350" t="e">
        <f t="shared" si="71"/>
        <v>#VALUE!</v>
      </c>
    </row>
    <row r="1292" spans="8:28" ht="22.15" customHeight="1" x14ac:dyDescent="0.25">
      <c r="H1292" s="346"/>
      <c r="O1292" s="347"/>
      <c r="Y1292" s="20">
        <f t="shared" si="72"/>
        <v>1</v>
      </c>
      <c r="AA1292" s="98" t="e">
        <f t="shared" si="70"/>
        <v>#VALUE!</v>
      </c>
      <c r="AB1292" s="350" t="e">
        <f t="shared" si="71"/>
        <v>#VALUE!</v>
      </c>
    </row>
    <row r="1293" spans="8:28" ht="22.15" customHeight="1" x14ac:dyDescent="0.25">
      <c r="H1293" s="346"/>
      <c r="O1293" s="347"/>
      <c r="Y1293" s="20">
        <f t="shared" ref="Y1293:Y1299" si="73">COUNTIF(K:K,K1193)</f>
        <v>1</v>
      </c>
      <c r="AA1293" s="98" t="e">
        <f t="shared" ref="AA1293:AA1299" si="74">H1193-I1193</f>
        <v>#VALUE!</v>
      </c>
      <c r="AB1293" s="350" t="e">
        <f t="shared" ref="AB1293:AB1299" si="75">R1193-H1193</f>
        <v>#VALUE!</v>
      </c>
    </row>
    <row r="1294" spans="8:28" ht="22.15" customHeight="1" x14ac:dyDescent="0.25">
      <c r="H1294" s="346"/>
      <c r="O1294" s="347"/>
      <c r="Y1294" s="20">
        <f t="shared" si="73"/>
        <v>1</v>
      </c>
      <c r="AA1294" s="98" t="e">
        <f t="shared" si="74"/>
        <v>#VALUE!</v>
      </c>
      <c r="AB1294" s="350" t="e">
        <f t="shared" si="75"/>
        <v>#VALUE!</v>
      </c>
    </row>
    <row r="1295" spans="8:28" ht="22.15" customHeight="1" x14ac:dyDescent="0.25">
      <c r="H1295" s="346"/>
      <c r="O1295" s="347"/>
      <c r="Y1295" s="20">
        <f t="shared" si="73"/>
        <v>1</v>
      </c>
      <c r="AA1295" s="98" t="e">
        <f t="shared" si="74"/>
        <v>#VALUE!</v>
      </c>
      <c r="AB1295" s="350" t="e">
        <f t="shared" si="75"/>
        <v>#VALUE!</v>
      </c>
    </row>
    <row r="1296" spans="8:28" ht="22.15" customHeight="1" x14ac:dyDescent="0.25">
      <c r="H1296" s="346"/>
      <c r="O1296" s="347"/>
      <c r="Y1296" s="20">
        <f t="shared" si="73"/>
        <v>1</v>
      </c>
      <c r="AA1296" s="98" t="e">
        <f t="shared" si="74"/>
        <v>#VALUE!</v>
      </c>
      <c r="AB1296" s="350" t="e">
        <f t="shared" si="75"/>
        <v>#VALUE!</v>
      </c>
    </row>
    <row r="1297" spans="8:28" ht="22.15" customHeight="1" x14ac:dyDescent="0.25">
      <c r="H1297" s="346"/>
      <c r="O1297" s="347"/>
      <c r="Y1297" s="20">
        <f t="shared" si="73"/>
        <v>1</v>
      </c>
      <c r="AA1297" s="98" t="e">
        <f t="shared" si="74"/>
        <v>#VALUE!</v>
      </c>
      <c r="AB1297" s="350" t="e">
        <f t="shared" si="75"/>
        <v>#VALUE!</v>
      </c>
    </row>
    <row r="1298" spans="8:28" ht="22.15" customHeight="1" x14ac:dyDescent="0.25">
      <c r="H1298" s="346"/>
      <c r="O1298" s="347"/>
      <c r="Y1298" s="20">
        <f t="shared" si="73"/>
        <v>1</v>
      </c>
      <c r="AA1298" s="98" t="e">
        <f t="shared" si="74"/>
        <v>#VALUE!</v>
      </c>
      <c r="AB1298" s="350" t="e">
        <f t="shared" si="75"/>
        <v>#VALUE!</v>
      </c>
    </row>
    <row r="1299" spans="8:28" ht="22.15" customHeight="1" x14ac:dyDescent="0.25">
      <c r="H1299" s="346"/>
      <c r="O1299" s="347"/>
      <c r="Y1299" s="20">
        <f t="shared" si="73"/>
        <v>1</v>
      </c>
      <c r="AA1299" s="98" t="e">
        <f t="shared" si="74"/>
        <v>#VALUE!</v>
      </c>
      <c r="AB1299" s="350" t="e">
        <f t="shared" si="75"/>
        <v>#VALUE!</v>
      </c>
    </row>
    <row r="1300" spans="8:28" ht="22.15" customHeight="1" x14ac:dyDescent="0.25">
      <c r="H1300" s="346"/>
      <c r="O1300" s="347"/>
      <c r="Y1300" s="20">
        <f>COUNTIF(K:K,K1199)</f>
        <v>1</v>
      </c>
      <c r="AA1300" s="98" t="e">
        <f>H1199-I1199</f>
        <v>#VALUE!</v>
      </c>
      <c r="AB1300" s="350" t="e">
        <f>R1199-H1199</f>
        <v>#VALUE!</v>
      </c>
    </row>
    <row r="1301" spans="8:28" ht="22.15" customHeight="1" x14ac:dyDescent="0.25">
      <c r="H1301" s="346"/>
      <c r="O1301" s="347"/>
      <c r="Y1301" s="20">
        <f>COUNTIF(K:K,K1200)</f>
        <v>1</v>
      </c>
      <c r="AA1301" s="98" t="e">
        <f>H1200-I1200</f>
        <v>#VALUE!</v>
      </c>
      <c r="AB1301" s="350" t="e">
        <f>R1200-H1200</f>
        <v>#VALUE!</v>
      </c>
    </row>
    <row r="1302" spans="8:28" ht="22.15" customHeight="1" x14ac:dyDescent="0.25">
      <c r="H1302" s="346"/>
      <c r="O1302" s="347"/>
      <c r="Y1302" s="20">
        <f>COUNTIF(K:K,K1201)</f>
        <v>1</v>
      </c>
      <c r="AA1302" s="98" t="e">
        <f>H1201-I1201</f>
        <v>#VALUE!</v>
      </c>
      <c r="AB1302" s="350" t="e">
        <f>R1201-H1201</f>
        <v>#VALUE!</v>
      </c>
    </row>
    <row r="1303" spans="8:28" ht="22.15" customHeight="1" x14ac:dyDescent="0.25">
      <c r="H1303" s="346"/>
      <c r="O1303" s="347"/>
      <c r="Y1303" s="20">
        <f t="shared" ref="Y1303:Y1334" si="76">COUNTIF(K:K,K1203)</f>
        <v>0</v>
      </c>
      <c r="AA1303" s="98">
        <f t="shared" ref="AA1303:AA1366" si="77">H1203-I1203</f>
        <v>0</v>
      </c>
      <c r="AB1303" s="350">
        <f t="shared" ref="AB1303:AB1366" si="78">R1203-H1203</f>
        <v>0</v>
      </c>
    </row>
    <row r="1304" spans="8:28" ht="22.15" customHeight="1" x14ac:dyDescent="0.25">
      <c r="H1304" s="346"/>
      <c r="O1304" s="347"/>
      <c r="Y1304" s="20">
        <f t="shared" si="76"/>
        <v>0</v>
      </c>
      <c r="AA1304" s="98">
        <f t="shared" si="77"/>
        <v>0</v>
      </c>
      <c r="AB1304" s="350">
        <f t="shared" si="78"/>
        <v>0</v>
      </c>
    </row>
    <row r="1305" spans="8:28" ht="22.15" customHeight="1" x14ac:dyDescent="0.25">
      <c r="H1305" s="346"/>
      <c r="O1305" s="347"/>
      <c r="Y1305" s="20">
        <f t="shared" si="76"/>
        <v>0</v>
      </c>
      <c r="AA1305" s="98">
        <f t="shared" si="77"/>
        <v>0</v>
      </c>
      <c r="AB1305" s="350">
        <f t="shared" si="78"/>
        <v>0</v>
      </c>
    </row>
    <row r="1306" spans="8:28" ht="22.15" customHeight="1" x14ac:dyDescent="0.25">
      <c r="H1306" s="346"/>
      <c r="O1306" s="347"/>
      <c r="Y1306" s="20">
        <f t="shared" si="76"/>
        <v>0</v>
      </c>
      <c r="AA1306" s="98">
        <f t="shared" si="77"/>
        <v>0</v>
      </c>
      <c r="AB1306" s="350">
        <f t="shared" si="78"/>
        <v>0</v>
      </c>
    </row>
    <row r="1307" spans="8:28" ht="22.15" customHeight="1" x14ac:dyDescent="0.25">
      <c r="H1307" s="346"/>
      <c r="O1307" s="347"/>
      <c r="Y1307" s="20">
        <f t="shared" si="76"/>
        <v>0</v>
      </c>
      <c r="AA1307" s="98">
        <f t="shared" si="77"/>
        <v>0</v>
      </c>
      <c r="AB1307" s="350">
        <f t="shared" si="78"/>
        <v>0</v>
      </c>
    </row>
    <row r="1308" spans="8:28" ht="22.15" customHeight="1" x14ac:dyDescent="0.25">
      <c r="H1308" s="346"/>
      <c r="O1308" s="347"/>
      <c r="Y1308" s="20">
        <f t="shared" si="76"/>
        <v>0</v>
      </c>
      <c r="AA1308" s="98">
        <f t="shared" si="77"/>
        <v>0</v>
      </c>
      <c r="AB1308" s="350">
        <f t="shared" si="78"/>
        <v>0</v>
      </c>
    </row>
    <row r="1309" spans="8:28" ht="22.15" customHeight="1" x14ac:dyDescent="0.25">
      <c r="H1309" s="346"/>
      <c r="O1309" s="347"/>
      <c r="Y1309" s="20">
        <f t="shared" si="76"/>
        <v>0</v>
      </c>
      <c r="AA1309" s="98">
        <f t="shared" si="77"/>
        <v>0</v>
      </c>
      <c r="AB1309" s="350">
        <f t="shared" si="78"/>
        <v>0</v>
      </c>
    </row>
    <row r="1310" spans="8:28" ht="22.15" customHeight="1" x14ac:dyDescent="0.25">
      <c r="H1310" s="346"/>
      <c r="O1310" s="347"/>
      <c r="Y1310" s="20">
        <f t="shared" si="76"/>
        <v>0</v>
      </c>
      <c r="AA1310" s="98">
        <f t="shared" si="77"/>
        <v>0</v>
      </c>
      <c r="AB1310" s="350">
        <f t="shared" si="78"/>
        <v>0</v>
      </c>
    </row>
    <row r="1311" spans="8:28" ht="22.15" customHeight="1" x14ac:dyDescent="0.25">
      <c r="H1311" s="346"/>
      <c r="O1311" s="347"/>
      <c r="Y1311" s="20">
        <f t="shared" si="76"/>
        <v>0</v>
      </c>
      <c r="AA1311" s="98">
        <f t="shared" si="77"/>
        <v>0</v>
      </c>
      <c r="AB1311" s="350">
        <f t="shared" si="78"/>
        <v>0</v>
      </c>
    </row>
    <row r="1312" spans="8:28" ht="22.15" customHeight="1" x14ac:dyDescent="0.25">
      <c r="H1312" s="346"/>
      <c r="O1312" s="347"/>
      <c r="Y1312" s="20">
        <f t="shared" si="76"/>
        <v>0</v>
      </c>
      <c r="AA1312" s="98">
        <f t="shared" si="77"/>
        <v>0</v>
      </c>
      <c r="AB1312" s="350">
        <f t="shared" si="78"/>
        <v>0</v>
      </c>
    </row>
    <row r="1313" spans="8:28" ht="22.15" customHeight="1" x14ac:dyDescent="0.25">
      <c r="H1313" s="346"/>
      <c r="O1313" s="347"/>
      <c r="Y1313" s="20">
        <f t="shared" si="76"/>
        <v>0</v>
      </c>
      <c r="AA1313" s="98">
        <f t="shared" si="77"/>
        <v>0</v>
      </c>
      <c r="AB1313" s="350">
        <f t="shared" si="78"/>
        <v>0</v>
      </c>
    </row>
    <row r="1314" spans="8:28" ht="22.15" customHeight="1" x14ac:dyDescent="0.25">
      <c r="H1314" s="346"/>
      <c r="O1314" s="347"/>
      <c r="Y1314" s="20">
        <f t="shared" si="76"/>
        <v>0</v>
      </c>
      <c r="AA1314" s="98">
        <f t="shared" si="77"/>
        <v>0</v>
      </c>
      <c r="AB1314" s="350">
        <f t="shared" si="78"/>
        <v>0</v>
      </c>
    </row>
    <row r="1315" spans="8:28" ht="22.15" customHeight="1" x14ac:dyDescent="0.25">
      <c r="H1315" s="346"/>
      <c r="O1315" s="347"/>
      <c r="Y1315" s="20">
        <f t="shared" si="76"/>
        <v>0</v>
      </c>
      <c r="AA1315" s="98">
        <f t="shared" si="77"/>
        <v>0</v>
      </c>
      <c r="AB1315" s="350">
        <f t="shared" si="78"/>
        <v>0</v>
      </c>
    </row>
    <row r="1316" spans="8:28" ht="22.15" customHeight="1" x14ac:dyDescent="0.25">
      <c r="H1316" s="346"/>
      <c r="O1316" s="347"/>
      <c r="Y1316" s="20">
        <f t="shared" si="76"/>
        <v>0</v>
      </c>
      <c r="AA1316" s="98">
        <f t="shared" si="77"/>
        <v>0</v>
      </c>
      <c r="AB1316" s="350">
        <f t="shared" si="78"/>
        <v>0</v>
      </c>
    </row>
    <row r="1317" spans="8:28" ht="22.15" customHeight="1" x14ac:dyDescent="0.25">
      <c r="H1317" s="346"/>
      <c r="O1317" s="347"/>
      <c r="Y1317" s="20">
        <f t="shared" si="76"/>
        <v>0</v>
      </c>
      <c r="AA1317" s="98">
        <f t="shared" si="77"/>
        <v>0</v>
      </c>
      <c r="AB1317" s="350">
        <f t="shared" si="78"/>
        <v>0</v>
      </c>
    </row>
    <row r="1318" spans="8:28" ht="22.15" customHeight="1" x14ac:dyDescent="0.25">
      <c r="H1318" s="346"/>
      <c r="O1318" s="347"/>
      <c r="Y1318" s="20">
        <f t="shared" si="76"/>
        <v>0</v>
      </c>
      <c r="AA1318" s="98">
        <f t="shared" si="77"/>
        <v>0</v>
      </c>
      <c r="AB1318" s="350">
        <f t="shared" si="78"/>
        <v>0</v>
      </c>
    </row>
    <row r="1319" spans="8:28" ht="22.15" customHeight="1" x14ac:dyDescent="0.25">
      <c r="H1319" s="346"/>
      <c r="O1319" s="347"/>
      <c r="Y1319" s="20">
        <f t="shared" si="76"/>
        <v>0</v>
      </c>
      <c r="AA1319" s="98">
        <f t="shared" si="77"/>
        <v>0</v>
      </c>
      <c r="AB1319" s="350">
        <f t="shared" si="78"/>
        <v>0</v>
      </c>
    </row>
    <row r="1320" spans="8:28" ht="22.15" customHeight="1" x14ac:dyDescent="0.25">
      <c r="H1320" s="346"/>
      <c r="O1320" s="347"/>
      <c r="Y1320" s="20">
        <f t="shared" si="76"/>
        <v>0</v>
      </c>
      <c r="AA1320" s="98">
        <f t="shared" si="77"/>
        <v>0</v>
      </c>
      <c r="AB1320" s="350">
        <f t="shared" si="78"/>
        <v>0</v>
      </c>
    </row>
    <row r="1321" spans="8:28" ht="22.15" customHeight="1" x14ac:dyDescent="0.25">
      <c r="H1321" s="346"/>
      <c r="O1321" s="347"/>
      <c r="Y1321" s="20">
        <f t="shared" si="76"/>
        <v>0</v>
      </c>
      <c r="AA1321" s="98">
        <f t="shared" si="77"/>
        <v>0</v>
      </c>
      <c r="AB1321" s="350">
        <f t="shared" si="78"/>
        <v>0</v>
      </c>
    </row>
    <row r="1322" spans="8:28" ht="22.15" customHeight="1" x14ac:dyDescent="0.25">
      <c r="H1322" s="346"/>
      <c r="O1322" s="347"/>
      <c r="Y1322" s="20">
        <f t="shared" si="76"/>
        <v>0</v>
      </c>
      <c r="AA1322" s="98">
        <f t="shared" si="77"/>
        <v>0</v>
      </c>
      <c r="AB1322" s="350">
        <f t="shared" si="78"/>
        <v>0</v>
      </c>
    </row>
    <row r="1323" spans="8:28" ht="22.15" customHeight="1" x14ac:dyDescent="0.25">
      <c r="H1323" s="346"/>
      <c r="O1323" s="347"/>
      <c r="Y1323" s="20">
        <f t="shared" si="76"/>
        <v>0</v>
      </c>
      <c r="AA1323" s="98">
        <f t="shared" si="77"/>
        <v>0</v>
      </c>
      <c r="AB1323" s="350">
        <f t="shared" si="78"/>
        <v>0</v>
      </c>
    </row>
    <row r="1324" spans="8:28" ht="22.15" customHeight="1" x14ac:dyDescent="0.25">
      <c r="H1324" s="346"/>
      <c r="O1324" s="347"/>
      <c r="Y1324" s="20">
        <f t="shared" si="76"/>
        <v>0</v>
      </c>
      <c r="AA1324" s="98">
        <f t="shared" si="77"/>
        <v>0</v>
      </c>
      <c r="AB1324" s="350">
        <f t="shared" si="78"/>
        <v>0</v>
      </c>
    </row>
    <row r="1325" spans="8:28" ht="22.15" customHeight="1" x14ac:dyDescent="0.25">
      <c r="H1325" s="346"/>
      <c r="O1325" s="347"/>
      <c r="Y1325" s="20">
        <f t="shared" si="76"/>
        <v>0</v>
      </c>
      <c r="AA1325" s="98">
        <f t="shared" si="77"/>
        <v>0</v>
      </c>
      <c r="AB1325" s="350">
        <f t="shared" si="78"/>
        <v>0</v>
      </c>
    </row>
    <row r="1326" spans="8:28" ht="22.15" customHeight="1" x14ac:dyDescent="0.25">
      <c r="H1326" s="346"/>
      <c r="O1326" s="347"/>
      <c r="Y1326" s="20">
        <f t="shared" si="76"/>
        <v>0</v>
      </c>
      <c r="AA1326" s="98">
        <f t="shared" si="77"/>
        <v>0</v>
      </c>
      <c r="AB1326" s="350">
        <f t="shared" si="78"/>
        <v>0</v>
      </c>
    </row>
    <row r="1327" spans="8:28" ht="22.15" customHeight="1" x14ac:dyDescent="0.25">
      <c r="H1327" s="346"/>
      <c r="O1327" s="347"/>
      <c r="Y1327" s="20">
        <f t="shared" si="76"/>
        <v>0</v>
      </c>
      <c r="AA1327" s="98">
        <f t="shared" si="77"/>
        <v>0</v>
      </c>
      <c r="AB1327" s="350">
        <f t="shared" si="78"/>
        <v>0</v>
      </c>
    </row>
    <row r="1328" spans="8:28" ht="22.15" customHeight="1" x14ac:dyDescent="0.25">
      <c r="H1328" s="346"/>
      <c r="O1328" s="347"/>
      <c r="Y1328" s="20">
        <f t="shared" si="76"/>
        <v>0</v>
      </c>
      <c r="AA1328" s="98">
        <f t="shared" si="77"/>
        <v>0</v>
      </c>
      <c r="AB1328" s="350">
        <f t="shared" si="78"/>
        <v>0</v>
      </c>
    </row>
    <row r="1329" spans="8:28" ht="22.15" customHeight="1" x14ac:dyDescent="0.25">
      <c r="H1329" s="346"/>
      <c r="O1329" s="347"/>
      <c r="Y1329" s="20">
        <f t="shared" si="76"/>
        <v>0</v>
      </c>
      <c r="AA1329" s="98">
        <f t="shared" si="77"/>
        <v>0</v>
      </c>
      <c r="AB1329" s="350">
        <f t="shared" si="78"/>
        <v>0</v>
      </c>
    </row>
    <row r="1330" spans="8:28" ht="22.15" customHeight="1" x14ac:dyDescent="0.25">
      <c r="H1330" s="346"/>
      <c r="O1330" s="347"/>
      <c r="Y1330" s="20">
        <f t="shared" si="76"/>
        <v>0</v>
      </c>
      <c r="AA1330" s="98">
        <f t="shared" si="77"/>
        <v>0</v>
      </c>
      <c r="AB1330" s="350">
        <f t="shared" si="78"/>
        <v>0</v>
      </c>
    </row>
    <row r="1331" spans="8:28" ht="22.15" customHeight="1" x14ac:dyDescent="0.25">
      <c r="H1331" s="346"/>
      <c r="O1331" s="347"/>
      <c r="Y1331" s="20">
        <f t="shared" si="76"/>
        <v>0</v>
      </c>
      <c r="AA1331" s="98">
        <f t="shared" si="77"/>
        <v>0</v>
      </c>
      <c r="AB1331" s="350">
        <f t="shared" si="78"/>
        <v>0</v>
      </c>
    </row>
    <row r="1332" spans="8:28" ht="22.15" customHeight="1" x14ac:dyDescent="0.25">
      <c r="H1332" s="346"/>
      <c r="O1332" s="347"/>
      <c r="Y1332" s="20">
        <f t="shared" si="76"/>
        <v>0</v>
      </c>
      <c r="AA1332" s="98">
        <f t="shared" si="77"/>
        <v>0</v>
      </c>
      <c r="AB1332" s="350">
        <f t="shared" si="78"/>
        <v>0</v>
      </c>
    </row>
    <row r="1333" spans="8:28" ht="22.15" customHeight="1" x14ac:dyDescent="0.25">
      <c r="H1333" s="346"/>
      <c r="O1333" s="347"/>
      <c r="Y1333" s="20">
        <f t="shared" si="76"/>
        <v>0</v>
      </c>
      <c r="AA1333" s="98">
        <f t="shared" si="77"/>
        <v>0</v>
      </c>
      <c r="AB1333" s="350">
        <f t="shared" si="78"/>
        <v>0</v>
      </c>
    </row>
    <row r="1334" spans="8:28" ht="22.15" customHeight="1" x14ac:dyDescent="0.25">
      <c r="H1334" s="346"/>
      <c r="O1334" s="347"/>
      <c r="Y1334" s="20">
        <f t="shared" si="76"/>
        <v>0</v>
      </c>
      <c r="AA1334" s="98">
        <f t="shared" si="77"/>
        <v>0</v>
      </c>
      <c r="AB1334" s="350">
        <f t="shared" si="78"/>
        <v>0</v>
      </c>
    </row>
    <row r="1335" spans="8:28" ht="22.15" customHeight="1" x14ac:dyDescent="0.25">
      <c r="H1335" s="346"/>
      <c r="O1335" s="347"/>
      <c r="Y1335" s="20">
        <f t="shared" ref="Y1335:Y1366" si="79">COUNTIF(K:K,K1235)</f>
        <v>0</v>
      </c>
      <c r="AA1335" s="98">
        <f t="shared" si="77"/>
        <v>0</v>
      </c>
      <c r="AB1335" s="350">
        <f t="shared" si="78"/>
        <v>0</v>
      </c>
    </row>
    <row r="1336" spans="8:28" ht="22.15" customHeight="1" x14ac:dyDescent="0.25">
      <c r="H1336" s="346"/>
      <c r="O1336" s="347"/>
      <c r="Y1336" s="20">
        <f t="shared" si="79"/>
        <v>0</v>
      </c>
      <c r="AA1336" s="98">
        <f t="shared" si="77"/>
        <v>0</v>
      </c>
      <c r="AB1336" s="350">
        <f t="shared" si="78"/>
        <v>0</v>
      </c>
    </row>
    <row r="1337" spans="8:28" ht="22.15" customHeight="1" x14ac:dyDescent="0.25">
      <c r="H1337" s="346"/>
      <c r="O1337" s="347"/>
      <c r="Y1337" s="20">
        <f t="shared" si="79"/>
        <v>0</v>
      </c>
      <c r="AA1337" s="98">
        <f t="shared" si="77"/>
        <v>0</v>
      </c>
      <c r="AB1337" s="350">
        <f t="shared" si="78"/>
        <v>0</v>
      </c>
    </row>
    <row r="1338" spans="8:28" ht="22.15" customHeight="1" x14ac:dyDescent="0.25">
      <c r="H1338" s="346"/>
      <c r="O1338" s="347"/>
      <c r="Y1338" s="20">
        <f t="shared" si="79"/>
        <v>0</v>
      </c>
      <c r="AA1338" s="98">
        <f t="shared" si="77"/>
        <v>0</v>
      </c>
      <c r="AB1338" s="350">
        <f t="shared" si="78"/>
        <v>0</v>
      </c>
    </row>
    <row r="1339" spans="8:28" ht="22.15" customHeight="1" x14ac:dyDescent="0.25">
      <c r="H1339" s="346"/>
      <c r="O1339" s="347"/>
      <c r="Y1339" s="20">
        <f t="shared" si="79"/>
        <v>0</v>
      </c>
      <c r="AA1339" s="98">
        <f t="shared" si="77"/>
        <v>0</v>
      </c>
      <c r="AB1339" s="350">
        <f t="shared" si="78"/>
        <v>0</v>
      </c>
    </row>
    <row r="1340" spans="8:28" ht="22.15" customHeight="1" x14ac:dyDescent="0.25">
      <c r="H1340" s="346"/>
      <c r="O1340" s="347"/>
      <c r="Y1340" s="20">
        <f t="shared" si="79"/>
        <v>0</v>
      </c>
      <c r="AA1340" s="98">
        <f t="shared" si="77"/>
        <v>0</v>
      </c>
      <c r="AB1340" s="350">
        <f t="shared" si="78"/>
        <v>0</v>
      </c>
    </row>
    <row r="1341" spans="8:28" ht="22.15" customHeight="1" x14ac:dyDescent="0.25">
      <c r="H1341" s="346"/>
      <c r="O1341" s="347"/>
      <c r="Y1341" s="20">
        <f t="shared" si="79"/>
        <v>0</v>
      </c>
      <c r="AA1341" s="98">
        <f t="shared" si="77"/>
        <v>0</v>
      </c>
      <c r="AB1341" s="350">
        <f t="shared" si="78"/>
        <v>0</v>
      </c>
    </row>
    <row r="1342" spans="8:28" ht="22.15" customHeight="1" x14ac:dyDescent="0.25">
      <c r="H1342" s="346"/>
      <c r="O1342" s="347"/>
      <c r="Y1342" s="20">
        <f t="shared" si="79"/>
        <v>0</v>
      </c>
      <c r="AA1342" s="98">
        <f t="shared" si="77"/>
        <v>0</v>
      </c>
      <c r="AB1342" s="350">
        <f t="shared" si="78"/>
        <v>0</v>
      </c>
    </row>
    <row r="1343" spans="8:28" ht="22.15" customHeight="1" x14ac:dyDescent="0.25">
      <c r="H1343" s="346"/>
      <c r="O1343" s="347"/>
      <c r="Y1343" s="20">
        <f t="shared" si="79"/>
        <v>0</v>
      </c>
      <c r="AA1343" s="98">
        <f t="shared" si="77"/>
        <v>0</v>
      </c>
      <c r="AB1343" s="350">
        <f t="shared" si="78"/>
        <v>0</v>
      </c>
    </row>
    <row r="1344" spans="8:28" ht="22.15" customHeight="1" x14ac:dyDescent="0.25">
      <c r="H1344" s="346"/>
      <c r="O1344" s="347"/>
      <c r="Y1344" s="20">
        <f t="shared" si="79"/>
        <v>0</v>
      </c>
      <c r="AA1344" s="98">
        <f t="shared" si="77"/>
        <v>0</v>
      </c>
      <c r="AB1344" s="350">
        <f t="shared" si="78"/>
        <v>0</v>
      </c>
    </row>
    <row r="1345" spans="8:28" ht="22.15" customHeight="1" x14ac:dyDescent="0.25">
      <c r="H1345" s="346"/>
      <c r="O1345" s="347"/>
      <c r="Y1345" s="20">
        <f t="shared" si="79"/>
        <v>0</v>
      </c>
      <c r="AA1345" s="98">
        <f t="shared" si="77"/>
        <v>0</v>
      </c>
      <c r="AB1345" s="350">
        <f t="shared" si="78"/>
        <v>0</v>
      </c>
    </row>
    <row r="1346" spans="8:28" ht="22.15" customHeight="1" x14ac:dyDescent="0.25">
      <c r="H1346" s="346"/>
      <c r="O1346" s="347"/>
      <c r="Y1346" s="20">
        <f t="shared" si="79"/>
        <v>0</v>
      </c>
      <c r="AA1346" s="98">
        <f t="shared" si="77"/>
        <v>0</v>
      </c>
      <c r="AB1346" s="350">
        <f t="shared" si="78"/>
        <v>0</v>
      </c>
    </row>
    <row r="1347" spans="8:28" ht="22.15" customHeight="1" x14ac:dyDescent="0.25">
      <c r="H1347" s="346"/>
      <c r="O1347" s="347"/>
      <c r="Y1347" s="20">
        <f t="shared" si="79"/>
        <v>0</v>
      </c>
      <c r="AA1347" s="98">
        <f t="shared" si="77"/>
        <v>0</v>
      </c>
      <c r="AB1347" s="350">
        <f t="shared" si="78"/>
        <v>0</v>
      </c>
    </row>
    <row r="1348" spans="8:28" ht="22.15" customHeight="1" x14ac:dyDescent="0.25">
      <c r="H1348" s="346"/>
      <c r="O1348" s="347"/>
      <c r="Y1348" s="20">
        <f t="shared" si="79"/>
        <v>0</v>
      </c>
      <c r="AA1348" s="98">
        <f t="shared" si="77"/>
        <v>0</v>
      </c>
      <c r="AB1348" s="350">
        <f t="shared" si="78"/>
        <v>0</v>
      </c>
    </row>
    <row r="1349" spans="8:28" ht="22.15" customHeight="1" x14ac:dyDescent="0.25">
      <c r="H1349" s="346"/>
      <c r="O1349" s="347"/>
      <c r="Y1349" s="20">
        <f t="shared" si="79"/>
        <v>0</v>
      </c>
      <c r="AA1349" s="98">
        <f t="shared" si="77"/>
        <v>0</v>
      </c>
      <c r="AB1349" s="350">
        <f t="shared" si="78"/>
        <v>0</v>
      </c>
    </row>
    <row r="1350" spans="8:28" ht="22.15" customHeight="1" x14ac:dyDescent="0.25">
      <c r="H1350" s="346"/>
      <c r="O1350" s="347"/>
      <c r="Y1350" s="20">
        <f t="shared" si="79"/>
        <v>0</v>
      </c>
      <c r="AA1350" s="98">
        <f t="shared" si="77"/>
        <v>0</v>
      </c>
      <c r="AB1350" s="350">
        <f t="shared" si="78"/>
        <v>0</v>
      </c>
    </row>
    <row r="1351" spans="8:28" ht="22.15" customHeight="1" x14ac:dyDescent="0.25">
      <c r="H1351" s="346"/>
      <c r="O1351" s="347"/>
      <c r="Y1351" s="20">
        <f t="shared" si="79"/>
        <v>0</v>
      </c>
      <c r="AA1351" s="98">
        <f t="shared" si="77"/>
        <v>0</v>
      </c>
      <c r="AB1351" s="350">
        <f t="shared" si="78"/>
        <v>0</v>
      </c>
    </row>
    <row r="1352" spans="8:28" ht="22.15" customHeight="1" x14ac:dyDescent="0.25">
      <c r="H1352" s="346"/>
      <c r="O1352" s="347"/>
      <c r="Y1352" s="20">
        <f t="shared" si="79"/>
        <v>0</v>
      </c>
      <c r="AA1352" s="98">
        <f t="shared" si="77"/>
        <v>0</v>
      </c>
      <c r="AB1352" s="350">
        <f t="shared" si="78"/>
        <v>0</v>
      </c>
    </row>
    <row r="1353" spans="8:28" ht="22.15" customHeight="1" x14ac:dyDescent="0.25">
      <c r="H1353" s="346"/>
      <c r="O1353" s="347"/>
      <c r="Y1353" s="20">
        <f t="shared" si="79"/>
        <v>0</v>
      </c>
      <c r="AA1353" s="98">
        <f t="shared" si="77"/>
        <v>0</v>
      </c>
      <c r="AB1353" s="350">
        <f t="shared" si="78"/>
        <v>0</v>
      </c>
    </row>
    <row r="1354" spans="8:28" ht="22.15" customHeight="1" x14ac:dyDescent="0.25">
      <c r="H1354" s="346"/>
      <c r="O1354" s="347"/>
      <c r="Y1354" s="20">
        <f t="shared" si="79"/>
        <v>0</v>
      </c>
      <c r="AA1354" s="98">
        <f t="shared" si="77"/>
        <v>0</v>
      </c>
      <c r="AB1354" s="350">
        <f t="shared" si="78"/>
        <v>0</v>
      </c>
    </row>
    <row r="1355" spans="8:28" ht="22.15" customHeight="1" x14ac:dyDescent="0.25">
      <c r="H1355" s="346"/>
      <c r="O1355" s="347"/>
      <c r="Y1355" s="20">
        <f t="shared" si="79"/>
        <v>0</v>
      </c>
      <c r="AA1355" s="98">
        <f t="shared" si="77"/>
        <v>0</v>
      </c>
      <c r="AB1355" s="350">
        <f t="shared" si="78"/>
        <v>0</v>
      </c>
    </row>
    <row r="1356" spans="8:28" ht="22.15" customHeight="1" x14ac:dyDescent="0.25">
      <c r="H1356" s="346"/>
      <c r="O1356" s="347"/>
      <c r="Y1356" s="20">
        <f t="shared" si="79"/>
        <v>0</v>
      </c>
      <c r="AA1356" s="98">
        <f t="shared" si="77"/>
        <v>0</v>
      </c>
      <c r="AB1356" s="350">
        <f t="shared" si="78"/>
        <v>0</v>
      </c>
    </row>
    <row r="1357" spans="8:28" ht="22.15" customHeight="1" x14ac:dyDescent="0.25">
      <c r="H1357" s="346"/>
      <c r="O1357" s="347"/>
      <c r="Y1357" s="20">
        <f t="shared" si="79"/>
        <v>0</v>
      </c>
      <c r="AA1357" s="98">
        <f t="shared" si="77"/>
        <v>0</v>
      </c>
      <c r="AB1357" s="350">
        <f t="shared" si="78"/>
        <v>0</v>
      </c>
    </row>
    <row r="1358" spans="8:28" ht="22.15" customHeight="1" x14ac:dyDescent="0.25">
      <c r="H1358" s="346"/>
      <c r="O1358" s="347"/>
      <c r="Y1358" s="20">
        <f t="shared" si="79"/>
        <v>0</v>
      </c>
      <c r="AA1358" s="98">
        <f t="shared" si="77"/>
        <v>0</v>
      </c>
      <c r="AB1358" s="350">
        <f t="shared" si="78"/>
        <v>0</v>
      </c>
    </row>
    <row r="1359" spans="8:28" ht="22.15" customHeight="1" x14ac:dyDescent="0.25">
      <c r="H1359" s="346"/>
      <c r="O1359" s="347"/>
      <c r="Y1359" s="20">
        <f t="shared" si="79"/>
        <v>0</v>
      </c>
      <c r="AA1359" s="98">
        <f t="shared" si="77"/>
        <v>0</v>
      </c>
      <c r="AB1359" s="350">
        <f t="shared" si="78"/>
        <v>0</v>
      </c>
    </row>
    <row r="1360" spans="8:28" ht="22.15" customHeight="1" x14ac:dyDescent="0.25">
      <c r="H1360" s="346"/>
      <c r="O1360" s="347"/>
      <c r="Y1360" s="20">
        <f t="shared" si="79"/>
        <v>0</v>
      </c>
      <c r="AA1360" s="98">
        <f t="shared" si="77"/>
        <v>0</v>
      </c>
      <c r="AB1360" s="350">
        <f t="shared" si="78"/>
        <v>0</v>
      </c>
    </row>
    <row r="1361" spans="8:28" ht="22.15" customHeight="1" x14ac:dyDescent="0.25">
      <c r="H1361" s="346"/>
      <c r="O1361" s="347"/>
      <c r="Y1361" s="20">
        <f t="shared" si="79"/>
        <v>0</v>
      </c>
      <c r="AA1361" s="98">
        <f t="shared" si="77"/>
        <v>0</v>
      </c>
      <c r="AB1361" s="350">
        <f t="shared" si="78"/>
        <v>0</v>
      </c>
    </row>
    <row r="1362" spans="8:28" ht="22.15" customHeight="1" x14ac:dyDescent="0.25">
      <c r="H1362" s="346"/>
      <c r="O1362" s="347"/>
      <c r="Y1362" s="20">
        <f t="shared" si="79"/>
        <v>0</v>
      </c>
      <c r="AA1362" s="98">
        <f t="shared" si="77"/>
        <v>0</v>
      </c>
      <c r="AB1362" s="350">
        <f t="shared" si="78"/>
        <v>0</v>
      </c>
    </row>
    <row r="1363" spans="8:28" ht="22.15" customHeight="1" x14ac:dyDescent="0.25">
      <c r="H1363" s="346"/>
      <c r="O1363" s="347"/>
      <c r="Y1363" s="20">
        <f t="shared" si="79"/>
        <v>0</v>
      </c>
      <c r="AA1363" s="98">
        <f t="shared" si="77"/>
        <v>0</v>
      </c>
      <c r="AB1363" s="350">
        <f t="shared" si="78"/>
        <v>0</v>
      </c>
    </row>
    <row r="1364" spans="8:28" ht="22.15" customHeight="1" x14ac:dyDescent="0.25">
      <c r="H1364" s="346"/>
      <c r="O1364" s="347"/>
      <c r="Y1364" s="20">
        <f t="shared" si="79"/>
        <v>0</v>
      </c>
      <c r="AA1364" s="98">
        <f t="shared" si="77"/>
        <v>0</v>
      </c>
      <c r="AB1364" s="350">
        <f t="shared" si="78"/>
        <v>0</v>
      </c>
    </row>
    <row r="1365" spans="8:28" ht="22.15" customHeight="1" x14ac:dyDescent="0.25">
      <c r="H1365" s="346"/>
      <c r="O1365" s="347"/>
      <c r="Y1365" s="20">
        <f t="shared" si="79"/>
        <v>0</v>
      </c>
      <c r="AA1365" s="98">
        <f t="shared" si="77"/>
        <v>0</v>
      </c>
      <c r="AB1365" s="350">
        <f t="shared" si="78"/>
        <v>0</v>
      </c>
    </row>
    <row r="1366" spans="8:28" ht="22.15" customHeight="1" x14ac:dyDescent="0.25">
      <c r="H1366" s="346"/>
      <c r="O1366" s="347"/>
      <c r="Y1366" s="20">
        <f t="shared" si="79"/>
        <v>0</v>
      </c>
      <c r="AA1366" s="98">
        <f t="shared" si="77"/>
        <v>0</v>
      </c>
      <c r="AB1366" s="350">
        <f t="shared" si="78"/>
        <v>0</v>
      </c>
    </row>
    <row r="1367" spans="8:28" ht="22.15" customHeight="1" x14ac:dyDescent="0.25">
      <c r="H1367" s="346"/>
      <c r="O1367" s="347"/>
      <c r="Y1367" s="20">
        <f t="shared" ref="Y1367:Y1388" si="80">COUNTIF(K:K,K1267)</f>
        <v>0</v>
      </c>
      <c r="AA1367" s="98">
        <f t="shared" ref="AA1367:AA1388" si="81">H1267-I1267</f>
        <v>0</v>
      </c>
      <c r="AB1367" s="350">
        <f t="shared" ref="AB1367:AB1388" si="82">R1267-H1267</f>
        <v>0</v>
      </c>
    </row>
    <row r="1368" spans="8:28" ht="22.15" customHeight="1" x14ac:dyDescent="0.25">
      <c r="H1368" s="346"/>
      <c r="O1368" s="347"/>
      <c r="Y1368" s="20">
        <f t="shared" si="80"/>
        <v>0</v>
      </c>
      <c r="AA1368" s="98">
        <f t="shared" si="81"/>
        <v>0</v>
      </c>
      <c r="AB1368" s="350">
        <f t="shared" si="82"/>
        <v>0</v>
      </c>
    </row>
    <row r="1369" spans="8:28" ht="22.15" customHeight="1" x14ac:dyDescent="0.25">
      <c r="H1369" s="346"/>
      <c r="O1369" s="347"/>
      <c r="Y1369" s="20">
        <f t="shared" si="80"/>
        <v>0</v>
      </c>
      <c r="AA1369" s="98">
        <f t="shared" si="81"/>
        <v>0</v>
      </c>
      <c r="AB1369" s="350">
        <f t="shared" si="82"/>
        <v>0</v>
      </c>
    </row>
    <row r="1370" spans="8:28" ht="22.15" customHeight="1" x14ac:dyDescent="0.25">
      <c r="H1370" s="346"/>
      <c r="O1370" s="347"/>
      <c r="Y1370" s="20">
        <f t="shared" si="80"/>
        <v>0</v>
      </c>
      <c r="AA1370" s="98">
        <f t="shared" si="81"/>
        <v>0</v>
      </c>
      <c r="AB1370" s="350">
        <f t="shared" si="82"/>
        <v>0</v>
      </c>
    </row>
    <row r="1371" spans="8:28" ht="22.15" customHeight="1" x14ac:dyDescent="0.25">
      <c r="H1371" s="346"/>
      <c r="O1371" s="347"/>
      <c r="Y1371" s="20">
        <f t="shared" si="80"/>
        <v>0</v>
      </c>
      <c r="AA1371" s="98">
        <f t="shared" si="81"/>
        <v>0</v>
      </c>
      <c r="AB1371" s="350">
        <f t="shared" si="82"/>
        <v>0</v>
      </c>
    </row>
    <row r="1372" spans="8:28" ht="22.15" customHeight="1" x14ac:dyDescent="0.25">
      <c r="H1372" s="346"/>
      <c r="O1372" s="347"/>
      <c r="Y1372" s="20">
        <f t="shared" si="80"/>
        <v>0</v>
      </c>
      <c r="AA1372" s="98">
        <f t="shared" si="81"/>
        <v>0</v>
      </c>
      <c r="AB1372" s="350">
        <f t="shared" si="82"/>
        <v>0</v>
      </c>
    </row>
    <row r="1373" spans="8:28" ht="22.15" customHeight="1" x14ac:dyDescent="0.25">
      <c r="H1373" s="346"/>
      <c r="O1373" s="347"/>
      <c r="Y1373" s="20">
        <f t="shared" si="80"/>
        <v>0</v>
      </c>
      <c r="AA1373" s="98">
        <f t="shared" si="81"/>
        <v>0</v>
      </c>
      <c r="AB1373" s="350">
        <f t="shared" si="82"/>
        <v>0</v>
      </c>
    </row>
    <row r="1374" spans="8:28" ht="22.15" customHeight="1" x14ac:dyDescent="0.25">
      <c r="H1374" s="346"/>
      <c r="O1374" s="347"/>
      <c r="Y1374" s="20">
        <f t="shared" si="80"/>
        <v>0</v>
      </c>
      <c r="AA1374" s="98">
        <f t="shared" si="81"/>
        <v>0</v>
      </c>
      <c r="AB1374" s="350">
        <f t="shared" si="82"/>
        <v>0</v>
      </c>
    </row>
    <row r="1375" spans="8:28" ht="22.15" customHeight="1" x14ac:dyDescent="0.25">
      <c r="H1375" s="346"/>
      <c r="O1375" s="347"/>
      <c r="Y1375" s="20">
        <f t="shared" si="80"/>
        <v>0</v>
      </c>
      <c r="AA1375" s="98">
        <f t="shared" si="81"/>
        <v>0</v>
      </c>
      <c r="AB1375" s="350">
        <f t="shared" si="82"/>
        <v>0</v>
      </c>
    </row>
    <row r="1376" spans="8:28" ht="22.15" customHeight="1" x14ac:dyDescent="0.25">
      <c r="H1376" s="346"/>
      <c r="O1376" s="347"/>
      <c r="Y1376" s="20">
        <f t="shared" si="80"/>
        <v>0</v>
      </c>
      <c r="AA1376" s="98">
        <f t="shared" si="81"/>
        <v>0</v>
      </c>
      <c r="AB1376" s="350">
        <f t="shared" si="82"/>
        <v>0</v>
      </c>
    </row>
    <row r="1377" spans="8:28" ht="22.15" customHeight="1" x14ac:dyDescent="0.25">
      <c r="H1377" s="346"/>
      <c r="O1377" s="347"/>
      <c r="Y1377" s="20">
        <f t="shared" si="80"/>
        <v>0</v>
      </c>
      <c r="AA1377" s="98">
        <f t="shared" si="81"/>
        <v>0</v>
      </c>
      <c r="AB1377" s="350">
        <f t="shared" si="82"/>
        <v>0</v>
      </c>
    </row>
    <row r="1378" spans="8:28" ht="22.15" customHeight="1" x14ac:dyDescent="0.25">
      <c r="H1378" s="346"/>
      <c r="O1378" s="347"/>
      <c r="Y1378" s="20">
        <f t="shared" si="80"/>
        <v>0</v>
      </c>
      <c r="AA1378" s="98">
        <f t="shared" si="81"/>
        <v>0</v>
      </c>
      <c r="AB1378" s="350">
        <f t="shared" si="82"/>
        <v>0</v>
      </c>
    </row>
    <row r="1379" spans="8:28" ht="22.15" customHeight="1" x14ac:dyDescent="0.25">
      <c r="H1379" s="346"/>
      <c r="O1379" s="347"/>
      <c r="Y1379" s="20">
        <f t="shared" si="80"/>
        <v>0</v>
      </c>
      <c r="AA1379" s="98">
        <f t="shared" si="81"/>
        <v>0</v>
      </c>
      <c r="AB1379" s="350">
        <f t="shared" si="82"/>
        <v>0</v>
      </c>
    </row>
    <row r="1380" spans="8:28" ht="22.15" customHeight="1" x14ac:dyDescent="0.25">
      <c r="H1380" s="346"/>
      <c r="O1380" s="347"/>
      <c r="Y1380" s="20">
        <f t="shared" si="80"/>
        <v>0</v>
      </c>
      <c r="AA1380" s="98">
        <f t="shared" si="81"/>
        <v>0</v>
      </c>
      <c r="AB1380" s="350">
        <f t="shared" si="82"/>
        <v>0</v>
      </c>
    </row>
    <row r="1381" spans="8:28" ht="22.15" customHeight="1" x14ac:dyDescent="0.25">
      <c r="H1381" s="346"/>
      <c r="O1381" s="347"/>
      <c r="Y1381" s="20">
        <f t="shared" si="80"/>
        <v>0</v>
      </c>
      <c r="AA1381" s="98">
        <f t="shared" si="81"/>
        <v>0</v>
      </c>
      <c r="AB1381" s="350">
        <f t="shared" si="82"/>
        <v>0</v>
      </c>
    </row>
    <row r="1382" spans="8:28" ht="22.15" customHeight="1" x14ac:dyDescent="0.25">
      <c r="H1382" s="346"/>
      <c r="O1382" s="347"/>
      <c r="Y1382" s="20">
        <f t="shared" si="80"/>
        <v>0</v>
      </c>
      <c r="AA1382" s="98">
        <f t="shared" si="81"/>
        <v>0</v>
      </c>
      <c r="AB1382" s="350">
        <f t="shared" si="82"/>
        <v>0</v>
      </c>
    </row>
    <row r="1383" spans="8:28" ht="22.15" customHeight="1" x14ac:dyDescent="0.25">
      <c r="H1383" s="346"/>
      <c r="O1383" s="347"/>
      <c r="Y1383" s="20">
        <f t="shared" si="80"/>
        <v>0</v>
      </c>
      <c r="AA1383" s="98">
        <f t="shared" si="81"/>
        <v>0</v>
      </c>
      <c r="AB1383" s="350">
        <f t="shared" si="82"/>
        <v>0</v>
      </c>
    </row>
    <row r="1384" spans="8:28" ht="22.15" customHeight="1" x14ac:dyDescent="0.25">
      <c r="H1384" s="346"/>
      <c r="O1384" s="347"/>
      <c r="Y1384" s="20">
        <f t="shared" si="80"/>
        <v>0</v>
      </c>
      <c r="AA1384" s="98">
        <f t="shared" si="81"/>
        <v>0</v>
      </c>
      <c r="AB1384" s="350">
        <f t="shared" si="82"/>
        <v>0</v>
      </c>
    </row>
    <row r="1385" spans="8:28" ht="22.15" customHeight="1" x14ac:dyDescent="0.25">
      <c r="H1385" s="346"/>
      <c r="O1385" s="347"/>
      <c r="Y1385" s="20">
        <f t="shared" si="80"/>
        <v>0</v>
      </c>
      <c r="AA1385" s="98">
        <f t="shared" si="81"/>
        <v>0</v>
      </c>
      <c r="AB1385" s="350">
        <f t="shared" si="82"/>
        <v>0</v>
      </c>
    </row>
    <row r="1386" spans="8:28" ht="22.15" customHeight="1" x14ac:dyDescent="0.25">
      <c r="H1386" s="346"/>
      <c r="O1386" s="347"/>
      <c r="Y1386" s="20">
        <f t="shared" si="80"/>
        <v>0</v>
      </c>
      <c r="AA1386" s="98">
        <f t="shared" si="81"/>
        <v>0</v>
      </c>
      <c r="AB1386" s="350">
        <f t="shared" si="82"/>
        <v>0</v>
      </c>
    </row>
    <row r="1387" spans="8:28" ht="22.15" customHeight="1" x14ac:dyDescent="0.25">
      <c r="H1387" s="346"/>
      <c r="O1387" s="347"/>
      <c r="Y1387" s="20">
        <f t="shared" si="80"/>
        <v>0</v>
      </c>
      <c r="AA1387" s="98">
        <f t="shared" si="81"/>
        <v>0</v>
      </c>
      <c r="AB1387" s="350">
        <f t="shared" si="82"/>
        <v>0</v>
      </c>
    </row>
    <row r="1388" spans="8:28" ht="22.15" customHeight="1" x14ac:dyDescent="0.25">
      <c r="H1388" s="346"/>
      <c r="O1388" s="347"/>
      <c r="Y1388" s="20">
        <f t="shared" si="80"/>
        <v>0</v>
      </c>
      <c r="AA1388" s="98">
        <f t="shared" si="81"/>
        <v>0</v>
      </c>
      <c r="AB1388" s="350">
        <f t="shared" si="82"/>
        <v>0</v>
      </c>
    </row>
    <row r="1389" spans="8:28" ht="22.15" customHeight="1" x14ac:dyDescent="0.25">
      <c r="H1389" s="346"/>
      <c r="O1389" s="347"/>
      <c r="Y1389" s="20">
        <f t="shared" ref="Y1389:Y1399" si="83">COUNTIF(K:K,K1389)</f>
        <v>0</v>
      </c>
      <c r="AA1389" s="98">
        <f t="shared" ref="AA1389:AA1452" si="84">H1389-I1389</f>
        <v>0</v>
      </c>
      <c r="AB1389" s="350">
        <f t="shared" ref="AB1389:AB1452" si="85">R1389-H1389</f>
        <v>0</v>
      </c>
    </row>
    <row r="1390" spans="8:28" ht="22.15" customHeight="1" x14ac:dyDescent="0.25">
      <c r="H1390" s="346"/>
      <c r="O1390" s="347"/>
      <c r="Y1390" s="20">
        <f t="shared" si="83"/>
        <v>0</v>
      </c>
      <c r="AA1390" s="98">
        <f t="shared" si="84"/>
        <v>0</v>
      </c>
      <c r="AB1390" s="350">
        <f t="shared" si="85"/>
        <v>0</v>
      </c>
    </row>
    <row r="1391" spans="8:28" ht="22.15" customHeight="1" x14ac:dyDescent="0.25">
      <c r="H1391" s="346"/>
      <c r="O1391" s="347"/>
      <c r="Y1391" s="20">
        <f t="shared" si="83"/>
        <v>0</v>
      </c>
      <c r="AA1391" s="98">
        <f t="shared" si="84"/>
        <v>0</v>
      </c>
      <c r="AB1391" s="350">
        <f t="shared" si="85"/>
        <v>0</v>
      </c>
    </row>
    <row r="1392" spans="8:28" ht="22.15" customHeight="1" x14ac:dyDescent="0.25">
      <c r="H1392" s="346"/>
      <c r="O1392" s="347"/>
      <c r="Y1392" s="20">
        <f t="shared" si="83"/>
        <v>0</v>
      </c>
      <c r="AA1392" s="98">
        <f t="shared" si="84"/>
        <v>0</v>
      </c>
      <c r="AB1392" s="350">
        <f t="shared" si="85"/>
        <v>0</v>
      </c>
    </row>
    <row r="1393" spans="8:28" ht="22.15" customHeight="1" x14ac:dyDescent="0.25">
      <c r="H1393" s="346"/>
      <c r="O1393" s="347"/>
      <c r="Y1393" s="20">
        <f t="shared" si="83"/>
        <v>0</v>
      </c>
      <c r="AA1393" s="98">
        <f t="shared" si="84"/>
        <v>0</v>
      </c>
      <c r="AB1393" s="350">
        <f t="shared" si="85"/>
        <v>0</v>
      </c>
    </row>
    <row r="1394" spans="8:28" ht="22.15" customHeight="1" x14ac:dyDescent="0.25">
      <c r="H1394" s="346"/>
      <c r="O1394" s="347"/>
      <c r="Y1394" s="20">
        <f t="shared" si="83"/>
        <v>0</v>
      </c>
      <c r="AA1394" s="98">
        <f t="shared" si="84"/>
        <v>0</v>
      </c>
      <c r="AB1394" s="350">
        <f t="shared" si="85"/>
        <v>0</v>
      </c>
    </row>
    <row r="1395" spans="8:28" ht="22.15" customHeight="1" x14ac:dyDescent="0.25">
      <c r="H1395" s="346"/>
      <c r="O1395" s="347"/>
      <c r="Y1395" s="20">
        <f t="shared" si="83"/>
        <v>0</v>
      </c>
      <c r="AA1395" s="98">
        <f t="shared" si="84"/>
        <v>0</v>
      </c>
      <c r="AB1395" s="350">
        <f t="shared" si="85"/>
        <v>0</v>
      </c>
    </row>
    <row r="1396" spans="8:28" ht="22.15" customHeight="1" x14ac:dyDescent="0.25">
      <c r="H1396" s="346"/>
      <c r="O1396" s="347"/>
      <c r="Y1396" s="20">
        <f t="shared" si="83"/>
        <v>0</v>
      </c>
      <c r="AA1396" s="98">
        <f t="shared" si="84"/>
        <v>0</v>
      </c>
      <c r="AB1396" s="350">
        <f t="shared" si="85"/>
        <v>0</v>
      </c>
    </row>
    <row r="1397" spans="8:28" ht="22.15" customHeight="1" x14ac:dyDescent="0.25">
      <c r="H1397" s="346"/>
      <c r="O1397" s="347"/>
      <c r="Y1397" s="20">
        <f t="shared" si="83"/>
        <v>0</v>
      </c>
      <c r="AA1397" s="98">
        <f t="shared" si="84"/>
        <v>0</v>
      </c>
      <c r="AB1397" s="350">
        <f t="shared" si="85"/>
        <v>0</v>
      </c>
    </row>
    <row r="1398" spans="8:28" ht="22.15" customHeight="1" x14ac:dyDescent="0.25">
      <c r="H1398" s="346"/>
      <c r="O1398" s="347"/>
      <c r="Y1398" s="20">
        <f t="shared" si="83"/>
        <v>0</v>
      </c>
      <c r="AA1398" s="98">
        <f t="shared" si="84"/>
        <v>0</v>
      </c>
      <c r="AB1398" s="350">
        <f t="shared" si="85"/>
        <v>0</v>
      </c>
    </row>
    <row r="1399" spans="8:28" ht="22.15" customHeight="1" x14ac:dyDescent="0.25">
      <c r="H1399" s="346"/>
      <c r="O1399" s="347"/>
      <c r="Y1399" s="20">
        <f t="shared" si="83"/>
        <v>0</v>
      </c>
      <c r="AA1399" s="98">
        <f t="shared" si="84"/>
        <v>0</v>
      </c>
      <c r="AB1399" s="350">
        <f t="shared" si="85"/>
        <v>0</v>
      </c>
    </row>
    <row r="1400" spans="8:28" ht="22.15" customHeight="1" x14ac:dyDescent="0.25">
      <c r="H1400" s="346"/>
      <c r="O1400" s="347"/>
      <c r="Y1400" s="20">
        <f>COUNTIF(K:K,K1399)</f>
        <v>0</v>
      </c>
      <c r="AA1400" s="98">
        <f>H1399-I1399</f>
        <v>0</v>
      </c>
      <c r="AB1400" s="350">
        <f>R1399-H1399</f>
        <v>0</v>
      </c>
    </row>
    <row r="1401" spans="8:28" ht="22.15" customHeight="1" x14ac:dyDescent="0.25">
      <c r="H1401" s="346"/>
      <c r="O1401" s="347"/>
      <c r="Y1401" s="20">
        <f>COUNTIF(K:K,K1400)</f>
        <v>0</v>
      </c>
      <c r="AA1401" s="98">
        <f>H1400-I1400</f>
        <v>0</v>
      </c>
      <c r="AB1401" s="350">
        <f>R1400-H1400</f>
        <v>0</v>
      </c>
    </row>
    <row r="1402" spans="8:28" ht="22.15" customHeight="1" x14ac:dyDescent="0.25">
      <c r="H1402" s="346"/>
      <c r="O1402" s="347"/>
      <c r="Y1402" s="20">
        <f>COUNTIF(K:K,K1401)</f>
        <v>0</v>
      </c>
      <c r="AA1402" s="98">
        <f>H1401-I1401</f>
        <v>0</v>
      </c>
      <c r="AB1402" s="350">
        <f>R1401-H1401</f>
        <v>0</v>
      </c>
    </row>
    <row r="1403" spans="8:28" ht="22.15" customHeight="1" x14ac:dyDescent="0.25">
      <c r="H1403" s="346"/>
      <c r="O1403" s="347"/>
      <c r="Y1403" s="20">
        <f t="shared" ref="Y1403:Y1434" si="86">COUNTIF(K:K,K1403)</f>
        <v>0</v>
      </c>
      <c r="AA1403" s="98">
        <f t="shared" si="84"/>
        <v>0</v>
      </c>
      <c r="AB1403" s="350">
        <f t="shared" si="85"/>
        <v>0</v>
      </c>
    </row>
    <row r="1404" spans="8:28" ht="22.15" customHeight="1" x14ac:dyDescent="0.25">
      <c r="H1404" s="346"/>
      <c r="O1404" s="347"/>
      <c r="Y1404" s="20">
        <f t="shared" si="86"/>
        <v>0</v>
      </c>
      <c r="AA1404" s="98">
        <f t="shared" si="84"/>
        <v>0</v>
      </c>
      <c r="AB1404" s="350">
        <f t="shared" si="85"/>
        <v>0</v>
      </c>
    </row>
    <row r="1405" spans="8:28" ht="22.15" customHeight="1" x14ac:dyDescent="0.25">
      <c r="H1405" s="346"/>
      <c r="O1405" s="347"/>
      <c r="Y1405" s="20">
        <f t="shared" si="86"/>
        <v>0</v>
      </c>
      <c r="AA1405" s="98">
        <f t="shared" si="84"/>
        <v>0</v>
      </c>
      <c r="AB1405" s="350">
        <f t="shared" si="85"/>
        <v>0</v>
      </c>
    </row>
    <row r="1406" spans="8:28" ht="22.15" customHeight="1" x14ac:dyDescent="0.25">
      <c r="H1406" s="346"/>
      <c r="O1406" s="347"/>
      <c r="Y1406" s="20">
        <f t="shared" si="86"/>
        <v>0</v>
      </c>
      <c r="AA1406" s="98">
        <f t="shared" si="84"/>
        <v>0</v>
      </c>
      <c r="AB1406" s="350">
        <f t="shared" si="85"/>
        <v>0</v>
      </c>
    </row>
    <row r="1407" spans="8:28" ht="22.15" customHeight="1" x14ac:dyDescent="0.25">
      <c r="H1407" s="346"/>
      <c r="O1407" s="347"/>
      <c r="Y1407" s="20">
        <f t="shared" si="86"/>
        <v>0</v>
      </c>
      <c r="AA1407" s="98">
        <f t="shared" si="84"/>
        <v>0</v>
      </c>
      <c r="AB1407" s="350">
        <f t="shared" si="85"/>
        <v>0</v>
      </c>
    </row>
    <row r="1408" spans="8:28" ht="22.15" customHeight="1" x14ac:dyDescent="0.25">
      <c r="H1408" s="346"/>
      <c r="O1408" s="347"/>
      <c r="Y1408" s="20">
        <f t="shared" si="86"/>
        <v>0</v>
      </c>
      <c r="AA1408" s="98">
        <f t="shared" si="84"/>
        <v>0</v>
      </c>
      <c r="AB1408" s="350">
        <f t="shared" si="85"/>
        <v>0</v>
      </c>
    </row>
    <row r="1409" spans="8:28" ht="22.15" customHeight="1" x14ac:dyDescent="0.25">
      <c r="H1409" s="346"/>
      <c r="O1409" s="347"/>
      <c r="Y1409" s="20">
        <f t="shared" si="86"/>
        <v>0</v>
      </c>
      <c r="AA1409" s="98">
        <f t="shared" si="84"/>
        <v>0</v>
      </c>
      <c r="AB1409" s="350">
        <f t="shared" si="85"/>
        <v>0</v>
      </c>
    </row>
    <row r="1410" spans="8:28" ht="22.15" customHeight="1" x14ac:dyDescent="0.25">
      <c r="H1410" s="346"/>
      <c r="O1410" s="347"/>
      <c r="Y1410" s="20">
        <f t="shared" si="86"/>
        <v>0</v>
      </c>
      <c r="AA1410" s="98">
        <f t="shared" si="84"/>
        <v>0</v>
      </c>
      <c r="AB1410" s="350">
        <f t="shared" si="85"/>
        <v>0</v>
      </c>
    </row>
    <row r="1411" spans="8:28" ht="22.15" customHeight="1" x14ac:dyDescent="0.25">
      <c r="H1411" s="346"/>
      <c r="O1411" s="347"/>
      <c r="Y1411" s="20">
        <f t="shared" si="86"/>
        <v>0</v>
      </c>
      <c r="AA1411" s="98">
        <f t="shared" si="84"/>
        <v>0</v>
      </c>
      <c r="AB1411" s="350">
        <f t="shared" si="85"/>
        <v>0</v>
      </c>
    </row>
    <row r="1412" spans="8:28" ht="22.15" customHeight="1" x14ac:dyDescent="0.25">
      <c r="H1412" s="346"/>
      <c r="O1412" s="347"/>
      <c r="Y1412" s="20">
        <f t="shared" si="86"/>
        <v>0</v>
      </c>
      <c r="AA1412" s="98">
        <f t="shared" si="84"/>
        <v>0</v>
      </c>
      <c r="AB1412" s="350">
        <f t="shared" si="85"/>
        <v>0</v>
      </c>
    </row>
    <row r="1413" spans="8:28" ht="22.15" customHeight="1" x14ac:dyDescent="0.25">
      <c r="H1413" s="346"/>
      <c r="O1413" s="347"/>
      <c r="Y1413" s="20">
        <f t="shared" si="86"/>
        <v>0</v>
      </c>
      <c r="AA1413" s="98">
        <f t="shared" si="84"/>
        <v>0</v>
      </c>
      <c r="AB1413" s="350">
        <f t="shared" si="85"/>
        <v>0</v>
      </c>
    </row>
    <row r="1414" spans="8:28" ht="22.15" customHeight="1" x14ac:dyDescent="0.25">
      <c r="H1414" s="346"/>
      <c r="O1414" s="347"/>
      <c r="Y1414" s="20">
        <f t="shared" si="86"/>
        <v>0</v>
      </c>
      <c r="AA1414" s="98">
        <f t="shared" si="84"/>
        <v>0</v>
      </c>
      <c r="AB1414" s="350">
        <f t="shared" si="85"/>
        <v>0</v>
      </c>
    </row>
    <row r="1415" spans="8:28" ht="22.15" customHeight="1" x14ac:dyDescent="0.25">
      <c r="H1415" s="346"/>
      <c r="O1415" s="347"/>
      <c r="Y1415" s="20">
        <f t="shared" si="86"/>
        <v>0</v>
      </c>
      <c r="AA1415" s="98">
        <f t="shared" si="84"/>
        <v>0</v>
      </c>
      <c r="AB1415" s="350">
        <f t="shared" si="85"/>
        <v>0</v>
      </c>
    </row>
    <row r="1416" spans="8:28" ht="22.15" customHeight="1" x14ac:dyDescent="0.25">
      <c r="H1416" s="346"/>
      <c r="O1416" s="347"/>
      <c r="Y1416" s="20">
        <f t="shared" si="86"/>
        <v>0</v>
      </c>
      <c r="AA1416" s="98">
        <f t="shared" si="84"/>
        <v>0</v>
      </c>
      <c r="AB1416" s="350">
        <f t="shared" si="85"/>
        <v>0</v>
      </c>
    </row>
    <row r="1417" spans="8:28" ht="22.15" customHeight="1" x14ac:dyDescent="0.25">
      <c r="H1417" s="346"/>
      <c r="O1417" s="347"/>
      <c r="Y1417" s="20">
        <f t="shared" si="86"/>
        <v>0</v>
      </c>
      <c r="AA1417" s="98">
        <f t="shared" si="84"/>
        <v>0</v>
      </c>
      <c r="AB1417" s="350">
        <f t="shared" si="85"/>
        <v>0</v>
      </c>
    </row>
    <row r="1418" spans="8:28" ht="22.15" customHeight="1" x14ac:dyDescent="0.25">
      <c r="H1418" s="346"/>
      <c r="O1418" s="347"/>
      <c r="Y1418" s="20">
        <f t="shared" si="86"/>
        <v>0</v>
      </c>
      <c r="AA1418" s="98">
        <f t="shared" si="84"/>
        <v>0</v>
      </c>
      <c r="AB1418" s="350">
        <f t="shared" si="85"/>
        <v>0</v>
      </c>
    </row>
    <row r="1419" spans="8:28" ht="22.15" customHeight="1" x14ac:dyDescent="0.25">
      <c r="H1419" s="346"/>
      <c r="O1419" s="347"/>
      <c r="Y1419" s="20">
        <f t="shared" si="86"/>
        <v>0</v>
      </c>
      <c r="AA1419" s="98">
        <f t="shared" si="84"/>
        <v>0</v>
      </c>
      <c r="AB1419" s="350">
        <f t="shared" si="85"/>
        <v>0</v>
      </c>
    </row>
    <row r="1420" spans="8:28" ht="22.15" customHeight="1" x14ac:dyDescent="0.25">
      <c r="H1420" s="346"/>
      <c r="O1420" s="347"/>
      <c r="Y1420" s="20">
        <f t="shared" si="86"/>
        <v>0</v>
      </c>
      <c r="AA1420" s="98">
        <f t="shared" si="84"/>
        <v>0</v>
      </c>
      <c r="AB1420" s="350">
        <f t="shared" si="85"/>
        <v>0</v>
      </c>
    </row>
    <row r="1421" spans="8:28" ht="22.15" customHeight="1" x14ac:dyDescent="0.25">
      <c r="H1421" s="346"/>
      <c r="O1421" s="347"/>
      <c r="Y1421" s="20">
        <f t="shared" si="86"/>
        <v>0</v>
      </c>
      <c r="AA1421" s="98">
        <f t="shared" si="84"/>
        <v>0</v>
      </c>
      <c r="AB1421" s="350">
        <f t="shared" si="85"/>
        <v>0</v>
      </c>
    </row>
    <row r="1422" spans="8:28" ht="22.15" customHeight="1" x14ac:dyDescent="0.25">
      <c r="H1422" s="346"/>
      <c r="O1422" s="347"/>
      <c r="Y1422" s="20">
        <f t="shared" si="86"/>
        <v>0</v>
      </c>
      <c r="AA1422" s="98">
        <f t="shared" si="84"/>
        <v>0</v>
      </c>
      <c r="AB1422" s="350">
        <f t="shared" si="85"/>
        <v>0</v>
      </c>
    </row>
    <row r="1423" spans="8:28" ht="22.15" customHeight="1" x14ac:dyDescent="0.25">
      <c r="H1423" s="346"/>
      <c r="O1423" s="347"/>
      <c r="Y1423" s="20">
        <f t="shared" si="86"/>
        <v>0</v>
      </c>
      <c r="AA1423" s="98">
        <f t="shared" si="84"/>
        <v>0</v>
      </c>
      <c r="AB1423" s="350">
        <f t="shared" si="85"/>
        <v>0</v>
      </c>
    </row>
    <row r="1424" spans="8:28" ht="22.15" customHeight="1" x14ac:dyDescent="0.25">
      <c r="H1424" s="346"/>
      <c r="O1424" s="347"/>
      <c r="Y1424" s="20">
        <f t="shared" si="86"/>
        <v>0</v>
      </c>
      <c r="AA1424" s="98">
        <f t="shared" si="84"/>
        <v>0</v>
      </c>
      <c r="AB1424" s="350">
        <f t="shared" si="85"/>
        <v>0</v>
      </c>
    </row>
    <row r="1425" spans="8:28" ht="22.15" customHeight="1" x14ac:dyDescent="0.25">
      <c r="H1425" s="346"/>
      <c r="O1425" s="347"/>
      <c r="Y1425" s="20">
        <f t="shared" si="86"/>
        <v>0</v>
      </c>
      <c r="AA1425" s="98">
        <f t="shared" si="84"/>
        <v>0</v>
      </c>
      <c r="AB1425" s="350">
        <f t="shared" si="85"/>
        <v>0</v>
      </c>
    </row>
    <row r="1426" spans="8:28" ht="22.15" customHeight="1" x14ac:dyDescent="0.25">
      <c r="H1426" s="346"/>
      <c r="O1426" s="347"/>
      <c r="Y1426" s="20">
        <f t="shared" si="86"/>
        <v>0</v>
      </c>
      <c r="AA1426" s="98">
        <f t="shared" si="84"/>
        <v>0</v>
      </c>
      <c r="AB1426" s="350">
        <f t="shared" si="85"/>
        <v>0</v>
      </c>
    </row>
    <row r="1427" spans="8:28" ht="22.15" customHeight="1" x14ac:dyDescent="0.25">
      <c r="H1427" s="346"/>
      <c r="O1427" s="347"/>
      <c r="Y1427" s="20">
        <f t="shared" si="86"/>
        <v>0</v>
      </c>
      <c r="AA1427" s="98">
        <f t="shared" si="84"/>
        <v>0</v>
      </c>
      <c r="AB1427" s="350">
        <f t="shared" si="85"/>
        <v>0</v>
      </c>
    </row>
    <row r="1428" spans="8:28" ht="22.15" customHeight="1" x14ac:dyDescent="0.25">
      <c r="H1428" s="346"/>
      <c r="O1428" s="347"/>
      <c r="Y1428" s="20">
        <f t="shared" si="86"/>
        <v>0</v>
      </c>
      <c r="AA1428" s="98">
        <f t="shared" si="84"/>
        <v>0</v>
      </c>
      <c r="AB1428" s="350">
        <f t="shared" si="85"/>
        <v>0</v>
      </c>
    </row>
    <row r="1429" spans="8:28" ht="22.15" customHeight="1" x14ac:dyDescent="0.25">
      <c r="H1429" s="346"/>
      <c r="O1429" s="347"/>
      <c r="Y1429" s="20">
        <f t="shared" si="86"/>
        <v>0</v>
      </c>
      <c r="AA1429" s="98">
        <f t="shared" si="84"/>
        <v>0</v>
      </c>
      <c r="AB1429" s="350">
        <f t="shared" si="85"/>
        <v>0</v>
      </c>
    </row>
    <row r="1430" spans="8:28" ht="22.15" customHeight="1" x14ac:dyDescent="0.25">
      <c r="H1430" s="346"/>
      <c r="O1430" s="347"/>
      <c r="Y1430" s="20">
        <f t="shared" si="86"/>
        <v>0</v>
      </c>
      <c r="AA1430" s="98">
        <f t="shared" si="84"/>
        <v>0</v>
      </c>
      <c r="AB1430" s="350">
        <f t="shared" si="85"/>
        <v>0</v>
      </c>
    </row>
    <row r="1431" spans="8:28" ht="22.15" customHeight="1" x14ac:dyDescent="0.25">
      <c r="H1431" s="346"/>
      <c r="O1431" s="347"/>
      <c r="Y1431" s="20">
        <f t="shared" si="86"/>
        <v>0</v>
      </c>
      <c r="AA1431" s="98">
        <f t="shared" si="84"/>
        <v>0</v>
      </c>
      <c r="AB1431" s="350">
        <f t="shared" si="85"/>
        <v>0</v>
      </c>
    </row>
    <row r="1432" spans="8:28" ht="22.15" customHeight="1" x14ac:dyDescent="0.25">
      <c r="H1432" s="346"/>
      <c r="O1432" s="347"/>
      <c r="Y1432" s="20">
        <f t="shared" si="86"/>
        <v>0</v>
      </c>
      <c r="AA1432" s="98">
        <f t="shared" si="84"/>
        <v>0</v>
      </c>
      <c r="AB1432" s="350">
        <f t="shared" si="85"/>
        <v>0</v>
      </c>
    </row>
    <row r="1433" spans="8:28" ht="22.15" customHeight="1" x14ac:dyDescent="0.25">
      <c r="H1433" s="346"/>
      <c r="O1433" s="347"/>
      <c r="Y1433" s="20">
        <f t="shared" si="86"/>
        <v>0</v>
      </c>
      <c r="AA1433" s="98">
        <f t="shared" si="84"/>
        <v>0</v>
      </c>
      <c r="AB1433" s="350">
        <f t="shared" si="85"/>
        <v>0</v>
      </c>
    </row>
    <row r="1434" spans="8:28" ht="22.15" customHeight="1" x14ac:dyDescent="0.25">
      <c r="H1434" s="346"/>
      <c r="O1434" s="347"/>
      <c r="Y1434" s="20">
        <f t="shared" si="86"/>
        <v>0</v>
      </c>
      <c r="AA1434" s="98">
        <f t="shared" si="84"/>
        <v>0</v>
      </c>
      <c r="AB1434" s="350">
        <f t="shared" si="85"/>
        <v>0</v>
      </c>
    </row>
    <row r="1435" spans="8:28" ht="22.15" customHeight="1" x14ac:dyDescent="0.25">
      <c r="H1435" s="346"/>
      <c r="O1435" s="347"/>
      <c r="Y1435" s="20">
        <f t="shared" ref="Y1435:Y1466" si="87">COUNTIF(K:K,K1435)</f>
        <v>0</v>
      </c>
      <c r="AA1435" s="98">
        <f t="shared" si="84"/>
        <v>0</v>
      </c>
      <c r="AB1435" s="350">
        <f t="shared" si="85"/>
        <v>0</v>
      </c>
    </row>
    <row r="1436" spans="8:28" ht="22.15" customHeight="1" x14ac:dyDescent="0.25">
      <c r="H1436" s="346"/>
      <c r="O1436" s="347"/>
      <c r="Y1436" s="20">
        <f t="shared" si="87"/>
        <v>0</v>
      </c>
      <c r="AA1436" s="98">
        <f t="shared" si="84"/>
        <v>0</v>
      </c>
      <c r="AB1436" s="350">
        <f t="shared" si="85"/>
        <v>0</v>
      </c>
    </row>
    <row r="1437" spans="8:28" ht="22.15" customHeight="1" x14ac:dyDescent="0.25">
      <c r="H1437" s="346"/>
      <c r="O1437" s="347"/>
      <c r="Y1437" s="20">
        <f t="shared" si="87"/>
        <v>0</v>
      </c>
      <c r="AA1437" s="98">
        <f t="shared" si="84"/>
        <v>0</v>
      </c>
      <c r="AB1437" s="350">
        <f t="shared" si="85"/>
        <v>0</v>
      </c>
    </row>
    <row r="1438" spans="8:28" ht="22.15" customHeight="1" x14ac:dyDescent="0.25">
      <c r="H1438" s="346"/>
      <c r="O1438" s="347"/>
      <c r="Y1438" s="20">
        <f t="shared" si="87"/>
        <v>0</v>
      </c>
      <c r="AA1438" s="98">
        <f t="shared" si="84"/>
        <v>0</v>
      </c>
      <c r="AB1438" s="350">
        <f t="shared" si="85"/>
        <v>0</v>
      </c>
    </row>
    <row r="1439" spans="8:28" ht="22.15" customHeight="1" x14ac:dyDescent="0.25">
      <c r="H1439" s="346"/>
      <c r="O1439" s="347"/>
      <c r="Y1439" s="20">
        <f t="shared" si="87"/>
        <v>0</v>
      </c>
      <c r="AA1439" s="98">
        <f t="shared" si="84"/>
        <v>0</v>
      </c>
      <c r="AB1439" s="350">
        <f t="shared" si="85"/>
        <v>0</v>
      </c>
    </row>
    <row r="1440" spans="8:28" ht="22.15" customHeight="1" x14ac:dyDescent="0.25">
      <c r="H1440" s="346"/>
      <c r="O1440" s="347"/>
      <c r="Y1440" s="20">
        <f t="shared" si="87"/>
        <v>0</v>
      </c>
      <c r="AA1440" s="98">
        <f t="shared" si="84"/>
        <v>0</v>
      </c>
      <c r="AB1440" s="350">
        <f t="shared" si="85"/>
        <v>0</v>
      </c>
    </row>
    <row r="1441" spans="8:28" ht="22.15" customHeight="1" x14ac:dyDescent="0.25">
      <c r="H1441" s="346"/>
      <c r="O1441" s="347"/>
      <c r="Y1441" s="20">
        <f t="shared" si="87"/>
        <v>0</v>
      </c>
      <c r="AA1441" s="98">
        <f t="shared" si="84"/>
        <v>0</v>
      </c>
      <c r="AB1441" s="350">
        <f t="shared" si="85"/>
        <v>0</v>
      </c>
    </row>
    <row r="1442" spans="8:28" ht="22.15" customHeight="1" x14ac:dyDescent="0.25">
      <c r="H1442" s="346"/>
      <c r="O1442" s="347"/>
      <c r="Y1442" s="20">
        <f t="shared" si="87"/>
        <v>0</v>
      </c>
      <c r="AA1442" s="98">
        <f t="shared" si="84"/>
        <v>0</v>
      </c>
      <c r="AB1442" s="350">
        <f t="shared" si="85"/>
        <v>0</v>
      </c>
    </row>
    <row r="1443" spans="8:28" ht="22.15" customHeight="1" x14ac:dyDescent="0.25">
      <c r="H1443" s="346"/>
      <c r="O1443" s="347"/>
      <c r="Y1443" s="20">
        <f t="shared" si="87"/>
        <v>0</v>
      </c>
      <c r="AA1443" s="98">
        <f t="shared" si="84"/>
        <v>0</v>
      </c>
      <c r="AB1443" s="350">
        <f t="shared" si="85"/>
        <v>0</v>
      </c>
    </row>
    <row r="1444" spans="8:28" ht="22.15" customHeight="1" x14ac:dyDescent="0.25">
      <c r="H1444" s="346"/>
      <c r="O1444" s="347"/>
      <c r="Y1444" s="20">
        <f t="shared" si="87"/>
        <v>0</v>
      </c>
      <c r="AA1444" s="98">
        <f t="shared" si="84"/>
        <v>0</v>
      </c>
      <c r="AB1444" s="350">
        <f t="shared" si="85"/>
        <v>0</v>
      </c>
    </row>
    <row r="1445" spans="8:28" ht="22.15" customHeight="1" x14ac:dyDescent="0.25">
      <c r="H1445" s="346"/>
      <c r="O1445" s="347"/>
      <c r="Y1445" s="20">
        <f t="shared" si="87"/>
        <v>0</v>
      </c>
      <c r="AA1445" s="98">
        <f t="shared" si="84"/>
        <v>0</v>
      </c>
      <c r="AB1445" s="350">
        <f t="shared" si="85"/>
        <v>0</v>
      </c>
    </row>
    <row r="1446" spans="8:28" ht="22.15" customHeight="1" x14ac:dyDescent="0.25">
      <c r="H1446" s="346"/>
      <c r="O1446" s="347"/>
      <c r="Y1446" s="20">
        <f t="shared" si="87"/>
        <v>0</v>
      </c>
      <c r="AA1446" s="98">
        <f t="shared" si="84"/>
        <v>0</v>
      </c>
      <c r="AB1446" s="350">
        <f t="shared" si="85"/>
        <v>0</v>
      </c>
    </row>
    <row r="1447" spans="8:28" ht="22.15" customHeight="1" x14ac:dyDescent="0.25">
      <c r="H1447" s="346"/>
      <c r="O1447" s="347"/>
      <c r="Y1447" s="20">
        <f t="shared" si="87"/>
        <v>0</v>
      </c>
      <c r="AA1447" s="98">
        <f t="shared" si="84"/>
        <v>0</v>
      </c>
      <c r="AB1447" s="350">
        <f t="shared" si="85"/>
        <v>0</v>
      </c>
    </row>
    <row r="1448" spans="8:28" ht="22.15" customHeight="1" x14ac:dyDescent="0.25">
      <c r="H1448" s="346"/>
      <c r="O1448" s="347"/>
      <c r="Y1448" s="20">
        <f t="shared" si="87"/>
        <v>0</v>
      </c>
      <c r="AA1448" s="98">
        <f t="shared" si="84"/>
        <v>0</v>
      </c>
      <c r="AB1448" s="350">
        <f t="shared" si="85"/>
        <v>0</v>
      </c>
    </row>
    <row r="1449" spans="8:28" ht="22.15" customHeight="1" x14ac:dyDescent="0.25">
      <c r="H1449" s="346"/>
      <c r="O1449" s="347"/>
      <c r="Y1449" s="20">
        <f t="shared" si="87"/>
        <v>0</v>
      </c>
      <c r="AA1449" s="98">
        <f t="shared" si="84"/>
        <v>0</v>
      </c>
      <c r="AB1449" s="350">
        <f t="shared" si="85"/>
        <v>0</v>
      </c>
    </row>
    <row r="1450" spans="8:28" ht="22.15" customHeight="1" x14ac:dyDescent="0.25">
      <c r="H1450" s="346"/>
      <c r="O1450" s="347"/>
      <c r="Y1450" s="20">
        <f t="shared" si="87"/>
        <v>0</v>
      </c>
      <c r="AA1450" s="98">
        <f t="shared" si="84"/>
        <v>0</v>
      </c>
      <c r="AB1450" s="350">
        <f t="shared" si="85"/>
        <v>0</v>
      </c>
    </row>
    <row r="1451" spans="8:28" ht="22.15" customHeight="1" x14ac:dyDescent="0.25">
      <c r="H1451" s="346"/>
      <c r="O1451" s="347"/>
      <c r="Y1451" s="20">
        <f t="shared" si="87"/>
        <v>0</v>
      </c>
      <c r="AA1451" s="98">
        <f t="shared" si="84"/>
        <v>0</v>
      </c>
      <c r="AB1451" s="350">
        <f t="shared" si="85"/>
        <v>0</v>
      </c>
    </row>
    <row r="1452" spans="8:28" ht="22.15" customHeight="1" x14ac:dyDescent="0.25">
      <c r="H1452" s="346"/>
      <c r="O1452" s="347"/>
      <c r="Y1452" s="20">
        <f t="shared" si="87"/>
        <v>0</v>
      </c>
      <c r="AA1452" s="98">
        <f t="shared" si="84"/>
        <v>0</v>
      </c>
      <c r="AB1452" s="350">
        <f t="shared" si="85"/>
        <v>0</v>
      </c>
    </row>
    <row r="1453" spans="8:28" ht="22.15" customHeight="1" x14ac:dyDescent="0.25">
      <c r="H1453" s="346"/>
      <c r="O1453" s="347"/>
      <c r="Y1453" s="20">
        <f t="shared" si="87"/>
        <v>0</v>
      </c>
      <c r="AA1453" s="98">
        <f t="shared" ref="AA1453:AA1516" si="88">H1453-I1453</f>
        <v>0</v>
      </c>
      <c r="AB1453" s="350">
        <f t="shared" ref="AB1453:AB1516" si="89">R1453-H1453</f>
        <v>0</v>
      </c>
    </row>
    <row r="1454" spans="8:28" ht="22.15" customHeight="1" x14ac:dyDescent="0.25">
      <c r="H1454" s="346"/>
      <c r="O1454" s="347"/>
      <c r="Y1454" s="20">
        <f t="shared" si="87"/>
        <v>0</v>
      </c>
      <c r="AA1454" s="98">
        <f t="shared" si="88"/>
        <v>0</v>
      </c>
      <c r="AB1454" s="350">
        <f t="shared" si="89"/>
        <v>0</v>
      </c>
    </row>
    <row r="1455" spans="8:28" ht="22.15" customHeight="1" x14ac:dyDescent="0.25">
      <c r="H1455" s="346"/>
      <c r="O1455" s="347"/>
      <c r="Y1455" s="20">
        <f t="shared" si="87"/>
        <v>0</v>
      </c>
      <c r="AA1455" s="98">
        <f t="shared" si="88"/>
        <v>0</v>
      </c>
      <c r="AB1455" s="350">
        <f t="shared" si="89"/>
        <v>0</v>
      </c>
    </row>
    <row r="1456" spans="8:28" ht="22.15" customHeight="1" x14ac:dyDescent="0.25">
      <c r="H1456" s="346"/>
      <c r="O1456" s="347"/>
      <c r="Y1456" s="20">
        <f t="shared" si="87"/>
        <v>0</v>
      </c>
      <c r="AA1456" s="98">
        <f t="shared" si="88"/>
        <v>0</v>
      </c>
      <c r="AB1456" s="350">
        <f t="shared" si="89"/>
        <v>0</v>
      </c>
    </row>
    <row r="1457" spans="8:28" ht="22.15" customHeight="1" x14ac:dyDescent="0.25">
      <c r="H1457" s="346"/>
      <c r="O1457" s="347"/>
      <c r="Y1457" s="20">
        <f t="shared" si="87"/>
        <v>0</v>
      </c>
      <c r="AA1457" s="98">
        <f t="shared" si="88"/>
        <v>0</v>
      </c>
      <c r="AB1457" s="350">
        <f t="shared" si="89"/>
        <v>0</v>
      </c>
    </row>
    <row r="1458" spans="8:28" ht="22.15" customHeight="1" x14ac:dyDescent="0.25">
      <c r="H1458" s="346"/>
      <c r="O1458" s="347"/>
      <c r="Y1458" s="20">
        <f t="shared" si="87"/>
        <v>0</v>
      </c>
      <c r="AA1458" s="98">
        <f t="shared" si="88"/>
        <v>0</v>
      </c>
      <c r="AB1458" s="350">
        <f t="shared" si="89"/>
        <v>0</v>
      </c>
    </row>
    <row r="1459" spans="8:28" ht="22.15" customHeight="1" x14ac:dyDescent="0.25">
      <c r="H1459" s="346"/>
      <c r="O1459" s="347"/>
      <c r="Y1459" s="20">
        <f t="shared" si="87"/>
        <v>0</v>
      </c>
      <c r="AA1459" s="98">
        <f t="shared" si="88"/>
        <v>0</v>
      </c>
      <c r="AB1459" s="350">
        <f t="shared" si="89"/>
        <v>0</v>
      </c>
    </row>
    <row r="1460" spans="8:28" ht="22.15" customHeight="1" x14ac:dyDescent="0.25">
      <c r="H1460" s="346"/>
      <c r="O1460" s="347"/>
      <c r="Y1460" s="20">
        <f t="shared" si="87"/>
        <v>0</v>
      </c>
      <c r="AA1460" s="98">
        <f t="shared" si="88"/>
        <v>0</v>
      </c>
      <c r="AB1460" s="350">
        <f t="shared" si="89"/>
        <v>0</v>
      </c>
    </row>
    <row r="1461" spans="8:28" ht="22.15" customHeight="1" x14ac:dyDescent="0.25">
      <c r="H1461" s="346"/>
      <c r="O1461" s="347"/>
      <c r="Y1461" s="20">
        <f t="shared" si="87"/>
        <v>0</v>
      </c>
      <c r="AA1461" s="98">
        <f t="shared" si="88"/>
        <v>0</v>
      </c>
      <c r="AB1461" s="350">
        <f t="shared" si="89"/>
        <v>0</v>
      </c>
    </row>
    <row r="1462" spans="8:28" ht="22.15" customHeight="1" x14ac:dyDescent="0.25">
      <c r="H1462" s="346"/>
      <c r="O1462" s="347"/>
      <c r="Y1462" s="20">
        <f t="shared" si="87"/>
        <v>0</v>
      </c>
      <c r="AA1462" s="98">
        <f t="shared" si="88"/>
        <v>0</v>
      </c>
      <c r="AB1462" s="350">
        <f t="shared" si="89"/>
        <v>0</v>
      </c>
    </row>
    <row r="1463" spans="8:28" ht="22.15" customHeight="1" x14ac:dyDescent="0.25">
      <c r="H1463" s="346"/>
      <c r="O1463" s="347"/>
      <c r="Y1463" s="20">
        <f t="shared" si="87"/>
        <v>0</v>
      </c>
      <c r="AA1463" s="98">
        <f t="shared" si="88"/>
        <v>0</v>
      </c>
      <c r="AB1463" s="350">
        <f t="shared" si="89"/>
        <v>0</v>
      </c>
    </row>
    <row r="1464" spans="8:28" ht="22.15" customHeight="1" x14ac:dyDescent="0.25">
      <c r="H1464" s="346"/>
      <c r="O1464" s="347"/>
      <c r="Y1464" s="20">
        <f t="shared" si="87"/>
        <v>0</v>
      </c>
      <c r="AA1464" s="98">
        <f t="shared" si="88"/>
        <v>0</v>
      </c>
      <c r="AB1464" s="350">
        <f t="shared" si="89"/>
        <v>0</v>
      </c>
    </row>
    <row r="1465" spans="8:28" ht="22.15" customHeight="1" x14ac:dyDescent="0.25">
      <c r="H1465" s="346"/>
      <c r="O1465" s="347"/>
      <c r="Y1465" s="20">
        <f t="shared" si="87"/>
        <v>0</v>
      </c>
      <c r="AA1465" s="98">
        <f t="shared" si="88"/>
        <v>0</v>
      </c>
      <c r="AB1465" s="350">
        <f t="shared" si="89"/>
        <v>0</v>
      </c>
    </row>
    <row r="1466" spans="8:28" ht="22.15" customHeight="1" x14ac:dyDescent="0.25">
      <c r="H1466" s="346"/>
      <c r="O1466" s="347"/>
      <c r="Y1466" s="20">
        <f t="shared" si="87"/>
        <v>0</v>
      </c>
      <c r="AA1466" s="98">
        <f t="shared" si="88"/>
        <v>0</v>
      </c>
      <c r="AB1466" s="350">
        <f t="shared" si="89"/>
        <v>0</v>
      </c>
    </row>
    <row r="1467" spans="8:28" ht="22.15" customHeight="1" x14ac:dyDescent="0.25">
      <c r="H1467" s="346"/>
      <c r="O1467" s="347"/>
      <c r="Y1467" s="20">
        <f t="shared" ref="Y1467:Y1499" si="90">COUNTIF(K:K,K1467)</f>
        <v>0</v>
      </c>
      <c r="AA1467" s="98">
        <f t="shared" si="88"/>
        <v>0</v>
      </c>
      <c r="AB1467" s="350">
        <f t="shared" si="89"/>
        <v>0</v>
      </c>
    </row>
    <row r="1468" spans="8:28" ht="22.15" customHeight="1" x14ac:dyDescent="0.25">
      <c r="H1468" s="346"/>
      <c r="O1468" s="347"/>
      <c r="Y1468" s="20">
        <f t="shared" si="90"/>
        <v>0</v>
      </c>
      <c r="AA1468" s="98">
        <f t="shared" si="88"/>
        <v>0</v>
      </c>
      <c r="AB1468" s="350">
        <f t="shared" si="89"/>
        <v>0</v>
      </c>
    </row>
    <row r="1469" spans="8:28" ht="22.15" customHeight="1" x14ac:dyDescent="0.25">
      <c r="H1469" s="346"/>
      <c r="O1469" s="347"/>
      <c r="Y1469" s="20">
        <f t="shared" si="90"/>
        <v>0</v>
      </c>
      <c r="AA1469" s="98">
        <f t="shared" si="88"/>
        <v>0</v>
      </c>
      <c r="AB1469" s="350">
        <f t="shared" si="89"/>
        <v>0</v>
      </c>
    </row>
    <row r="1470" spans="8:28" ht="22.15" customHeight="1" x14ac:dyDescent="0.25">
      <c r="H1470" s="346"/>
      <c r="O1470" s="347"/>
      <c r="Y1470" s="20">
        <f t="shared" si="90"/>
        <v>0</v>
      </c>
      <c r="AA1470" s="98">
        <f t="shared" si="88"/>
        <v>0</v>
      </c>
      <c r="AB1470" s="350">
        <f t="shared" si="89"/>
        <v>0</v>
      </c>
    </row>
    <row r="1471" spans="8:28" ht="22.15" customHeight="1" x14ac:dyDescent="0.25">
      <c r="H1471" s="346"/>
      <c r="O1471" s="347"/>
      <c r="Y1471" s="20">
        <f t="shared" si="90"/>
        <v>0</v>
      </c>
      <c r="AA1471" s="98">
        <f t="shared" si="88"/>
        <v>0</v>
      </c>
      <c r="AB1471" s="350">
        <f t="shared" si="89"/>
        <v>0</v>
      </c>
    </row>
    <row r="1472" spans="8:28" ht="22.15" customHeight="1" x14ac:dyDescent="0.25">
      <c r="H1472" s="346"/>
      <c r="O1472" s="347"/>
      <c r="Y1472" s="20">
        <f t="shared" si="90"/>
        <v>0</v>
      </c>
      <c r="AA1472" s="98">
        <f t="shared" si="88"/>
        <v>0</v>
      </c>
      <c r="AB1472" s="350">
        <f t="shared" si="89"/>
        <v>0</v>
      </c>
    </row>
    <row r="1473" spans="8:28" ht="22.15" customHeight="1" x14ac:dyDescent="0.25">
      <c r="H1473" s="346"/>
      <c r="O1473" s="347"/>
      <c r="Y1473" s="20">
        <f t="shared" si="90"/>
        <v>0</v>
      </c>
      <c r="AA1473" s="98">
        <f t="shared" si="88"/>
        <v>0</v>
      </c>
      <c r="AB1473" s="350">
        <f t="shared" si="89"/>
        <v>0</v>
      </c>
    </row>
    <row r="1474" spans="8:28" ht="22.15" customHeight="1" x14ac:dyDescent="0.25">
      <c r="H1474" s="346"/>
      <c r="O1474" s="347"/>
      <c r="Y1474" s="20">
        <f t="shared" si="90"/>
        <v>0</v>
      </c>
      <c r="AA1474" s="98">
        <f t="shared" si="88"/>
        <v>0</v>
      </c>
      <c r="AB1474" s="350">
        <f t="shared" si="89"/>
        <v>0</v>
      </c>
    </row>
    <row r="1475" spans="8:28" ht="22.15" customHeight="1" x14ac:dyDescent="0.25">
      <c r="H1475" s="346"/>
      <c r="O1475" s="347"/>
      <c r="Y1475" s="20">
        <f t="shared" si="90"/>
        <v>0</v>
      </c>
      <c r="AA1475" s="98">
        <f t="shared" si="88"/>
        <v>0</v>
      </c>
      <c r="AB1475" s="350">
        <f t="shared" si="89"/>
        <v>0</v>
      </c>
    </row>
    <row r="1476" spans="8:28" ht="22.15" customHeight="1" x14ac:dyDescent="0.25">
      <c r="H1476" s="346"/>
      <c r="O1476" s="347"/>
      <c r="Y1476" s="20">
        <f t="shared" si="90"/>
        <v>0</v>
      </c>
      <c r="AA1476" s="98">
        <f t="shared" si="88"/>
        <v>0</v>
      </c>
      <c r="AB1476" s="350">
        <f t="shared" si="89"/>
        <v>0</v>
      </c>
    </row>
    <row r="1477" spans="8:28" ht="22.15" customHeight="1" x14ac:dyDescent="0.25">
      <c r="H1477" s="346"/>
      <c r="O1477" s="347"/>
      <c r="Y1477" s="20">
        <f t="shared" si="90"/>
        <v>0</v>
      </c>
      <c r="AA1477" s="98">
        <f t="shared" si="88"/>
        <v>0</v>
      </c>
      <c r="AB1477" s="350">
        <f t="shared" si="89"/>
        <v>0</v>
      </c>
    </row>
    <row r="1478" spans="8:28" ht="22.15" customHeight="1" x14ac:dyDescent="0.25">
      <c r="H1478" s="346"/>
      <c r="O1478" s="347"/>
      <c r="Y1478" s="20">
        <f t="shared" si="90"/>
        <v>0</v>
      </c>
      <c r="AA1478" s="98">
        <f t="shared" si="88"/>
        <v>0</v>
      </c>
      <c r="AB1478" s="350">
        <f t="shared" si="89"/>
        <v>0</v>
      </c>
    </row>
    <row r="1479" spans="8:28" ht="22.15" customHeight="1" x14ac:dyDescent="0.25">
      <c r="H1479" s="346"/>
      <c r="O1479" s="347"/>
      <c r="Y1479" s="20">
        <f t="shared" si="90"/>
        <v>0</v>
      </c>
      <c r="AA1479" s="98">
        <f t="shared" si="88"/>
        <v>0</v>
      </c>
      <c r="AB1479" s="350">
        <f t="shared" si="89"/>
        <v>0</v>
      </c>
    </row>
    <row r="1480" spans="8:28" ht="22.15" customHeight="1" x14ac:dyDescent="0.25">
      <c r="H1480" s="346"/>
      <c r="O1480" s="347"/>
      <c r="Y1480" s="20">
        <f t="shared" si="90"/>
        <v>0</v>
      </c>
      <c r="AA1480" s="98">
        <f t="shared" si="88"/>
        <v>0</v>
      </c>
      <c r="AB1480" s="350">
        <f t="shared" si="89"/>
        <v>0</v>
      </c>
    </row>
    <row r="1481" spans="8:28" ht="22.15" customHeight="1" x14ac:dyDescent="0.25">
      <c r="H1481" s="346"/>
      <c r="O1481" s="347"/>
      <c r="Y1481" s="20">
        <f t="shared" si="90"/>
        <v>0</v>
      </c>
      <c r="AA1481" s="98">
        <f t="shared" si="88"/>
        <v>0</v>
      </c>
      <c r="AB1481" s="350">
        <f t="shared" si="89"/>
        <v>0</v>
      </c>
    </row>
    <row r="1482" spans="8:28" ht="22.15" customHeight="1" x14ac:dyDescent="0.25">
      <c r="H1482" s="346"/>
      <c r="O1482" s="347"/>
      <c r="Y1482" s="20">
        <f t="shared" si="90"/>
        <v>0</v>
      </c>
      <c r="AA1482" s="98">
        <f t="shared" si="88"/>
        <v>0</v>
      </c>
      <c r="AB1482" s="350">
        <f t="shared" si="89"/>
        <v>0</v>
      </c>
    </row>
    <row r="1483" spans="8:28" ht="22.15" customHeight="1" x14ac:dyDescent="0.25">
      <c r="H1483" s="346"/>
      <c r="O1483" s="347"/>
      <c r="Y1483" s="20">
        <f t="shared" si="90"/>
        <v>0</v>
      </c>
      <c r="AA1483" s="98">
        <f t="shared" si="88"/>
        <v>0</v>
      </c>
      <c r="AB1483" s="350">
        <f t="shared" si="89"/>
        <v>0</v>
      </c>
    </row>
    <row r="1484" spans="8:28" ht="22.15" customHeight="1" x14ac:dyDescent="0.25">
      <c r="H1484" s="346"/>
      <c r="O1484" s="347"/>
      <c r="Y1484" s="20">
        <f t="shared" si="90"/>
        <v>0</v>
      </c>
      <c r="AA1484" s="98">
        <f t="shared" si="88"/>
        <v>0</v>
      </c>
      <c r="AB1484" s="350">
        <f t="shared" si="89"/>
        <v>0</v>
      </c>
    </row>
    <row r="1485" spans="8:28" ht="22.15" customHeight="1" x14ac:dyDescent="0.25">
      <c r="H1485" s="346"/>
      <c r="O1485" s="347"/>
      <c r="Y1485" s="20">
        <f t="shared" si="90"/>
        <v>0</v>
      </c>
      <c r="AA1485" s="98">
        <f t="shared" si="88"/>
        <v>0</v>
      </c>
      <c r="AB1485" s="350">
        <f t="shared" si="89"/>
        <v>0</v>
      </c>
    </row>
    <row r="1486" spans="8:28" ht="22.15" customHeight="1" x14ac:dyDescent="0.25">
      <c r="H1486" s="346"/>
      <c r="O1486" s="347"/>
      <c r="Y1486" s="20">
        <f t="shared" si="90"/>
        <v>0</v>
      </c>
      <c r="AA1486" s="98">
        <f t="shared" si="88"/>
        <v>0</v>
      </c>
      <c r="AB1486" s="350">
        <f t="shared" si="89"/>
        <v>0</v>
      </c>
    </row>
    <row r="1487" spans="8:28" ht="22.15" customHeight="1" x14ac:dyDescent="0.25">
      <c r="H1487" s="346"/>
      <c r="O1487" s="347"/>
      <c r="Y1487" s="20">
        <f t="shared" si="90"/>
        <v>0</v>
      </c>
      <c r="AA1487" s="98">
        <f t="shared" si="88"/>
        <v>0</v>
      </c>
      <c r="AB1487" s="350">
        <f t="shared" si="89"/>
        <v>0</v>
      </c>
    </row>
    <row r="1488" spans="8:28" ht="22.15" customHeight="1" x14ac:dyDescent="0.25">
      <c r="H1488" s="346"/>
      <c r="O1488" s="347"/>
      <c r="Y1488" s="20">
        <f t="shared" si="90"/>
        <v>0</v>
      </c>
      <c r="AA1488" s="98">
        <f t="shared" si="88"/>
        <v>0</v>
      </c>
      <c r="AB1488" s="350">
        <f t="shared" si="89"/>
        <v>0</v>
      </c>
    </row>
    <row r="1489" spans="8:28" ht="22.15" customHeight="1" x14ac:dyDescent="0.25">
      <c r="H1489" s="346"/>
      <c r="O1489" s="347"/>
      <c r="Y1489" s="20">
        <f t="shared" si="90"/>
        <v>0</v>
      </c>
      <c r="AA1489" s="98">
        <f t="shared" si="88"/>
        <v>0</v>
      </c>
      <c r="AB1489" s="350">
        <f t="shared" si="89"/>
        <v>0</v>
      </c>
    </row>
    <row r="1490" spans="8:28" ht="22.15" customHeight="1" x14ac:dyDescent="0.25">
      <c r="H1490" s="346"/>
      <c r="O1490" s="347"/>
      <c r="Y1490" s="20">
        <f t="shared" si="90"/>
        <v>0</v>
      </c>
      <c r="AA1490" s="98">
        <f t="shared" si="88"/>
        <v>0</v>
      </c>
      <c r="AB1490" s="350">
        <f t="shared" si="89"/>
        <v>0</v>
      </c>
    </row>
    <row r="1491" spans="8:28" ht="22.15" customHeight="1" x14ac:dyDescent="0.25">
      <c r="H1491" s="346"/>
      <c r="O1491" s="347"/>
      <c r="Y1491" s="20">
        <f t="shared" si="90"/>
        <v>0</v>
      </c>
      <c r="AA1491" s="98">
        <f t="shared" si="88"/>
        <v>0</v>
      </c>
      <c r="AB1491" s="350">
        <f t="shared" si="89"/>
        <v>0</v>
      </c>
    </row>
    <row r="1492" spans="8:28" ht="22.15" customHeight="1" x14ac:dyDescent="0.25">
      <c r="H1492" s="346"/>
      <c r="O1492" s="347"/>
      <c r="Y1492" s="20">
        <f t="shared" si="90"/>
        <v>0</v>
      </c>
      <c r="AA1492" s="98">
        <f t="shared" si="88"/>
        <v>0</v>
      </c>
      <c r="AB1492" s="350">
        <f t="shared" si="89"/>
        <v>0</v>
      </c>
    </row>
    <row r="1493" spans="8:28" ht="22.15" customHeight="1" x14ac:dyDescent="0.25">
      <c r="H1493" s="346"/>
      <c r="O1493" s="347"/>
      <c r="Y1493" s="20">
        <f t="shared" si="90"/>
        <v>0</v>
      </c>
      <c r="AA1493" s="98">
        <f t="shared" si="88"/>
        <v>0</v>
      </c>
      <c r="AB1493" s="350">
        <f t="shared" si="89"/>
        <v>0</v>
      </c>
    </row>
    <row r="1494" spans="8:28" ht="22.15" customHeight="1" x14ac:dyDescent="0.25">
      <c r="H1494" s="346"/>
      <c r="O1494" s="347"/>
      <c r="Y1494" s="20">
        <f t="shared" si="90"/>
        <v>0</v>
      </c>
      <c r="AA1494" s="98">
        <f t="shared" si="88"/>
        <v>0</v>
      </c>
      <c r="AB1494" s="350">
        <f t="shared" si="89"/>
        <v>0</v>
      </c>
    </row>
    <row r="1495" spans="8:28" ht="22.15" customHeight="1" x14ac:dyDescent="0.25">
      <c r="H1495" s="346"/>
      <c r="O1495" s="347"/>
      <c r="Y1495" s="20">
        <f t="shared" si="90"/>
        <v>0</v>
      </c>
      <c r="AA1495" s="98">
        <f t="shared" si="88"/>
        <v>0</v>
      </c>
      <c r="AB1495" s="350">
        <f t="shared" si="89"/>
        <v>0</v>
      </c>
    </row>
    <row r="1496" spans="8:28" ht="22.15" customHeight="1" x14ac:dyDescent="0.25">
      <c r="H1496" s="346"/>
      <c r="O1496" s="347"/>
      <c r="Y1496" s="20">
        <f t="shared" si="90"/>
        <v>0</v>
      </c>
      <c r="AA1496" s="98">
        <f t="shared" si="88"/>
        <v>0</v>
      </c>
      <c r="AB1496" s="350">
        <f t="shared" si="89"/>
        <v>0</v>
      </c>
    </row>
    <row r="1497" spans="8:28" ht="22.15" customHeight="1" x14ac:dyDescent="0.25">
      <c r="H1497" s="346"/>
      <c r="O1497" s="347"/>
      <c r="Y1497" s="20">
        <f t="shared" si="90"/>
        <v>0</v>
      </c>
      <c r="AA1497" s="98">
        <f t="shared" si="88"/>
        <v>0</v>
      </c>
      <c r="AB1497" s="350">
        <f t="shared" si="89"/>
        <v>0</v>
      </c>
    </row>
    <row r="1498" spans="8:28" ht="22.15" customHeight="1" x14ac:dyDescent="0.25">
      <c r="H1498" s="346"/>
      <c r="O1498" s="347"/>
      <c r="Y1498" s="20">
        <f t="shared" si="90"/>
        <v>0</v>
      </c>
      <c r="AA1498" s="98">
        <f t="shared" si="88"/>
        <v>0</v>
      </c>
      <c r="AB1498" s="350">
        <f t="shared" si="89"/>
        <v>0</v>
      </c>
    </row>
    <row r="1499" spans="8:28" ht="22.15" customHeight="1" x14ac:dyDescent="0.25">
      <c r="H1499" s="346"/>
      <c r="O1499" s="347"/>
      <c r="Y1499" s="20">
        <f t="shared" si="90"/>
        <v>0</v>
      </c>
      <c r="AA1499" s="98">
        <f t="shared" si="88"/>
        <v>0</v>
      </c>
      <c r="AB1499" s="350">
        <f t="shared" si="89"/>
        <v>0</v>
      </c>
    </row>
    <row r="1500" spans="8:28" ht="22.15" customHeight="1" x14ac:dyDescent="0.25">
      <c r="H1500" s="346"/>
      <c r="O1500" s="347"/>
      <c r="Y1500" s="20">
        <f>COUNTIF(K:K,K1499)</f>
        <v>0</v>
      </c>
      <c r="AA1500" s="98">
        <f>H1499-I1499</f>
        <v>0</v>
      </c>
      <c r="AB1500" s="350">
        <f>R1499-H1499</f>
        <v>0</v>
      </c>
    </row>
    <row r="1501" spans="8:28" ht="22.15" customHeight="1" x14ac:dyDescent="0.25">
      <c r="H1501" s="346"/>
      <c r="O1501" s="347"/>
      <c r="Y1501" s="20">
        <f>COUNTIF(K:K,K1500)</f>
        <v>0</v>
      </c>
      <c r="AA1501" s="98">
        <f>H1500-I1500</f>
        <v>0</v>
      </c>
      <c r="AB1501" s="350">
        <f>R1500-H1500</f>
        <v>0</v>
      </c>
    </row>
    <row r="1502" spans="8:28" ht="22.15" customHeight="1" x14ac:dyDescent="0.25">
      <c r="H1502" s="346"/>
      <c r="O1502" s="347"/>
      <c r="Y1502" s="20">
        <f>COUNTIF(K:K,K1501)</f>
        <v>0</v>
      </c>
      <c r="AA1502" s="98">
        <f>H1501-I1501</f>
        <v>0</v>
      </c>
      <c r="AB1502" s="350">
        <f>R1501-H1501</f>
        <v>0</v>
      </c>
    </row>
    <row r="1503" spans="8:28" ht="22.15" customHeight="1" x14ac:dyDescent="0.25">
      <c r="H1503" s="346"/>
      <c r="O1503" s="347"/>
      <c r="Y1503" s="20">
        <f t="shared" ref="Y1503:Y1534" si="91">COUNTIF(K:K,K1503)</f>
        <v>0</v>
      </c>
      <c r="AA1503" s="98">
        <f t="shared" si="88"/>
        <v>0</v>
      </c>
      <c r="AB1503" s="350">
        <f t="shared" si="89"/>
        <v>0</v>
      </c>
    </row>
    <row r="1504" spans="8:28" ht="22.15" customHeight="1" x14ac:dyDescent="0.25">
      <c r="H1504" s="346"/>
      <c r="O1504" s="347"/>
      <c r="Y1504" s="20">
        <f t="shared" si="91"/>
        <v>0</v>
      </c>
      <c r="AA1504" s="98">
        <f t="shared" si="88"/>
        <v>0</v>
      </c>
      <c r="AB1504" s="350">
        <f t="shared" si="89"/>
        <v>0</v>
      </c>
    </row>
    <row r="1505" spans="8:28" ht="22.15" customHeight="1" x14ac:dyDescent="0.25">
      <c r="H1505" s="346"/>
      <c r="O1505" s="347"/>
      <c r="Y1505" s="20">
        <f t="shared" si="91"/>
        <v>0</v>
      </c>
      <c r="AA1505" s="98">
        <f t="shared" si="88"/>
        <v>0</v>
      </c>
      <c r="AB1505" s="350">
        <f t="shared" si="89"/>
        <v>0</v>
      </c>
    </row>
    <row r="1506" spans="8:28" ht="22.15" customHeight="1" x14ac:dyDescent="0.25">
      <c r="H1506" s="346"/>
      <c r="O1506" s="347"/>
      <c r="Y1506" s="20">
        <f t="shared" si="91"/>
        <v>0</v>
      </c>
      <c r="AA1506" s="98">
        <f t="shared" si="88"/>
        <v>0</v>
      </c>
      <c r="AB1506" s="350">
        <f t="shared" si="89"/>
        <v>0</v>
      </c>
    </row>
    <row r="1507" spans="8:28" ht="22.15" customHeight="1" x14ac:dyDescent="0.25">
      <c r="H1507" s="346"/>
      <c r="O1507" s="347"/>
      <c r="Y1507" s="20">
        <f t="shared" si="91"/>
        <v>0</v>
      </c>
      <c r="AA1507" s="98">
        <f t="shared" si="88"/>
        <v>0</v>
      </c>
      <c r="AB1507" s="350">
        <f t="shared" si="89"/>
        <v>0</v>
      </c>
    </row>
    <row r="1508" spans="8:28" ht="22.15" customHeight="1" x14ac:dyDescent="0.25">
      <c r="H1508" s="346"/>
      <c r="O1508" s="347"/>
      <c r="Y1508" s="20">
        <f t="shared" si="91"/>
        <v>0</v>
      </c>
      <c r="AA1508" s="98">
        <f t="shared" si="88"/>
        <v>0</v>
      </c>
      <c r="AB1508" s="350">
        <f t="shared" si="89"/>
        <v>0</v>
      </c>
    </row>
    <row r="1509" spans="8:28" ht="22.15" customHeight="1" x14ac:dyDescent="0.25">
      <c r="H1509" s="346"/>
      <c r="O1509" s="347"/>
      <c r="Y1509" s="20">
        <f t="shared" si="91"/>
        <v>0</v>
      </c>
      <c r="AA1509" s="98">
        <f t="shared" si="88"/>
        <v>0</v>
      </c>
      <c r="AB1509" s="350">
        <f t="shared" si="89"/>
        <v>0</v>
      </c>
    </row>
    <row r="1510" spans="8:28" ht="22.15" customHeight="1" x14ac:dyDescent="0.25">
      <c r="H1510" s="346"/>
      <c r="O1510" s="347"/>
      <c r="Y1510" s="20">
        <f t="shared" si="91"/>
        <v>0</v>
      </c>
      <c r="AA1510" s="98">
        <f t="shared" si="88"/>
        <v>0</v>
      </c>
      <c r="AB1510" s="350">
        <f t="shared" si="89"/>
        <v>0</v>
      </c>
    </row>
    <row r="1511" spans="8:28" ht="22.15" customHeight="1" x14ac:dyDescent="0.25">
      <c r="H1511" s="346"/>
      <c r="O1511" s="347"/>
      <c r="Y1511" s="20">
        <f t="shared" si="91"/>
        <v>0</v>
      </c>
      <c r="AA1511" s="98">
        <f t="shared" si="88"/>
        <v>0</v>
      </c>
      <c r="AB1511" s="350">
        <f t="shared" si="89"/>
        <v>0</v>
      </c>
    </row>
    <row r="1512" spans="8:28" ht="22.15" customHeight="1" x14ac:dyDescent="0.25">
      <c r="H1512" s="346"/>
      <c r="O1512" s="347"/>
      <c r="Y1512" s="20">
        <f t="shared" si="91"/>
        <v>0</v>
      </c>
      <c r="AA1512" s="98">
        <f t="shared" si="88"/>
        <v>0</v>
      </c>
      <c r="AB1512" s="350">
        <f t="shared" si="89"/>
        <v>0</v>
      </c>
    </row>
    <row r="1513" spans="8:28" ht="22.15" customHeight="1" x14ac:dyDescent="0.25">
      <c r="H1513" s="346"/>
      <c r="O1513" s="347"/>
      <c r="Y1513" s="20">
        <f t="shared" si="91"/>
        <v>0</v>
      </c>
      <c r="AA1513" s="98">
        <f t="shared" si="88"/>
        <v>0</v>
      </c>
      <c r="AB1513" s="350">
        <f t="shared" si="89"/>
        <v>0</v>
      </c>
    </row>
    <row r="1514" spans="8:28" ht="22.15" customHeight="1" x14ac:dyDescent="0.25">
      <c r="H1514" s="346"/>
      <c r="O1514" s="347"/>
      <c r="Y1514" s="20">
        <f t="shared" si="91"/>
        <v>0</v>
      </c>
      <c r="AA1514" s="98">
        <f t="shared" si="88"/>
        <v>0</v>
      </c>
      <c r="AB1514" s="350">
        <f t="shared" si="89"/>
        <v>0</v>
      </c>
    </row>
    <row r="1515" spans="8:28" ht="22.15" customHeight="1" x14ac:dyDescent="0.25">
      <c r="H1515" s="346"/>
      <c r="O1515" s="347"/>
      <c r="Y1515" s="20">
        <f t="shared" si="91"/>
        <v>0</v>
      </c>
      <c r="AA1515" s="98">
        <f t="shared" si="88"/>
        <v>0</v>
      </c>
      <c r="AB1515" s="350">
        <f t="shared" si="89"/>
        <v>0</v>
      </c>
    </row>
    <row r="1516" spans="8:28" ht="22.15" customHeight="1" x14ac:dyDescent="0.25">
      <c r="H1516" s="346"/>
      <c r="O1516" s="347"/>
      <c r="Y1516" s="20">
        <f t="shared" si="91"/>
        <v>0</v>
      </c>
      <c r="AA1516" s="98">
        <f t="shared" si="88"/>
        <v>0</v>
      </c>
      <c r="AB1516" s="350">
        <f t="shared" si="89"/>
        <v>0</v>
      </c>
    </row>
    <row r="1517" spans="8:28" ht="22.15" customHeight="1" x14ac:dyDescent="0.25">
      <c r="H1517" s="346"/>
      <c r="O1517" s="347"/>
      <c r="Y1517" s="20">
        <f t="shared" si="91"/>
        <v>0</v>
      </c>
      <c r="AA1517" s="98">
        <f t="shared" ref="AA1517:AA1580" si="92">H1517-I1517</f>
        <v>0</v>
      </c>
      <c r="AB1517" s="350">
        <f t="shared" ref="AB1517:AB1580" si="93">R1517-H1517</f>
        <v>0</v>
      </c>
    </row>
    <row r="1518" spans="8:28" ht="22.15" customHeight="1" x14ac:dyDescent="0.25">
      <c r="H1518" s="346"/>
      <c r="O1518" s="347"/>
      <c r="Y1518" s="20">
        <f t="shared" si="91"/>
        <v>0</v>
      </c>
      <c r="AA1518" s="98">
        <f t="shared" si="92"/>
        <v>0</v>
      </c>
      <c r="AB1518" s="350">
        <f t="shared" si="93"/>
        <v>0</v>
      </c>
    </row>
    <row r="1519" spans="8:28" ht="22.15" customHeight="1" x14ac:dyDescent="0.25">
      <c r="H1519" s="346"/>
      <c r="O1519" s="347"/>
      <c r="Y1519" s="20">
        <f t="shared" si="91"/>
        <v>0</v>
      </c>
      <c r="AA1519" s="98">
        <f t="shared" si="92"/>
        <v>0</v>
      </c>
      <c r="AB1519" s="350">
        <f t="shared" si="93"/>
        <v>0</v>
      </c>
    </row>
    <row r="1520" spans="8:28" ht="22.15" customHeight="1" x14ac:dyDescent="0.25">
      <c r="H1520" s="346"/>
      <c r="O1520" s="347"/>
      <c r="Y1520" s="20">
        <f t="shared" si="91"/>
        <v>0</v>
      </c>
      <c r="AA1520" s="98">
        <f t="shared" si="92"/>
        <v>0</v>
      </c>
      <c r="AB1520" s="350">
        <f t="shared" si="93"/>
        <v>0</v>
      </c>
    </row>
    <row r="1521" spans="8:28" ht="22.15" customHeight="1" x14ac:dyDescent="0.25">
      <c r="H1521" s="346"/>
      <c r="O1521" s="347"/>
      <c r="Y1521" s="20">
        <f t="shared" si="91"/>
        <v>0</v>
      </c>
      <c r="AA1521" s="98">
        <f t="shared" si="92"/>
        <v>0</v>
      </c>
      <c r="AB1521" s="350">
        <f t="shared" si="93"/>
        <v>0</v>
      </c>
    </row>
    <row r="1522" spans="8:28" ht="22.15" customHeight="1" x14ac:dyDescent="0.25">
      <c r="H1522" s="346"/>
      <c r="O1522" s="347"/>
      <c r="Y1522" s="20">
        <f t="shared" si="91"/>
        <v>0</v>
      </c>
      <c r="AA1522" s="98">
        <f t="shared" si="92"/>
        <v>0</v>
      </c>
      <c r="AB1522" s="350">
        <f t="shared" si="93"/>
        <v>0</v>
      </c>
    </row>
    <row r="1523" spans="8:28" ht="22.15" customHeight="1" x14ac:dyDescent="0.25">
      <c r="H1523" s="346"/>
      <c r="O1523" s="347"/>
      <c r="Y1523" s="20">
        <f t="shared" si="91"/>
        <v>0</v>
      </c>
      <c r="AA1523" s="98">
        <f t="shared" si="92"/>
        <v>0</v>
      </c>
      <c r="AB1523" s="350">
        <f t="shared" si="93"/>
        <v>0</v>
      </c>
    </row>
    <row r="1524" spans="8:28" ht="22.15" customHeight="1" x14ac:dyDescent="0.25">
      <c r="H1524" s="346"/>
      <c r="O1524" s="347"/>
      <c r="Y1524" s="20">
        <f t="shared" si="91"/>
        <v>0</v>
      </c>
      <c r="AA1524" s="98">
        <f t="shared" si="92"/>
        <v>0</v>
      </c>
      <c r="AB1524" s="350">
        <f t="shared" si="93"/>
        <v>0</v>
      </c>
    </row>
    <row r="1525" spans="8:28" ht="22.15" customHeight="1" x14ac:dyDescent="0.25">
      <c r="H1525" s="346"/>
      <c r="O1525" s="347"/>
      <c r="Y1525" s="20">
        <f t="shared" si="91"/>
        <v>0</v>
      </c>
      <c r="AA1525" s="98">
        <f t="shared" si="92"/>
        <v>0</v>
      </c>
      <c r="AB1525" s="350">
        <f t="shared" si="93"/>
        <v>0</v>
      </c>
    </row>
    <row r="1526" spans="8:28" ht="22.15" customHeight="1" x14ac:dyDescent="0.25">
      <c r="H1526" s="346"/>
      <c r="O1526" s="347"/>
      <c r="Y1526" s="20">
        <f t="shared" si="91"/>
        <v>0</v>
      </c>
      <c r="AA1526" s="98">
        <f t="shared" si="92"/>
        <v>0</v>
      </c>
      <c r="AB1526" s="350">
        <f t="shared" si="93"/>
        <v>0</v>
      </c>
    </row>
    <row r="1527" spans="8:28" ht="22.15" customHeight="1" x14ac:dyDescent="0.25">
      <c r="H1527" s="346"/>
      <c r="O1527" s="347"/>
      <c r="Y1527" s="20">
        <f t="shared" si="91"/>
        <v>0</v>
      </c>
      <c r="AA1527" s="98">
        <f t="shared" si="92"/>
        <v>0</v>
      </c>
      <c r="AB1527" s="350">
        <f t="shared" si="93"/>
        <v>0</v>
      </c>
    </row>
    <row r="1528" spans="8:28" ht="22.15" customHeight="1" x14ac:dyDescent="0.25">
      <c r="H1528" s="346"/>
      <c r="O1528" s="347"/>
      <c r="Y1528" s="20">
        <f t="shared" si="91"/>
        <v>0</v>
      </c>
      <c r="AA1528" s="98">
        <f t="shared" si="92"/>
        <v>0</v>
      </c>
      <c r="AB1528" s="350">
        <f t="shared" si="93"/>
        <v>0</v>
      </c>
    </row>
    <row r="1529" spans="8:28" ht="22.15" customHeight="1" x14ac:dyDescent="0.25">
      <c r="H1529" s="346"/>
      <c r="O1529" s="347"/>
      <c r="Y1529" s="20">
        <f t="shared" si="91"/>
        <v>0</v>
      </c>
      <c r="AA1529" s="98">
        <f t="shared" si="92"/>
        <v>0</v>
      </c>
      <c r="AB1529" s="350">
        <f t="shared" si="93"/>
        <v>0</v>
      </c>
    </row>
    <row r="1530" spans="8:28" ht="22.15" customHeight="1" x14ac:dyDescent="0.25">
      <c r="H1530" s="346"/>
      <c r="O1530" s="347"/>
      <c r="Y1530" s="20">
        <f t="shared" si="91"/>
        <v>0</v>
      </c>
      <c r="AA1530" s="98">
        <f t="shared" si="92"/>
        <v>0</v>
      </c>
      <c r="AB1530" s="350">
        <f t="shared" si="93"/>
        <v>0</v>
      </c>
    </row>
    <row r="1531" spans="8:28" ht="22.15" customHeight="1" x14ac:dyDescent="0.25">
      <c r="H1531" s="346"/>
      <c r="O1531" s="347"/>
      <c r="Y1531" s="20">
        <f t="shared" si="91"/>
        <v>0</v>
      </c>
      <c r="AA1531" s="98">
        <f t="shared" si="92"/>
        <v>0</v>
      </c>
      <c r="AB1531" s="350">
        <f t="shared" si="93"/>
        <v>0</v>
      </c>
    </row>
    <row r="1532" spans="8:28" ht="22.15" customHeight="1" x14ac:dyDescent="0.25">
      <c r="H1532" s="346"/>
      <c r="O1532" s="347"/>
      <c r="Y1532" s="20">
        <f t="shared" si="91"/>
        <v>0</v>
      </c>
      <c r="AA1532" s="98">
        <f t="shared" si="92"/>
        <v>0</v>
      </c>
      <c r="AB1532" s="350">
        <f t="shared" si="93"/>
        <v>0</v>
      </c>
    </row>
    <row r="1533" spans="8:28" ht="22.15" customHeight="1" x14ac:dyDescent="0.25">
      <c r="H1533" s="346"/>
      <c r="O1533" s="347"/>
      <c r="Y1533" s="20">
        <f t="shared" si="91"/>
        <v>0</v>
      </c>
      <c r="AA1533" s="98">
        <f t="shared" si="92"/>
        <v>0</v>
      </c>
      <c r="AB1533" s="350">
        <f t="shared" si="93"/>
        <v>0</v>
      </c>
    </row>
    <row r="1534" spans="8:28" ht="22.15" customHeight="1" x14ac:dyDescent="0.25">
      <c r="H1534" s="346"/>
      <c r="O1534" s="347"/>
      <c r="Y1534" s="20">
        <f t="shared" si="91"/>
        <v>0</v>
      </c>
      <c r="AA1534" s="98">
        <f t="shared" si="92"/>
        <v>0</v>
      </c>
      <c r="AB1534" s="350">
        <f t="shared" si="93"/>
        <v>0</v>
      </c>
    </row>
    <row r="1535" spans="8:28" ht="22.15" customHeight="1" x14ac:dyDescent="0.25">
      <c r="H1535" s="346"/>
      <c r="O1535" s="347"/>
      <c r="Y1535" s="20">
        <f t="shared" ref="Y1535:Y1566" si="94">COUNTIF(K:K,K1535)</f>
        <v>0</v>
      </c>
      <c r="AA1535" s="98">
        <f t="shared" si="92"/>
        <v>0</v>
      </c>
      <c r="AB1535" s="350">
        <f t="shared" si="93"/>
        <v>0</v>
      </c>
    </row>
    <row r="1536" spans="8:28" ht="22.15" customHeight="1" x14ac:dyDescent="0.25">
      <c r="H1536" s="346"/>
      <c r="O1536" s="347"/>
      <c r="Y1536" s="20">
        <f t="shared" si="94"/>
        <v>0</v>
      </c>
      <c r="AA1536" s="98">
        <f t="shared" si="92"/>
        <v>0</v>
      </c>
      <c r="AB1536" s="350">
        <f t="shared" si="93"/>
        <v>0</v>
      </c>
    </row>
    <row r="1537" spans="8:28" ht="22.15" customHeight="1" x14ac:dyDescent="0.25">
      <c r="H1537" s="346"/>
      <c r="O1537" s="347"/>
      <c r="Y1537" s="20">
        <f t="shared" si="94"/>
        <v>0</v>
      </c>
      <c r="AA1537" s="98">
        <f t="shared" si="92"/>
        <v>0</v>
      </c>
      <c r="AB1537" s="350">
        <f t="shared" si="93"/>
        <v>0</v>
      </c>
    </row>
    <row r="1538" spans="8:28" ht="22.15" customHeight="1" x14ac:dyDescent="0.25">
      <c r="H1538" s="346"/>
      <c r="O1538" s="347"/>
      <c r="Y1538" s="20">
        <f t="shared" si="94"/>
        <v>0</v>
      </c>
      <c r="AA1538" s="98">
        <f t="shared" si="92"/>
        <v>0</v>
      </c>
      <c r="AB1538" s="350">
        <f t="shared" si="93"/>
        <v>0</v>
      </c>
    </row>
    <row r="1539" spans="8:28" ht="22.15" customHeight="1" x14ac:dyDescent="0.25">
      <c r="H1539" s="346"/>
      <c r="O1539" s="347"/>
      <c r="Y1539" s="20">
        <f t="shared" si="94"/>
        <v>0</v>
      </c>
      <c r="AA1539" s="98">
        <f t="shared" si="92"/>
        <v>0</v>
      </c>
      <c r="AB1539" s="350">
        <f t="shared" si="93"/>
        <v>0</v>
      </c>
    </row>
    <row r="1540" spans="8:28" ht="22.15" customHeight="1" x14ac:dyDescent="0.25">
      <c r="H1540" s="346"/>
      <c r="O1540" s="347"/>
      <c r="Y1540" s="20">
        <f t="shared" si="94"/>
        <v>0</v>
      </c>
      <c r="AA1540" s="98">
        <f t="shared" si="92"/>
        <v>0</v>
      </c>
      <c r="AB1540" s="350">
        <f t="shared" si="93"/>
        <v>0</v>
      </c>
    </row>
    <row r="1541" spans="8:28" ht="22.15" customHeight="1" x14ac:dyDescent="0.25">
      <c r="H1541" s="346"/>
      <c r="O1541" s="347"/>
      <c r="Y1541" s="20">
        <f t="shared" si="94"/>
        <v>0</v>
      </c>
      <c r="AA1541" s="98">
        <f t="shared" si="92"/>
        <v>0</v>
      </c>
      <c r="AB1541" s="350">
        <f t="shared" si="93"/>
        <v>0</v>
      </c>
    </row>
    <row r="1542" spans="8:28" ht="22.15" customHeight="1" x14ac:dyDescent="0.25">
      <c r="H1542" s="346"/>
      <c r="O1542" s="347"/>
      <c r="Y1542" s="20">
        <f t="shared" si="94"/>
        <v>0</v>
      </c>
      <c r="AA1542" s="98">
        <f t="shared" si="92"/>
        <v>0</v>
      </c>
      <c r="AB1542" s="350">
        <f t="shared" si="93"/>
        <v>0</v>
      </c>
    </row>
    <row r="1543" spans="8:28" ht="22.15" customHeight="1" x14ac:dyDescent="0.25">
      <c r="H1543" s="346"/>
      <c r="O1543" s="347"/>
      <c r="Y1543" s="20">
        <f t="shared" si="94"/>
        <v>0</v>
      </c>
      <c r="AA1543" s="98">
        <f t="shared" si="92"/>
        <v>0</v>
      </c>
      <c r="AB1543" s="350">
        <f t="shared" si="93"/>
        <v>0</v>
      </c>
    </row>
    <row r="1544" spans="8:28" ht="22.15" customHeight="1" x14ac:dyDescent="0.25">
      <c r="H1544" s="346"/>
      <c r="O1544" s="347"/>
      <c r="Y1544" s="20">
        <f t="shared" si="94"/>
        <v>0</v>
      </c>
      <c r="AA1544" s="98">
        <f t="shared" si="92"/>
        <v>0</v>
      </c>
      <c r="AB1544" s="350">
        <f t="shared" si="93"/>
        <v>0</v>
      </c>
    </row>
    <row r="1545" spans="8:28" ht="22.15" customHeight="1" x14ac:dyDescent="0.25">
      <c r="H1545" s="346"/>
      <c r="O1545" s="347"/>
      <c r="Y1545" s="20">
        <f t="shared" si="94"/>
        <v>0</v>
      </c>
      <c r="AA1545" s="98">
        <f t="shared" si="92"/>
        <v>0</v>
      </c>
      <c r="AB1545" s="350">
        <f t="shared" si="93"/>
        <v>0</v>
      </c>
    </row>
    <row r="1546" spans="8:28" ht="22.15" customHeight="1" x14ac:dyDescent="0.25">
      <c r="H1546" s="346"/>
      <c r="O1546" s="347"/>
      <c r="Y1546" s="20">
        <f t="shared" si="94"/>
        <v>0</v>
      </c>
      <c r="AA1546" s="98">
        <f t="shared" si="92"/>
        <v>0</v>
      </c>
      <c r="AB1546" s="350">
        <f t="shared" si="93"/>
        <v>0</v>
      </c>
    </row>
    <row r="1547" spans="8:28" ht="22.15" customHeight="1" x14ac:dyDescent="0.25">
      <c r="H1547" s="346"/>
      <c r="O1547" s="347"/>
      <c r="Y1547" s="20">
        <f t="shared" si="94"/>
        <v>0</v>
      </c>
      <c r="AA1547" s="98">
        <f t="shared" si="92"/>
        <v>0</v>
      </c>
      <c r="AB1547" s="350">
        <f t="shared" si="93"/>
        <v>0</v>
      </c>
    </row>
    <row r="1548" spans="8:28" ht="22.15" customHeight="1" x14ac:dyDescent="0.25">
      <c r="H1548" s="346"/>
      <c r="O1548" s="347"/>
      <c r="Y1548" s="20">
        <f t="shared" si="94"/>
        <v>0</v>
      </c>
      <c r="AA1548" s="98">
        <f t="shared" si="92"/>
        <v>0</v>
      </c>
      <c r="AB1548" s="350">
        <f t="shared" si="93"/>
        <v>0</v>
      </c>
    </row>
    <row r="1549" spans="8:28" ht="22.15" customHeight="1" x14ac:dyDescent="0.25">
      <c r="H1549" s="346"/>
      <c r="O1549" s="347"/>
      <c r="Y1549" s="20">
        <f t="shared" si="94"/>
        <v>0</v>
      </c>
      <c r="AA1549" s="98">
        <f t="shared" si="92"/>
        <v>0</v>
      </c>
      <c r="AB1549" s="350">
        <f t="shared" si="93"/>
        <v>0</v>
      </c>
    </row>
    <row r="1550" spans="8:28" ht="22.15" customHeight="1" x14ac:dyDescent="0.25">
      <c r="H1550" s="346"/>
      <c r="O1550" s="347"/>
      <c r="Y1550" s="20">
        <f t="shared" si="94"/>
        <v>0</v>
      </c>
      <c r="AA1550" s="98">
        <f t="shared" si="92"/>
        <v>0</v>
      </c>
      <c r="AB1550" s="350">
        <f t="shared" si="93"/>
        <v>0</v>
      </c>
    </row>
    <row r="1551" spans="8:28" ht="22.15" customHeight="1" x14ac:dyDescent="0.25">
      <c r="H1551" s="346"/>
      <c r="O1551" s="347"/>
      <c r="Y1551" s="20">
        <f t="shared" si="94"/>
        <v>0</v>
      </c>
      <c r="AA1551" s="98">
        <f t="shared" si="92"/>
        <v>0</v>
      </c>
      <c r="AB1551" s="350">
        <f t="shared" si="93"/>
        <v>0</v>
      </c>
    </row>
    <row r="1552" spans="8:28" ht="22.15" customHeight="1" x14ac:dyDescent="0.25">
      <c r="H1552" s="346"/>
      <c r="O1552" s="347"/>
      <c r="Y1552" s="20">
        <f t="shared" si="94"/>
        <v>0</v>
      </c>
      <c r="AA1552" s="98">
        <f t="shared" si="92"/>
        <v>0</v>
      </c>
      <c r="AB1552" s="350">
        <f t="shared" si="93"/>
        <v>0</v>
      </c>
    </row>
    <row r="1553" spans="8:28" ht="22.15" customHeight="1" x14ac:dyDescent="0.25">
      <c r="H1553" s="346"/>
      <c r="O1553" s="347"/>
      <c r="Y1553" s="20">
        <f t="shared" si="94"/>
        <v>0</v>
      </c>
      <c r="AA1553" s="98">
        <f t="shared" si="92"/>
        <v>0</v>
      </c>
      <c r="AB1553" s="350">
        <f t="shared" si="93"/>
        <v>0</v>
      </c>
    </row>
    <row r="1554" spans="8:28" ht="22.15" customHeight="1" x14ac:dyDescent="0.25">
      <c r="H1554" s="346"/>
      <c r="O1554" s="347"/>
      <c r="Y1554" s="20">
        <f t="shared" si="94"/>
        <v>0</v>
      </c>
      <c r="AA1554" s="98">
        <f t="shared" si="92"/>
        <v>0</v>
      </c>
      <c r="AB1554" s="350">
        <f t="shared" si="93"/>
        <v>0</v>
      </c>
    </row>
    <row r="1555" spans="8:28" ht="22.15" customHeight="1" x14ac:dyDescent="0.25">
      <c r="H1555" s="346"/>
      <c r="O1555" s="347"/>
      <c r="Y1555" s="20">
        <f t="shared" si="94"/>
        <v>0</v>
      </c>
      <c r="AA1555" s="98">
        <f t="shared" si="92"/>
        <v>0</v>
      </c>
      <c r="AB1555" s="350">
        <f t="shared" si="93"/>
        <v>0</v>
      </c>
    </row>
    <row r="1556" spans="8:28" ht="22.15" customHeight="1" x14ac:dyDescent="0.25">
      <c r="H1556" s="346"/>
      <c r="O1556" s="347"/>
      <c r="Y1556" s="20">
        <f t="shared" si="94"/>
        <v>0</v>
      </c>
      <c r="AA1556" s="98">
        <f t="shared" si="92"/>
        <v>0</v>
      </c>
      <c r="AB1556" s="350">
        <f t="shared" si="93"/>
        <v>0</v>
      </c>
    </row>
    <row r="1557" spans="8:28" ht="22.15" customHeight="1" x14ac:dyDescent="0.25">
      <c r="H1557" s="346"/>
      <c r="O1557" s="347"/>
      <c r="Y1557" s="20">
        <f t="shared" si="94"/>
        <v>0</v>
      </c>
      <c r="AA1557" s="98">
        <f t="shared" si="92"/>
        <v>0</v>
      </c>
      <c r="AB1557" s="350">
        <f t="shared" si="93"/>
        <v>0</v>
      </c>
    </row>
    <row r="1558" spans="8:28" ht="22.15" customHeight="1" x14ac:dyDescent="0.25">
      <c r="H1558" s="346"/>
      <c r="O1558" s="347"/>
      <c r="Y1558" s="20">
        <f t="shared" si="94"/>
        <v>0</v>
      </c>
      <c r="AA1558" s="98">
        <f t="shared" si="92"/>
        <v>0</v>
      </c>
      <c r="AB1558" s="350">
        <f t="shared" si="93"/>
        <v>0</v>
      </c>
    </row>
    <row r="1559" spans="8:28" ht="22.15" customHeight="1" x14ac:dyDescent="0.25">
      <c r="H1559" s="346"/>
      <c r="O1559" s="347"/>
      <c r="Y1559" s="20">
        <f t="shared" si="94"/>
        <v>0</v>
      </c>
      <c r="AA1559" s="98">
        <f t="shared" si="92"/>
        <v>0</v>
      </c>
      <c r="AB1559" s="350">
        <f t="shared" si="93"/>
        <v>0</v>
      </c>
    </row>
    <row r="1560" spans="8:28" ht="22.15" customHeight="1" x14ac:dyDescent="0.25">
      <c r="H1560" s="346"/>
      <c r="O1560" s="347"/>
      <c r="Y1560" s="20">
        <f t="shared" si="94"/>
        <v>0</v>
      </c>
      <c r="AA1560" s="98">
        <f t="shared" si="92"/>
        <v>0</v>
      </c>
      <c r="AB1560" s="350">
        <f t="shared" si="93"/>
        <v>0</v>
      </c>
    </row>
    <row r="1561" spans="8:28" ht="22.15" customHeight="1" x14ac:dyDescent="0.25">
      <c r="H1561" s="346"/>
      <c r="O1561" s="347"/>
      <c r="Y1561" s="20">
        <f t="shared" si="94"/>
        <v>0</v>
      </c>
      <c r="AA1561" s="98">
        <f t="shared" si="92"/>
        <v>0</v>
      </c>
      <c r="AB1561" s="350">
        <f t="shared" si="93"/>
        <v>0</v>
      </c>
    </row>
    <row r="1562" spans="8:28" ht="22.15" customHeight="1" x14ac:dyDescent="0.25">
      <c r="H1562" s="346"/>
      <c r="O1562" s="347"/>
      <c r="Y1562" s="20">
        <f t="shared" si="94"/>
        <v>0</v>
      </c>
      <c r="AA1562" s="98">
        <f t="shared" si="92"/>
        <v>0</v>
      </c>
      <c r="AB1562" s="350">
        <f t="shared" si="93"/>
        <v>0</v>
      </c>
    </row>
    <row r="1563" spans="8:28" ht="22.15" customHeight="1" x14ac:dyDescent="0.25">
      <c r="H1563" s="346"/>
      <c r="O1563" s="347"/>
      <c r="Y1563" s="20">
        <f t="shared" si="94"/>
        <v>0</v>
      </c>
      <c r="AA1563" s="98">
        <f t="shared" si="92"/>
        <v>0</v>
      </c>
      <c r="AB1563" s="350">
        <f t="shared" si="93"/>
        <v>0</v>
      </c>
    </row>
    <row r="1564" spans="8:28" ht="22.15" customHeight="1" x14ac:dyDescent="0.25">
      <c r="H1564" s="346"/>
      <c r="O1564" s="347"/>
      <c r="Y1564" s="20">
        <f t="shared" si="94"/>
        <v>0</v>
      </c>
      <c r="AA1564" s="98">
        <f t="shared" si="92"/>
        <v>0</v>
      </c>
      <c r="AB1564" s="350">
        <f t="shared" si="93"/>
        <v>0</v>
      </c>
    </row>
    <row r="1565" spans="8:28" ht="22.15" customHeight="1" x14ac:dyDescent="0.25">
      <c r="H1565" s="346"/>
      <c r="O1565" s="347"/>
      <c r="Y1565" s="20">
        <f t="shared" si="94"/>
        <v>0</v>
      </c>
      <c r="AA1565" s="98">
        <f t="shared" si="92"/>
        <v>0</v>
      </c>
      <c r="AB1565" s="350">
        <f t="shared" si="93"/>
        <v>0</v>
      </c>
    </row>
    <row r="1566" spans="8:28" ht="22.15" customHeight="1" x14ac:dyDescent="0.25">
      <c r="H1566" s="346"/>
      <c r="O1566" s="347"/>
      <c r="Y1566" s="20">
        <f t="shared" si="94"/>
        <v>0</v>
      </c>
      <c r="AA1566" s="98">
        <f t="shared" si="92"/>
        <v>0</v>
      </c>
      <c r="AB1566" s="350">
        <f t="shared" si="93"/>
        <v>0</v>
      </c>
    </row>
    <row r="1567" spans="8:28" ht="22.15" customHeight="1" x14ac:dyDescent="0.25">
      <c r="H1567" s="346"/>
      <c r="O1567" s="347"/>
      <c r="Y1567" s="20">
        <f t="shared" ref="Y1567:Y1599" si="95">COUNTIF(K:K,K1567)</f>
        <v>0</v>
      </c>
      <c r="AA1567" s="98">
        <f t="shared" si="92"/>
        <v>0</v>
      </c>
      <c r="AB1567" s="350">
        <f t="shared" si="93"/>
        <v>0</v>
      </c>
    </row>
    <row r="1568" spans="8:28" ht="22.15" customHeight="1" x14ac:dyDescent="0.25">
      <c r="H1568" s="346"/>
      <c r="O1568" s="347"/>
      <c r="Y1568" s="20">
        <f t="shared" si="95"/>
        <v>0</v>
      </c>
      <c r="AA1568" s="98">
        <f t="shared" si="92"/>
        <v>0</v>
      </c>
      <c r="AB1568" s="350">
        <f t="shared" si="93"/>
        <v>0</v>
      </c>
    </row>
    <row r="1569" spans="8:28" ht="22.15" customHeight="1" x14ac:dyDescent="0.25">
      <c r="H1569" s="346"/>
      <c r="O1569" s="347"/>
      <c r="Y1569" s="20">
        <f t="shared" si="95"/>
        <v>0</v>
      </c>
      <c r="AA1569" s="98">
        <f t="shared" si="92"/>
        <v>0</v>
      </c>
      <c r="AB1569" s="350">
        <f t="shared" si="93"/>
        <v>0</v>
      </c>
    </row>
    <row r="1570" spans="8:28" ht="22.15" customHeight="1" x14ac:dyDescent="0.25">
      <c r="H1570" s="346"/>
      <c r="O1570" s="347"/>
      <c r="Y1570" s="20">
        <f t="shared" si="95"/>
        <v>0</v>
      </c>
      <c r="AA1570" s="98">
        <f t="shared" si="92"/>
        <v>0</v>
      </c>
      <c r="AB1570" s="350">
        <f t="shared" si="93"/>
        <v>0</v>
      </c>
    </row>
    <row r="1571" spans="8:28" ht="22.15" customHeight="1" x14ac:dyDescent="0.25">
      <c r="H1571" s="346"/>
      <c r="O1571" s="347"/>
      <c r="Y1571" s="20">
        <f t="shared" si="95"/>
        <v>0</v>
      </c>
      <c r="AA1571" s="98">
        <f t="shared" si="92"/>
        <v>0</v>
      </c>
      <c r="AB1571" s="350">
        <f t="shared" si="93"/>
        <v>0</v>
      </c>
    </row>
    <row r="1572" spans="8:28" ht="22.15" customHeight="1" x14ac:dyDescent="0.25">
      <c r="H1572" s="346"/>
      <c r="O1572" s="347"/>
      <c r="Y1572" s="20">
        <f t="shared" si="95"/>
        <v>0</v>
      </c>
      <c r="AA1572" s="98">
        <f t="shared" si="92"/>
        <v>0</v>
      </c>
      <c r="AB1572" s="350">
        <f t="shared" si="93"/>
        <v>0</v>
      </c>
    </row>
    <row r="1573" spans="8:28" ht="22.15" customHeight="1" x14ac:dyDescent="0.25">
      <c r="H1573" s="346"/>
      <c r="O1573" s="347"/>
      <c r="Y1573" s="20">
        <f t="shared" si="95"/>
        <v>0</v>
      </c>
      <c r="AA1573" s="98">
        <f t="shared" si="92"/>
        <v>0</v>
      </c>
      <c r="AB1573" s="350">
        <f t="shared" si="93"/>
        <v>0</v>
      </c>
    </row>
    <row r="1574" spans="8:28" ht="22.15" customHeight="1" x14ac:dyDescent="0.25">
      <c r="H1574" s="346"/>
      <c r="O1574" s="347"/>
      <c r="Y1574" s="20">
        <f t="shared" si="95"/>
        <v>0</v>
      </c>
      <c r="AA1574" s="98">
        <f t="shared" si="92"/>
        <v>0</v>
      </c>
      <c r="AB1574" s="350">
        <f t="shared" si="93"/>
        <v>0</v>
      </c>
    </row>
    <row r="1575" spans="8:28" ht="22.15" customHeight="1" x14ac:dyDescent="0.25">
      <c r="H1575" s="346"/>
      <c r="O1575" s="347"/>
      <c r="Y1575" s="20">
        <f t="shared" si="95"/>
        <v>0</v>
      </c>
      <c r="AA1575" s="98">
        <f t="shared" si="92"/>
        <v>0</v>
      </c>
      <c r="AB1575" s="350">
        <f t="shared" si="93"/>
        <v>0</v>
      </c>
    </row>
    <row r="1576" spans="8:28" ht="22.15" customHeight="1" x14ac:dyDescent="0.25">
      <c r="H1576" s="346"/>
      <c r="O1576" s="347"/>
      <c r="Y1576" s="20">
        <f t="shared" si="95"/>
        <v>0</v>
      </c>
      <c r="AA1576" s="98">
        <f t="shared" si="92"/>
        <v>0</v>
      </c>
      <c r="AB1576" s="350">
        <f t="shared" si="93"/>
        <v>0</v>
      </c>
    </row>
    <row r="1577" spans="8:28" ht="22.15" customHeight="1" x14ac:dyDescent="0.25">
      <c r="H1577" s="346"/>
      <c r="O1577" s="347"/>
      <c r="Y1577" s="20">
        <f t="shared" si="95"/>
        <v>0</v>
      </c>
      <c r="AA1577" s="98">
        <f t="shared" si="92"/>
        <v>0</v>
      </c>
      <c r="AB1577" s="350">
        <f t="shared" si="93"/>
        <v>0</v>
      </c>
    </row>
    <row r="1578" spans="8:28" ht="22.15" customHeight="1" x14ac:dyDescent="0.25">
      <c r="H1578" s="346"/>
      <c r="O1578" s="347"/>
      <c r="Y1578" s="20">
        <f t="shared" si="95"/>
        <v>0</v>
      </c>
      <c r="AA1578" s="98">
        <f t="shared" si="92"/>
        <v>0</v>
      </c>
      <c r="AB1578" s="350">
        <f t="shared" si="93"/>
        <v>0</v>
      </c>
    </row>
    <row r="1579" spans="8:28" ht="22.15" customHeight="1" x14ac:dyDescent="0.25">
      <c r="H1579" s="346"/>
      <c r="O1579" s="347"/>
      <c r="Y1579" s="20">
        <f t="shared" si="95"/>
        <v>0</v>
      </c>
      <c r="AA1579" s="98">
        <f t="shared" si="92"/>
        <v>0</v>
      </c>
      <c r="AB1579" s="350">
        <f t="shared" si="93"/>
        <v>0</v>
      </c>
    </row>
    <row r="1580" spans="8:28" ht="22.15" customHeight="1" x14ac:dyDescent="0.25">
      <c r="H1580" s="346"/>
      <c r="O1580" s="347"/>
      <c r="Y1580" s="20">
        <f t="shared" si="95"/>
        <v>0</v>
      </c>
      <c r="AA1580" s="98">
        <f t="shared" si="92"/>
        <v>0</v>
      </c>
      <c r="AB1580" s="350">
        <f t="shared" si="93"/>
        <v>0</v>
      </c>
    </row>
    <row r="1581" spans="8:28" ht="22.15" customHeight="1" x14ac:dyDescent="0.25">
      <c r="H1581" s="346"/>
      <c r="O1581" s="347"/>
      <c r="Y1581" s="20">
        <f t="shared" si="95"/>
        <v>0</v>
      </c>
      <c r="AA1581" s="98">
        <f t="shared" ref="AA1581:AA1644" si="96">H1581-I1581</f>
        <v>0</v>
      </c>
      <c r="AB1581" s="350">
        <f t="shared" ref="AB1581:AB1644" si="97">R1581-H1581</f>
        <v>0</v>
      </c>
    </row>
    <row r="1582" spans="8:28" ht="22.15" customHeight="1" x14ac:dyDescent="0.25">
      <c r="H1582" s="346"/>
      <c r="O1582" s="347"/>
      <c r="Y1582" s="20">
        <f t="shared" si="95"/>
        <v>0</v>
      </c>
      <c r="AA1582" s="98">
        <f t="shared" si="96"/>
        <v>0</v>
      </c>
      <c r="AB1582" s="350">
        <f t="shared" si="97"/>
        <v>0</v>
      </c>
    </row>
    <row r="1583" spans="8:28" ht="22.15" customHeight="1" x14ac:dyDescent="0.25">
      <c r="H1583" s="346"/>
      <c r="O1583" s="347"/>
      <c r="Y1583" s="20">
        <f t="shared" si="95"/>
        <v>0</v>
      </c>
      <c r="AA1583" s="98">
        <f t="shared" si="96"/>
        <v>0</v>
      </c>
      <c r="AB1583" s="350">
        <f t="shared" si="97"/>
        <v>0</v>
      </c>
    </row>
    <row r="1584" spans="8:28" ht="22.15" customHeight="1" x14ac:dyDescent="0.25">
      <c r="H1584" s="346"/>
      <c r="O1584" s="347"/>
      <c r="Y1584" s="20">
        <f t="shared" si="95"/>
        <v>0</v>
      </c>
      <c r="AA1584" s="98">
        <f t="shared" si="96"/>
        <v>0</v>
      </c>
      <c r="AB1584" s="350">
        <f t="shared" si="97"/>
        <v>0</v>
      </c>
    </row>
    <row r="1585" spans="8:28" ht="22.15" customHeight="1" x14ac:dyDescent="0.25">
      <c r="H1585" s="346"/>
      <c r="O1585" s="347"/>
      <c r="Y1585" s="20">
        <f t="shared" si="95"/>
        <v>0</v>
      </c>
      <c r="AA1585" s="98">
        <f t="shared" si="96"/>
        <v>0</v>
      </c>
      <c r="AB1585" s="350">
        <f t="shared" si="97"/>
        <v>0</v>
      </c>
    </row>
    <row r="1586" spans="8:28" ht="22.15" customHeight="1" x14ac:dyDescent="0.25">
      <c r="H1586" s="346"/>
      <c r="O1586" s="347"/>
      <c r="Y1586" s="20">
        <f t="shared" si="95"/>
        <v>0</v>
      </c>
      <c r="AA1586" s="98">
        <f t="shared" si="96"/>
        <v>0</v>
      </c>
      <c r="AB1586" s="350">
        <f t="shared" si="97"/>
        <v>0</v>
      </c>
    </row>
    <row r="1587" spans="8:28" ht="22.15" customHeight="1" x14ac:dyDescent="0.25">
      <c r="H1587" s="346"/>
      <c r="O1587" s="347"/>
      <c r="Y1587" s="20">
        <f t="shared" si="95"/>
        <v>0</v>
      </c>
      <c r="AA1587" s="98">
        <f t="shared" si="96"/>
        <v>0</v>
      </c>
      <c r="AB1587" s="350">
        <f t="shared" si="97"/>
        <v>0</v>
      </c>
    </row>
    <row r="1588" spans="8:28" ht="22.15" customHeight="1" x14ac:dyDescent="0.25">
      <c r="H1588" s="346"/>
      <c r="O1588" s="347"/>
      <c r="Y1588" s="20">
        <f t="shared" si="95"/>
        <v>0</v>
      </c>
      <c r="AA1588" s="98">
        <f t="shared" si="96"/>
        <v>0</v>
      </c>
      <c r="AB1588" s="350">
        <f t="shared" si="97"/>
        <v>0</v>
      </c>
    </row>
    <row r="1589" spans="8:28" ht="22.15" customHeight="1" x14ac:dyDescent="0.25">
      <c r="H1589" s="346"/>
      <c r="O1589" s="347"/>
      <c r="Y1589" s="20">
        <f t="shared" si="95"/>
        <v>0</v>
      </c>
      <c r="AA1589" s="98">
        <f t="shared" si="96"/>
        <v>0</v>
      </c>
      <c r="AB1589" s="350">
        <f t="shared" si="97"/>
        <v>0</v>
      </c>
    </row>
    <row r="1590" spans="8:28" ht="22.15" customHeight="1" x14ac:dyDescent="0.25">
      <c r="H1590" s="346"/>
      <c r="O1590" s="347"/>
      <c r="Y1590" s="20">
        <f t="shared" si="95"/>
        <v>0</v>
      </c>
      <c r="AA1590" s="98">
        <f t="shared" si="96"/>
        <v>0</v>
      </c>
      <c r="AB1590" s="350">
        <f t="shared" si="97"/>
        <v>0</v>
      </c>
    </row>
    <row r="1591" spans="8:28" ht="22.15" customHeight="1" x14ac:dyDescent="0.25">
      <c r="H1591" s="346"/>
      <c r="O1591" s="347"/>
      <c r="Y1591" s="20">
        <f t="shared" si="95"/>
        <v>0</v>
      </c>
      <c r="AA1591" s="98">
        <f t="shared" si="96"/>
        <v>0</v>
      </c>
      <c r="AB1591" s="350">
        <f t="shared" si="97"/>
        <v>0</v>
      </c>
    </row>
    <row r="1592" spans="8:28" ht="22.15" customHeight="1" x14ac:dyDescent="0.25">
      <c r="H1592" s="346"/>
      <c r="O1592" s="347"/>
      <c r="Y1592" s="20">
        <f t="shared" si="95"/>
        <v>0</v>
      </c>
      <c r="AA1592" s="98">
        <f t="shared" si="96"/>
        <v>0</v>
      </c>
      <c r="AB1592" s="350">
        <f t="shared" si="97"/>
        <v>0</v>
      </c>
    </row>
    <row r="1593" spans="8:28" ht="22.15" customHeight="1" x14ac:dyDescent="0.25">
      <c r="H1593" s="346"/>
      <c r="O1593" s="347"/>
      <c r="Y1593" s="20">
        <f t="shared" si="95"/>
        <v>0</v>
      </c>
      <c r="AA1593" s="98">
        <f t="shared" si="96"/>
        <v>0</v>
      </c>
      <c r="AB1593" s="350">
        <f t="shared" si="97"/>
        <v>0</v>
      </c>
    </row>
    <row r="1594" spans="8:28" ht="22.15" customHeight="1" x14ac:dyDescent="0.25">
      <c r="H1594" s="346"/>
      <c r="O1594" s="347"/>
      <c r="Y1594" s="20">
        <f t="shared" si="95"/>
        <v>0</v>
      </c>
      <c r="AA1594" s="98">
        <f t="shared" si="96"/>
        <v>0</v>
      </c>
      <c r="AB1594" s="350">
        <f t="shared" si="97"/>
        <v>0</v>
      </c>
    </row>
    <row r="1595" spans="8:28" ht="22.15" customHeight="1" x14ac:dyDescent="0.25">
      <c r="H1595" s="346"/>
      <c r="O1595" s="347"/>
      <c r="Y1595" s="20">
        <f t="shared" si="95"/>
        <v>0</v>
      </c>
      <c r="AA1595" s="98">
        <f t="shared" si="96"/>
        <v>0</v>
      </c>
      <c r="AB1595" s="350">
        <f t="shared" si="97"/>
        <v>0</v>
      </c>
    </row>
    <row r="1596" spans="8:28" ht="22.15" customHeight="1" x14ac:dyDescent="0.25">
      <c r="H1596" s="346"/>
      <c r="O1596" s="347"/>
      <c r="Y1596" s="20">
        <f t="shared" si="95"/>
        <v>0</v>
      </c>
      <c r="AA1596" s="98">
        <f t="shared" si="96"/>
        <v>0</v>
      </c>
      <c r="AB1596" s="350">
        <f t="shared" si="97"/>
        <v>0</v>
      </c>
    </row>
    <row r="1597" spans="8:28" ht="22.15" customHeight="1" x14ac:dyDescent="0.25">
      <c r="H1597" s="346"/>
      <c r="O1597" s="347"/>
      <c r="Y1597" s="20">
        <f t="shared" si="95"/>
        <v>0</v>
      </c>
      <c r="AA1597" s="98">
        <f t="shared" si="96"/>
        <v>0</v>
      </c>
      <c r="AB1597" s="350">
        <f t="shared" si="97"/>
        <v>0</v>
      </c>
    </row>
    <row r="1598" spans="8:28" ht="22.15" customHeight="1" x14ac:dyDescent="0.25">
      <c r="H1598" s="346"/>
      <c r="O1598" s="347"/>
      <c r="Y1598" s="20">
        <f t="shared" si="95"/>
        <v>0</v>
      </c>
      <c r="AA1598" s="98">
        <f t="shared" si="96"/>
        <v>0</v>
      </c>
      <c r="AB1598" s="350">
        <f t="shared" si="97"/>
        <v>0</v>
      </c>
    </row>
    <row r="1599" spans="8:28" ht="22.15" customHeight="1" x14ac:dyDescent="0.25">
      <c r="H1599" s="346"/>
      <c r="O1599" s="347"/>
      <c r="Y1599" s="20">
        <f t="shared" si="95"/>
        <v>0</v>
      </c>
      <c r="AA1599" s="98">
        <f t="shared" si="96"/>
        <v>0</v>
      </c>
      <c r="AB1599" s="350">
        <f t="shared" si="97"/>
        <v>0</v>
      </c>
    </row>
    <row r="1600" spans="8:28" ht="22.15" customHeight="1" x14ac:dyDescent="0.25">
      <c r="H1600" s="346"/>
      <c r="O1600" s="347"/>
      <c r="Y1600" s="20">
        <f>COUNTIF(K:K,K1599)</f>
        <v>0</v>
      </c>
      <c r="AA1600" s="98">
        <f>H1599-I1599</f>
        <v>0</v>
      </c>
      <c r="AB1600" s="350">
        <f>R1599-H1599</f>
        <v>0</v>
      </c>
    </row>
    <row r="1601" spans="8:28" ht="22.15" customHeight="1" x14ac:dyDescent="0.25">
      <c r="H1601" s="346"/>
      <c r="O1601" s="347"/>
      <c r="Y1601" s="20">
        <f>COUNTIF(K:K,K1600)</f>
        <v>0</v>
      </c>
      <c r="AA1601" s="98">
        <f>H1600-I1600</f>
        <v>0</v>
      </c>
      <c r="AB1601" s="350">
        <f>R1600-H1600</f>
        <v>0</v>
      </c>
    </row>
    <row r="1602" spans="8:28" ht="22.15" customHeight="1" x14ac:dyDescent="0.25">
      <c r="H1602" s="346"/>
      <c r="O1602" s="347"/>
      <c r="Y1602" s="20">
        <f>COUNTIF(K:K,K1601)</f>
        <v>0</v>
      </c>
      <c r="AA1602" s="98">
        <f>H1601-I1601</f>
        <v>0</v>
      </c>
      <c r="AB1602" s="350">
        <f>R1601-H1601</f>
        <v>0</v>
      </c>
    </row>
    <row r="1603" spans="8:28" ht="22.15" customHeight="1" x14ac:dyDescent="0.25">
      <c r="H1603" s="346"/>
      <c r="O1603" s="347"/>
      <c r="Y1603" s="20">
        <f t="shared" ref="Y1603:Y1634" si="98">COUNTIF(K:K,K1603)</f>
        <v>0</v>
      </c>
      <c r="AA1603" s="98">
        <f t="shared" si="96"/>
        <v>0</v>
      </c>
      <c r="AB1603" s="350">
        <f t="shared" si="97"/>
        <v>0</v>
      </c>
    </row>
    <row r="1604" spans="8:28" ht="22.15" customHeight="1" x14ac:dyDescent="0.25">
      <c r="H1604" s="346"/>
      <c r="O1604" s="347"/>
      <c r="Y1604" s="20">
        <f t="shared" si="98"/>
        <v>0</v>
      </c>
      <c r="AA1604" s="98">
        <f t="shared" si="96"/>
        <v>0</v>
      </c>
      <c r="AB1604" s="350">
        <f t="shared" si="97"/>
        <v>0</v>
      </c>
    </row>
    <row r="1605" spans="8:28" ht="22.15" customHeight="1" x14ac:dyDescent="0.25">
      <c r="H1605" s="346"/>
      <c r="O1605" s="347"/>
      <c r="Y1605" s="20">
        <f t="shared" si="98"/>
        <v>0</v>
      </c>
      <c r="AA1605" s="98">
        <f t="shared" si="96"/>
        <v>0</v>
      </c>
      <c r="AB1605" s="350">
        <f t="shared" si="97"/>
        <v>0</v>
      </c>
    </row>
    <row r="1606" spans="8:28" ht="22.15" customHeight="1" x14ac:dyDescent="0.25">
      <c r="H1606" s="346"/>
      <c r="O1606" s="347"/>
      <c r="Y1606" s="20">
        <f t="shared" si="98"/>
        <v>0</v>
      </c>
      <c r="AA1606" s="98">
        <f t="shared" si="96"/>
        <v>0</v>
      </c>
      <c r="AB1606" s="350">
        <f t="shared" si="97"/>
        <v>0</v>
      </c>
    </row>
    <row r="1607" spans="8:28" ht="22.15" customHeight="1" x14ac:dyDescent="0.25">
      <c r="H1607" s="346"/>
      <c r="O1607" s="347"/>
      <c r="Y1607" s="20">
        <f t="shared" si="98"/>
        <v>0</v>
      </c>
      <c r="AA1607" s="98">
        <f t="shared" si="96"/>
        <v>0</v>
      </c>
      <c r="AB1607" s="350">
        <f t="shared" si="97"/>
        <v>0</v>
      </c>
    </row>
    <row r="1608" spans="8:28" ht="22.15" customHeight="1" x14ac:dyDescent="0.25">
      <c r="H1608" s="346"/>
      <c r="O1608" s="347"/>
      <c r="Y1608" s="20">
        <f t="shared" si="98"/>
        <v>0</v>
      </c>
      <c r="AA1608" s="98">
        <f t="shared" si="96"/>
        <v>0</v>
      </c>
      <c r="AB1608" s="350">
        <f t="shared" si="97"/>
        <v>0</v>
      </c>
    </row>
    <row r="1609" spans="8:28" ht="22.15" customHeight="1" x14ac:dyDescent="0.25">
      <c r="H1609" s="346"/>
      <c r="O1609" s="347"/>
      <c r="Y1609" s="20">
        <f t="shared" si="98"/>
        <v>0</v>
      </c>
      <c r="AA1609" s="98">
        <f t="shared" si="96"/>
        <v>0</v>
      </c>
      <c r="AB1609" s="350">
        <f t="shared" si="97"/>
        <v>0</v>
      </c>
    </row>
    <row r="1610" spans="8:28" ht="22.15" customHeight="1" x14ac:dyDescent="0.25">
      <c r="H1610" s="346"/>
      <c r="O1610" s="347"/>
      <c r="Y1610" s="20">
        <f t="shared" si="98"/>
        <v>0</v>
      </c>
      <c r="AA1610" s="98">
        <f t="shared" si="96"/>
        <v>0</v>
      </c>
      <c r="AB1610" s="350">
        <f t="shared" si="97"/>
        <v>0</v>
      </c>
    </row>
    <row r="1611" spans="8:28" ht="22.15" customHeight="1" x14ac:dyDescent="0.25">
      <c r="H1611" s="346"/>
      <c r="O1611" s="347"/>
      <c r="Y1611" s="20">
        <f t="shared" si="98"/>
        <v>0</v>
      </c>
      <c r="AA1611" s="98">
        <f t="shared" si="96"/>
        <v>0</v>
      </c>
      <c r="AB1611" s="350">
        <f t="shared" si="97"/>
        <v>0</v>
      </c>
    </row>
    <row r="1612" spans="8:28" ht="22.15" customHeight="1" x14ac:dyDescent="0.25">
      <c r="H1612" s="346"/>
      <c r="O1612" s="347"/>
      <c r="Y1612" s="20">
        <f t="shared" si="98"/>
        <v>0</v>
      </c>
      <c r="AA1612" s="98">
        <f t="shared" si="96"/>
        <v>0</v>
      </c>
      <c r="AB1612" s="350">
        <f t="shared" si="97"/>
        <v>0</v>
      </c>
    </row>
    <row r="1613" spans="8:28" ht="22.15" customHeight="1" x14ac:dyDescent="0.25">
      <c r="H1613" s="346"/>
      <c r="O1613" s="347"/>
      <c r="Y1613" s="20">
        <f t="shared" si="98"/>
        <v>0</v>
      </c>
      <c r="AA1613" s="98">
        <f t="shared" si="96"/>
        <v>0</v>
      </c>
      <c r="AB1613" s="350">
        <f t="shared" si="97"/>
        <v>0</v>
      </c>
    </row>
    <row r="1614" spans="8:28" ht="22.15" customHeight="1" x14ac:dyDescent="0.25">
      <c r="H1614" s="346"/>
      <c r="O1614" s="347"/>
      <c r="Y1614" s="20">
        <f t="shared" si="98"/>
        <v>0</v>
      </c>
      <c r="AA1614" s="98">
        <f t="shared" si="96"/>
        <v>0</v>
      </c>
      <c r="AB1614" s="350">
        <f t="shared" si="97"/>
        <v>0</v>
      </c>
    </row>
    <row r="1615" spans="8:28" ht="22.15" customHeight="1" x14ac:dyDescent="0.25">
      <c r="H1615" s="346"/>
      <c r="O1615" s="347"/>
      <c r="Y1615" s="20">
        <f t="shared" si="98"/>
        <v>0</v>
      </c>
      <c r="AA1615" s="98">
        <f t="shared" si="96"/>
        <v>0</v>
      </c>
      <c r="AB1615" s="350">
        <f t="shared" si="97"/>
        <v>0</v>
      </c>
    </row>
    <row r="1616" spans="8:28" ht="22.15" customHeight="1" x14ac:dyDescent="0.25">
      <c r="H1616" s="346"/>
      <c r="O1616" s="347"/>
      <c r="Y1616" s="20">
        <f t="shared" si="98"/>
        <v>0</v>
      </c>
      <c r="AA1616" s="98">
        <f t="shared" si="96"/>
        <v>0</v>
      </c>
      <c r="AB1616" s="350">
        <f t="shared" si="97"/>
        <v>0</v>
      </c>
    </row>
    <row r="1617" spans="8:28" ht="22.15" customHeight="1" x14ac:dyDescent="0.25">
      <c r="H1617" s="346"/>
      <c r="O1617" s="347"/>
      <c r="Y1617" s="20">
        <f t="shared" si="98"/>
        <v>0</v>
      </c>
      <c r="AA1617" s="98">
        <f t="shared" si="96"/>
        <v>0</v>
      </c>
      <c r="AB1617" s="350">
        <f t="shared" si="97"/>
        <v>0</v>
      </c>
    </row>
    <row r="1618" spans="8:28" ht="22.15" customHeight="1" x14ac:dyDescent="0.25">
      <c r="H1618" s="346"/>
      <c r="O1618" s="347"/>
      <c r="Y1618" s="20">
        <f t="shared" si="98"/>
        <v>0</v>
      </c>
      <c r="AA1618" s="98">
        <f t="shared" si="96"/>
        <v>0</v>
      </c>
      <c r="AB1618" s="350">
        <f t="shared" si="97"/>
        <v>0</v>
      </c>
    </row>
    <row r="1619" spans="8:28" ht="22.15" customHeight="1" x14ac:dyDescent="0.25">
      <c r="H1619" s="346"/>
      <c r="O1619" s="347"/>
      <c r="Y1619" s="20">
        <f t="shared" si="98"/>
        <v>0</v>
      </c>
      <c r="AA1619" s="98">
        <f t="shared" si="96"/>
        <v>0</v>
      </c>
      <c r="AB1619" s="350">
        <f t="shared" si="97"/>
        <v>0</v>
      </c>
    </row>
    <row r="1620" spans="8:28" ht="22.15" customHeight="1" x14ac:dyDescent="0.25">
      <c r="H1620" s="346"/>
      <c r="O1620" s="347"/>
      <c r="Y1620" s="20">
        <f t="shared" si="98"/>
        <v>0</v>
      </c>
      <c r="AA1620" s="98">
        <f t="shared" si="96"/>
        <v>0</v>
      </c>
      <c r="AB1620" s="350">
        <f t="shared" si="97"/>
        <v>0</v>
      </c>
    </row>
    <row r="1621" spans="8:28" ht="22.15" customHeight="1" x14ac:dyDescent="0.25">
      <c r="H1621" s="346"/>
      <c r="O1621" s="347"/>
      <c r="Y1621" s="20">
        <f t="shared" si="98"/>
        <v>0</v>
      </c>
      <c r="AA1621" s="98">
        <f t="shared" si="96"/>
        <v>0</v>
      </c>
      <c r="AB1621" s="350">
        <f t="shared" si="97"/>
        <v>0</v>
      </c>
    </row>
    <row r="1622" spans="8:28" ht="22.15" customHeight="1" x14ac:dyDescent="0.25">
      <c r="H1622" s="346"/>
      <c r="O1622" s="347"/>
      <c r="Y1622" s="20">
        <f t="shared" si="98"/>
        <v>0</v>
      </c>
      <c r="AA1622" s="98">
        <f t="shared" si="96"/>
        <v>0</v>
      </c>
      <c r="AB1622" s="350">
        <f t="shared" si="97"/>
        <v>0</v>
      </c>
    </row>
    <row r="1623" spans="8:28" ht="22.15" customHeight="1" x14ac:dyDescent="0.25">
      <c r="H1623" s="346"/>
      <c r="O1623" s="347"/>
      <c r="Y1623" s="20">
        <f t="shared" si="98"/>
        <v>0</v>
      </c>
      <c r="AA1623" s="98">
        <f t="shared" si="96"/>
        <v>0</v>
      </c>
      <c r="AB1623" s="350">
        <f t="shared" si="97"/>
        <v>0</v>
      </c>
    </row>
    <row r="1624" spans="8:28" ht="22.15" customHeight="1" x14ac:dyDescent="0.25">
      <c r="H1624" s="346"/>
      <c r="O1624" s="347"/>
      <c r="Y1624" s="20">
        <f t="shared" si="98"/>
        <v>0</v>
      </c>
      <c r="AA1624" s="98">
        <f t="shared" si="96"/>
        <v>0</v>
      </c>
      <c r="AB1624" s="350">
        <f t="shared" si="97"/>
        <v>0</v>
      </c>
    </row>
    <row r="1625" spans="8:28" ht="22.15" customHeight="1" x14ac:dyDescent="0.25">
      <c r="H1625" s="346"/>
      <c r="O1625" s="347"/>
      <c r="Y1625" s="20">
        <f t="shared" si="98"/>
        <v>0</v>
      </c>
      <c r="AA1625" s="98">
        <f t="shared" si="96"/>
        <v>0</v>
      </c>
      <c r="AB1625" s="350">
        <f t="shared" si="97"/>
        <v>0</v>
      </c>
    </row>
    <row r="1626" spans="8:28" ht="22.15" customHeight="1" x14ac:dyDescent="0.25">
      <c r="H1626" s="346"/>
      <c r="O1626" s="347"/>
      <c r="Y1626" s="20">
        <f t="shared" si="98"/>
        <v>0</v>
      </c>
      <c r="AA1626" s="98">
        <f t="shared" si="96"/>
        <v>0</v>
      </c>
      <c r="AB1626" s="350">
        <f t="shared" si="97"/>
        <v>0</v>
      </c>
    </row>
    <row r="1627" spans="8:28" ht="22.15" customHeight="1" x14ac:dyDescent="0.25">
      <c r="H1627" s="346"/>
      <c r="O1627" s="347"/>
      <c r="Y1627" s="20">
        <f t="shared" si="98"/>
        <v>0</v>
      </c>
      <c r="AA1627" s="98">
        <f t="shared" si="96"/>
        <v>0</v>
      </c>
      <c r="AB1627" s="350">
        <f t="shared" si="97"/>
        <v>0</v>
      </c>
    </row>
    <row r="1628" spans="8:28" ht="22.15" customHeight="1" x14ac:dyDescent="0.25">
      <c r="H1628" s="346"/>
      <c r="O1628" s="347"/>
      <c r="Y1628" s="20">
        <f t="shared" si="98"/>
        <v>0</v>
      </c>
      <c r="AA1628" s="98">
        <f t="shared" si="96"/>
        <v>0</v>
      </c>
      <c r="AB1628" s="350">
        <f t="shared" si="97"/>
        <v>0</v>
      </c>
    </row>
    <row r="1629" spans="8:28" ht="22.15" customHeight="1" x14ac:dyDescent="0.25">
      <c r="H1629" s="346"/>
      <c r="O1629" s="347"/>
      <c r="Y1629" s="20">
        <f t="shared" si="98"/>
        <v>0</v>
      </c>
      <c r="AA1629" s="98">
        <f t="shared" si="96"/>
        <v>0</v>
      </c>
      <c r="AB1629" s="350">
        <f t="shared" si="97"/>
        <v>0</v>
      </c>
    </row>
    <row r="1630" spans="8:28" ht="22.15" customHeight="1" x14ac:dyDescent="0.25">
      <c r="H1630" s="346"/>
      <c r="O1630" s="347"/>
      <c r="Y1630" s="20">
        <f t="shared" si="98"/>
        <v>0</v>
      </c>
      <c r="AA1630" s="98">
        <f t="shared" si="96"/>
        <v>0</v>
      </c>
      <c r="AB1630" s="350">
        <f t="shared" si="97"/>
        <v>0</v>
      </c>
    </row>
    <row r="1631" spans="8:28" ht="22.15" customHeight="1" x14ac:dyDescent="0.25">
      <c r="H1631" s="346"/>
      <c r="O1631" s="347"/>
      <c r="Y1631" s="20">
        <f t="shared" si="98"/>
        <v>0</v>
      </c>
      <c r="AA1631" s="98">
        <f t="shared" si="96"/>
        <v>0</v>
      </c>
      <c r="AB1631" s="350">
        <f t="shared" si="97"/>
        <v>0</v>
      </c>
    </row>
    <row r="1632" spans="8:28" ht="22.15" customHeight="1" x14ac:dyDescent="0.25">
      <c r="H1632" s="346"/>
      <c r="O1632" s="347"/>
      <c r="Y1632" s="20">
        <f t="shared" si="98"/>
        <v>0</v>
      </c>
      <c r="AA1632" s="98">
        <f t="shared" si="96"/>
        <v>0</v>
      </c>
      <c r="AB1632" s="350">
        <f t="shared" si="97"/>
        <v>0</v>
      </c>
    </row>
    <row r="1633" spans="8:28" ht="22.15" customHeight="1" x14ac:dyDescent="0.25">
      <c r="H1633" s="346"/>
      <c r="O1633" s="347"/>
      <c r="Y1633" s="20">
        <f t="shared" si="98"/>
        <v>0</v>
      </c>
      <c r="AA1633" s="98">
        <f t="shared" si="96"/>
        <v>0</v>
      </c>
      <c r="AB1633" s="350">
        <f t="shared" si="97"/>
        <v>0</v>
      </c>
    </row>
    <row r="1634" spans="8:28" ht="22.15" customHeight="1" x14ac:dyDescent="0.25">
      <c r="H1634" s="346"/>
      <c r="O1634" s="347"/>
      <c r="Y1634" s="20">
        <f t="shared" si="98"/>
        <v>0</v>
      </c>
      <c r="AA1634" s="98">
        <f t="shared" si="96"/>
        <v>0</v>
      </c>
      <c r="AB1634" s="350">
        <f t="shared" si="97"/>
        <v>0</v>
      </c>
    </row>
    <row r="1635" spans="8:28" ht="22.15" customHeight="1" x14ac:dyDescent="0.25">
      <c r="H1635" s="346"/>
      <c r="O1635" s="347"/>
      <c r="Y1635" s="20">
        <f t="shared" ref="Y1635:Y1666" si="99">COUNTIF(K:K,K1635)</f>
        <v>0</v>
      </c>
      <c r="AA1635" s="98">
        <f t="shared" si="96"/>
        <v>0</v>
      </c>
      <c r="AB1635" s="350">
        <f t="shared" si="97"/>
        <v>0</v>
      </c>
    </row>
    <row r="1636" spans="8:28" ht="22.15" customHeight="1" x14ac:dyDescent="0.25">
      <c r="H1636" s="346"/>
      <c r="O1636" s="347"/>
      <c r="Y1636" s="20">
        <f t="shared" si="99"/>
        <v>0</v>
      </c>
      <c r="AA1636" s="98">
        <f t="shared" si="96"/>
        <v>0</v>
      </c>
      <c r="AB1636" s="350">
        <f t="shared" si="97"/>
        <v>0</v>
      </c>
    </row>
    <row r="1637" spans="8:28" ht="22.15" customHeight="1" x14ac:dyDescent="0.25">
      <c r="H1637" s="346"/>
      <c r="O1637" s="347"/>
      <c r="Y1637" s="20">
        <f t="shared" si="99"/>
        <v>0</v>
      </c>
      <c r="AA1637" s="98">
        <f t="shared" si="96"/>
        <v>0</v>
      </c>
      <c r="AB1637" s="350">
        <f t="shared" si="97"/>
        <v>0</v>
      </c>
    </row>
    <row r="1638" spans="8:28" ht="22.15" customHeight="1" x14ac:dyDescent="0.25">
      <c r="H1638" s="346"/>
      <c r="O1638" s="347"/>
      <c r="Y1638" s="20">
        <f t="shared" si="99"/>
        <v>0</v>
      </c>
      <c r="AA1638" s="98">
        <f t="shared" si="96"/>
        <v>0</v>
      </c>
      <c r="AB1638" s="350">
        <f t="shared" si="97"/>
        <v>0</v>
      </c>
    </row>
    <row r="1639" spans="8:28" ht="22.15" customHeight="1" x14ac:dyDescent="0.25">
      <c r="H1639" s="346"/>
      <c r="O1639" s="347"/>
      <c r="Y1639" s="20">
        <f t="shared" si="99"/>
        <v>0</v>
      </c>
      <c r="AA1639" s="98">
        <f t="shared" si="96"/>
        <v>0</v>
      </c>
      <c r="AB1639" s="350">
        <f t="shared" si="97"/>
        <v>0</v>
      </c>
    </row>
    <row r="1640" spans="8:28" ht="22.15" customHeight="1" x14ac:dyDescent="0.25">
      <c r="H1640" s="346"/>
      <c r="O1640" s="347"/>
      <c r="Y1640" s="20">
        <f t="shared" si="99"/>
        <v>0</v>
      </c>
      <c r="AA1640" s="98">
        <f t="shared" si="96"/>
        <v>0</v>
      </c>
      <c r="AB1640" s="350">
        <f t="shared" si="97"/>
        <v>0</v>
      </c>
    </row>
    <row r="1641" spans="8:28" ht="22.15" customHeight="1" x14ac:dyDescent="0.25">
      <c r="H1641" s="346"/>
      <c r="O1641" s="347"/>
      <c r="Y1641" s="20">
        <f t="shared" si="99"/>
        <v>0</v>
      </c>
      <c r="AA1641" s="98">
        <f t="shared" si="96"/>
        <v>0</v>
      </c>
      <c r="AB1641" s="350">
        <f t="shared" si="97"/>
        <v>0</v>
      </c>
    </row>
    <row r="1642" spans="8:28" ht="22.15" customHeight="1" x14ac:dyDescent="0.25">
      <c r="H1642" s="346"/>
      <c r="O1642" s="347"/>
      <c r="Y1642" s="20">
        <f t="shared" si="99"/>
        <v>0</v>
      </c>
      <c r="AA1642" s="98">
        <f t="shared" si="96"/>
        <v>0</v>
      </c>
      <c r="AB1642" s="350">
        <f t="shared" si="97"/>
        <v>0</v>
      </c>
    </row>
    <row r="1643" spans="8:28" ht="22.15" customHeight="1" x14ac:dyDescent="0.25">
      <c r="H1643" s="346"/>
      <c r="O1643" s="347"/>
      <c r="Y1643" s="20">
        <f t="shared" si="99"/>
        <v>0</v>
      </c>
      <c r="AA1643" s="98">
        <f t="shared" si="96"/>
        <v>0</v>
      </c>
      <c r="AB1643" s="350">
        <f t="shared" si="97"/>
        <v>0</v>
      </c>
    </row>
    <row r="1644" spans="8:28" ht="22.15" customHeight="1" x14ac:dyDescent="0.25">
      <c r="H1644" s="346"/>
      <c r="O1644" s="347"/>
      <c r="Y1644" s="20">
        <f t="shared" si="99"/>
        <v>0</v>
      </c>
      <c r="AA1644" s="98">
        <f t="shared" si="96"/>
        <v>0</v>
      </c>
      <c r="AB1644" s="350">
        <f t="shared" si="97"/>
        <v>0</v>
      </c>
    </row>
    <row r="1645" spans="8:28" ht="22.15" customHeight="1" x14ac:dyDescent="0.25">
      <c r="H1645" s="346"/>
      <c r="O1645" s="347"/>
      <c r="Y1645" s="20">
        <f t="shared" si="99"/>
        <v>0</v>
      </c>
      <c r="AA1645" s="98">
        <f t="shared" ref="AA1645:AA1707" si="100">H1645-I1645</f>
        <v>0</v>
      </c>
      <c r="AB1645" s="350">
        <f t="shared" ref="AB1645:AB1707" si="101">R1645-H1645</f>
        <v>0</v>
      </c>
    </row>
    <row r="1646" spans="8:28" ht="22.15" customHeight="1" x14ac:dyDescent="0.25">
      <c r="H1646" s="346"/>
      <c r="O1646" s="347"/>
      <c r="Y1646" s="20">
        <f t="shared" si="99"/>
        <v>0</v>
      </c>
      <c r="AA1646" s="98">
        <f t="shared" si="100"/>
        <v>0</v>
      </c>
      <c r="AB1646" s="350">
        <f t="shared" si="101"/>
        <v>0</v>
      </c>
    </row>
    <row r="1647" spans="8:28" ht="22.15" customHeight="1" x14ac:dyDescent="0.25">
      <c r="H1647" s="346"/>
      <c r="O1647" s="347"/>
      <c r="Y1647" s="20">
        <f t="shared" si="99"/>
        <v>0</v>
      </c>
      <c r="AA1647" s="98">
        <f t="shared" si="100"/>
        <v>0</v>
      </c>
      <c r="AB1647" s="350">
        <f t="shared" si="101"/>
        <v>0</v>
      </c>
    </row>
    <row r="1648" spans="8:28" ht="22.15" customHeight="1" x14ac:dyDescent="0.25">
      <c r="H1648" s="346"/>
      <c r="O1648" s="347"/>
      <c r="Y1648" s="20">
        <f t="shared" si="99"/>
        <v>0</v>
      </c>
      <c r="AA1648" s="98">
        <f t="shared" si="100"/>
        <v>0</v>
      </c>
      <c r="AB1648" s="350">
        <f t="shared" si="101"/>
        <v>0</v>
      </c>
    </row>
    <row r="1649" spans="8:28" ht="22.15" customHeight="1" x14ac:dyDescent="0.25">
      <c r="H1649" s="346"/>
      <c r="O1649" s="347"/>
      <c r="Y1649" s="20">
        <f t="shared" si="99"/>
        <v>0</v>
      </c>
      <c r="AA1649" s="98">
        <f t="shared" si="100"/>
        <v>0</v>
      </c>
      <c r="AB1649" s="350">
        <f t="shared" si="101"/>
        <v>0</v>
      </c>
    </row>
    <row r="1650" spans="8:28" ht="22.15" customHeight="1" x14ac:dyDescent="0.25">
      <c r="H1650" s="346"/>
      <c r="O1650" s="347"/>
      <c r="Y1650" s="20">
        <f t="shared" si="99"/>
        <v>0</v>
      </c>
      <c r="AA1650" s="98">
        <f t="shared" si="100"/>
        <v>0</v>
      </c>
      <c r="AB1650" s="350">
        <f t="shared" si="101"/>
        <v>0</v>
      </c>
    </row>
    <row r="1651" spans="8:28" ht="22.15" customHeight="1" x14ac:dyDescent="0.25">
      <c r="H1651" s="346"/>
      <c r="O1651" s="347"/>
      <c r="Y1651" s="20">
        <f t="shared" si="99"/>
        <v>0</v>
      </c>
      <c r="AA1651" s="98">
        <f t="shared" si="100"/>
        <v>0</v>
      </c>
      <c r="AB1651" s="350">
        <f t="shared" si="101"/>
        <v>0</v>
      </c>
    </row>
    <row r="1652" spans="8:28" ht="22.15" customHeight="1" x14ac:dyDescent="0.25">
      <c r="H1652" s="346"/>
      <c r="O1652" s="347"/>
      <c r="Y1652" s="20">
        <f t="shared" si="99"/>
        <v>0</v>
      </c>
      <c r="AA1652" s="98">
        <f t="shared" si="100"/>
        <v>0</v>
      </c>
      <c r="AB1652" s="350">
        <f t="shared" si="101"/>
        <v>0</v>
      </c>
    </row>
    <row r="1653" spans="8:28" ht="22.15" customHeight="1" x14ac:dyDescent="0.25">
      <c r="H1653" s="346"/>
      <c r="O1653" s="347"/>
      <c r="Y1653" s="20">
        <f t="shared" si="99"/>
        <v>0</v>
      </c>
      <c r="AA1653" s="98">
        <f t="shared" si="100"/>
        <v>0</v>
      </c>
      <c r="AB1653" s="350">
        <f t="shared" si="101"/>
        <v>0</v>
      </c>
    </row>
    <row r="1654" spans="8:28" ht="22.15" customHeight="1" x14ac:dyDescent="0.25">
      <c r="H1654" s="346"/>
      <c r="O1654" s="347"/>
      <c r="Y1654" s="20">
        <f t="shared" si="99"/>
        <v>0</v>
      </c>
      <c r="AA1654" s="98">
        <f t="shared" si="100"/>
        <v>0</v>
      </c>
      <c r="AB1654" s="350">
        <f t="shared" si="101"/>
        <v>0</v>
      </c>
    </row>
    <row r="1655" spans="8:28" ht="22.15" customHeight="1" x14ac:dyDescent="0.25">
      <c r="H1655" s="346"/>
      <c r="O1655" s="347"/>
      <c r="Y1655" s="20">
        <f t="shared" si="99"/>
        <v>0</v>
      </c>
      <c r="AA1655" s="98">
        <f t="shared" si="100"/>
        <v>0</v>
      </c>
      <c r="AB1655" s="350">
        <f t="shared" si="101"/>
        <v>0</v>
      </c>
    </row>
    <row r="1656" spans="8:28" ht="22.15" customHeight="1" x14ac:dyDescent="0.25">
      <c r="H1656" s="346"/>
      <c r="O1656" s="347"/>
      <c r="Y1656" s="20">
        <f t="shared" si="99"/>
        <v>0</v>
      </c>
      <c r="AA1656" s="98">
        <f t="shared" si="100"/>
        <v>0</v>
      </c>
      <c r="AB1656" s="350">
        <f t="shared" si="101"/>
        <v>0</v>
      </c>
    </row>
    <row r="1657" spans="8:28" ht="22.15" customHeight="1" x14ac:dyDescent="0.25">
      <c r="H1657" s="346"/>
      <c r="O1657" s="347"/>
      <c r="Y1657" s="20">
        <f t="shared" si="99"/>
        <v>0</v>
      </c>
      <c r="AA1657" s="98">
        <f t="shared" si="100"/>
        <v>0</v>
      </c>
      <c r="AB1657" s="350">
        <f t="shared" si="101"/>
        <v>0</v>
      </c>
    </row>
    <row r="1658" spans="8:28" ht="22.15" customHeight="1" x14ac:dyDescent="0.25">
      <c r="H1658" s="346"/>
      <c r="O1658" s="347"/>
      <c r="Y1658" s="20">
        <f t="shared" si="99"/>
        <v>0</v>
      </c>
      <c r="AA1658" s="98">
        <f t="shared" si="100"/>
        <v>0</v>
      </c>
      <c r="AB1658" s="350">
        <f t="shared" si="101"/>
        <v>0</v>
      </c>
    </row>
    <row r="1659" spans="8:28" ht="22.15" customHeight="1" x14ac:dyDescent="0.25">
      <c r="H1659" s="346"/>
      <c r="O1659" s="347"/>
      <c r="Y1659" s="20">
        <f t="shared" si="99"/>
        <v>0</v>
      </c>
      <c r="AA1659" s="98">
        <f t="shared" si="100"/>
        <v>0</v>
      </c>
      <c r="AB1659" s="350">
        <f t="shared" si="101"/>
        <v>0</v>
      </c>
    </row>
    <row r="1660" spans="8:28" ht="22.15" customHeight="1" x14ac:dyDescent="0.25">
      <c r="H1660" s="346"/>
      <c r="O1660" s="347"/>
      <c r="Y1660" s="20">
        <f t="shared" si="99"/>
        <v>0</v>
      </c>
      <c r="AA1660" s="98">
        <f t="shared" si="100"/>
        <v>0</v>
      </c>
      <c r="AB1660" s="350">
        <f t="shared" si="101"/>
        <v>0</v>
      </c>
    </row>
    <row r="1661" spans="8:28" ht="22.15" customHeight="1" x14ac:dyDescent="0.25">
      <c r="H1661" s="346"/>
      <c r="O1661" s="347"/>
      <c r="Y1661" s="20">
        <f t="shared" si="99"/>
        <v>0</v>
      </c>
      <c r="AA1661" s="98">
        <f t="shared" si="100"/>
        <v>0</v>
      </c>
      <c r="AB1661" s="350">
        <f t="shared" si="101"/>
        <v>0</v>
      </c>
    </row>
    <row r="1662" spans="8:28" ht="22.15" customHeight="1" x14ac:dyDescent="0.25">
      <c r="H1662" s="346"/>
      <c r="O1662" s="347"/>
      <c r="Y1662" s="20">
        <f t="shared" si="99"/>
        <v>0</v>
      </c>
      <c r="AA1662" s="98">
        <f t="shared" si="100"/>
        <v>0</v>
      </c>
      <c r="AB1662" s="350">
        <f t="shared" si="101"/>
        <v>0</v>
      </c>
    </row>
    <row r="1663" spans="8:28" ht="22.15" customHeight="1" x14ac:dyDescent="0.25">
      <c r="H1663" s="346"/>
      <c r="O1663" s="347"/>
      <c r="Y1663" s="20">
        <f t="shared" si="99"/>
        <v>0</v>
      </c>
      <c r="AA1663" s="98">
        <f t="shared" si="100"/>
        <v>0</v>
      </c>
      <c r="AB1663" s="350">
        <f t="shared" si="101"/>
        <v>0</v>
      </c>
    </row>
    <row r="1664" spans="8:28" ht="22.15" customHeight="1" x14ac:dyDescent="0.25">
      <c r="H1664" s="346"/>
      <c r="O1664" s="347"/>
      <c r="Y1664" s="20">
        <f t="shared" si="99"/>
        <v>0</v>
      </c>
      <c r="AA1664" s="98">
        <f t="shared" si="100"/>
        <v>0</v>
      </c>
      <c r="AB1664" s="350">
        <f t="shared" si="101"/>
        <v>0</v>
      </c>
    </row>
    <row r="1665" spans="8:28" ht="22.15" customHeight="1" x14ac:dyDescent="0.25">
      <c r="H1665" s="346"/>
      <c r="O1665" s="347"/>
      <c r="Y1665" s="20">
        <f t="shared" si="99"/>
        <v>0</v>
      </c>
      <c r="AA1665" s="98">
        <f t="shared" si="100"/>
        <v>0</v>
      </c>
      <c r="AB1665" s="350">
        <f t="shared" si="101"/>
        <v>0</v>
      </c>
    </row>
    <row r="1666" spans="8:28" ht="22.15" customHeight="1" x14ac:dyDescent="0.25">
      <c r="H1666" s="346"/>
      <c r="O1666" s="347"/>
      <c r="Y1666" s="20">
        <f t="shared" si="99"/>
        <v>0</v>
      </c>
      <c r="AA1666" s="98">
        <f t="shared" si="100"/>
        <v>0</v>
      </c>
      <c r="AB1666" s="350">
        <f t="shared" si="101"/>
        <v>0</v>
      </c>
    </row>
    <row r="1667" spans="8:28" ht="22.15" customHeight="1" x14ac:dyDescent="0.25">
      <c r="H1667" s="346"/>
      <c r="O1667" s="347"/>
      <c r="Y1667" s="20">
        <f t="shared" ref="Y1667:Y1699" si="102">COUNTIF(K:K,K1667)</f>
        <v>0</v>
      </c>
      <c r="AA1667" s="98">
        <f t="shared" si="100"/>
        <v>0</v>
      </c>
      <c r="AB1667" s="350">
        <f t="shared" si="101"/>
        <v>0</v>
      </c>
    </row>
    <row r="1668" spans="8:28" ht="22.15" customHeight="1" x14ac:dyDescent="0.25">
      <c r="H1668" s="346"/>
      <c r="O1668" s="347"/>
      <c r="Y1668" s="20">
        <f t="shared" si="102"/>
        <v>0</v>
      </c>
      <c r="AA1668" s="98">
        <f t="shared" si="100"/>
        <v>0</v>
      </c>
      <c r="AB1668" s="350">
        <f t="shared" si="101"/>
        <v>0</v>
      </c>
    </row>
    <row r="1669" spans="8:28" ht="22.15" customHeight="1" x14ac:dyDescent="0.25">
      <c r="H1669" s="346"/>
      <c r="O1669" s="347"/>
      <c r="Y1669" s="20">
        <f t="shared" si="102"/>
        <v>0</v>
      </c>
      <c r="AA1669" s="98">
        <f t="shared" si="100"/>
        <v>0</v>
      </c>
      <c r="AB1669" s="350">
        <f t="shared" si="101"/>
        <v>0</v>
      </c>
    </row>
    <row r="1670" spans="8:28" ht="22.15" customHeight="1" x14ac:dyDescent="0.25">
      <c r="H1670" s="346"/>
      <c r="O1670" s="347"/>
      <c r="Y1670" s="20">
        <f t="shared" si="102"/>
        <v>0</v>
      </c>
      <c r="AA1670" s="98">
        <f t="shared" si="100"/>
        <v>0</v>
      </c>
      <c r="AB1670" s="350">
        <f t="shared" si="101"/>
        <v>0</v>
      </c>
    </row>
    <row r="1671" spans="8:28" ht="22.15" customHeight="1" x14ac:dyDescent="0.25">
      <c r="H1671" s="346"/>
      <c r="O1671" s="347"/>
      <c r="Y1671" s="20">
        <f t="shared" si="102"/>
        <v>0</v>
      </c>
      <c r="AA1671" s="98">
        <f t="shared" si="100"/>
        <v>0</v>
      </c>
      <c r="AB1671" s="350">
        <f t="shared" si="101"/>
        <v>0</v>
      </c>
    </row>
    <row r="1672" spans="8:28" ht="22.15" customHeight="1" x14ac:dyDescent="0.25">
      <c r="H1672" s="346"/>
      <c r="O1672" s="347"/>
      <c r="Y1672" s="20">
        <f t="shared" si="102"/>
        <v>0</v>
      </c>
      <c r="AA1672" s="98">
        <f t="shared" si="100"/>
        <v>0</v>
      </c>
      <c r="AB1672" s="350">
        <f t="shared" si="101"/>
        <v>0</v>
      </c>
    </row>
    <row r="1673" spans="8:28" ht="22.15" customHeight="1" x14ac:dyDescent="0.25">
      <c r="H1673" s="346"/>
      <c r="O1673" s="347"/>
      <c r="Y1673" s="20">
        <f t="shared" si="102"/>
        <v>0</v>
      </c>
      <c r="AA1673" s="98">
        <f t="shared" si="100"/>
        <v>0</v>
      </c>
      <c r="AB1673" s="350">
        <f t="shared" si="101"/>
        <v>0</v>
      </c>
    </row>
    <row r="1674" spans="8:28" ht="22.15" customHeight="1" x14ac:dyDescent="0.25">
      <c r="H1674" s="346"/>
      <c r="O1674" s="347"/>
      <c r="Y1674" s="20">
        <f t="shared" si="102"/>
        <v>0</v>
      </c>
      <c r="AA1674" s="98">
        <f t="shared" si="100"/>
        <v>0</v>
      </c>
      <c r="AB1674" s="350">
        <f t="shared" si="101"/>
        <v>0</v>
      </c>
    </row>
    <row r="1675" spans="8:28" ht="22.15" customHeight="1" x14ac:dyDescent="0.25">
      <c r="H1675" s="346"/>
      <c r="O1675" s="347"/>
      <c r="Y1675" s="20">
        <f t="shared" si="102"/>
        <v>0</v>
      </c>
      <c r="AA1675" s="98">
        <f t="shared" si="100"/>
        <v>0</v>
      </c>
      <c r="AB1675" s="350">
        <f t="shared" si="101"/>
        <v>0</v>
      </c>
    </row>
    <row r="1676" spans="8:28" ht="22.15" customHeight="1" x14ac:dyDescent="0.25">
      <c r="H1676" s="346"/>
      <c r="O1676" s="347"/>
      <c r="Y1676" s="20">
        <f t="shared" si="102"/>
        <v>0</v>
      </c>
      <c r="AA1676" s="98">
        <f t="shared" si="100"/>
        <v>0</v>
      </c>
      <c r="AB1676" s="350">
        <f t="shared" si="101"/>
        <v>0</v>
      </c>
    </row>
    <row r="1677" spans="8:28" ht="22.15" customHeight="1" x14ac:dyDescent="0.25">
      <c r="H1677" s="346"/>
      <c r="O1677" s="347"/>
      <c r="Y1677" s="20">
        <f t="shared" si="102"/>
        <v>0</v>
      </c>
      <c r="AA1677" s="98">
        <f t="shared" si="100"/>
        <v>0</v>
      </c>
      <c r="AB1677" s="350">
        <f t="shared" si="101"/>
        <v>0</v>
      </c>
    </row>
    <row r="1678" spans="8:28" ht="22.15" customHeight="1" x14ac:dyDescent="0.25">
      <c r="H1678" s="346"/>
      <c r="O1678" s="347"/>
      <c r="Y1678" s="20">
        <f t="shared" si="102"/>
        <v>0</v>
      </c>
      <c r="AA1678" s="98">
        <f t="shared" si="100"/>
        <v>0</v>
      </c>
      <c r="AB1678" s="350">
        <f t="shared" si="101"/>
        <v>0</v>
      </c>
    </row>
    <row r="1679" spans="8:28" ht="22.15" customHeight="1" x14ac:dyDescent="0.25">
      <c r="H1679" s="346"/>
      <c r="O1679" s="347"/>
      <c r="Y1679" s="20">
        <f t="shared" si="102"/>
        <v>0</v>
      </c>
      <c r="AA1679" s="98">
        <f t="shared" si="100"/>
        <v>0</v>
      </c>
      <c r="AB1679" s="350">
        <f t="shared" si="101"/>
        <v>0</v>
      </c>
    </row>
    <row r="1680" spans="8:28" ht="22.15" customHeight="1" x14ac:dyDescent="0.25">
      <c r="H1680" s="346"/>
      <c r="O1680" s="347"/>
      <c r="Y1680" s="20">
        <f t="shared" si="102"/>
        <v>0</v>
      </c>
      <c r="AA1680" s="98">
        <f t="shared" si="100"/>
        <v>0</v>
      </c>
      <c r="AB1680" s="350">
        <f t="shared" si="101"/>
        <v>0</v>
      </c>
    </row>
    <row r="1681" spans="8:28" ht="22.15" customHeight="1" x14ac:dyDescent="0.25">
      <c r="H1681" s="346"/>
      <c r="O1681" s="347"/>
      <c r="Y1681" s="20">
        <f t="shared" si="102"/>
        <v>0</v>
      </c>
      <c r="AA1681" s="98">
        <f t="shared" si="100"/>
        <v>0</v>
      </c>
      <c r="AB1681" s="350">
        <f t="shared" si="101"/>
        <v>0</v>
      </c>
    </row>
    <row r="1682" spans="8:28" ht="22.15" customHeight="1" x14ac:dyDescent="0.25">
      <c r="H1682" s="346"/>
      <c r="O1682" s="347"/>
      <c r="Y1682" s="20">
        <f t="shared" si="102"/>
        <v>0</v>
      </c>
      <c r="AA1682" s="98">
        <f t="shared" si="100"/>
        <v>0</v>
      </c>
      <c r="AB1682" s="350">
        <f t="shared" si="101"/>
        <v>0</v>
      </c>
    </row>
    <row r="1683" spans="8:28" ht="22.15" customHeight="1" x14ac:dyDescent="0.25">
      <c r="H1683" s="346"/>
      <c r="O1683" s="347"/>
      <c r="Y1683" s="20">
        <f t="shared" si="102"/>
        <v>0</v>
      </c>
      <c r="AA1683" s="98">
        <f t="shared" si="100"/>
        <v>0</v>
      </c>
      <c r="AB1683" s="350">
        <f t="shared" si="101"/>
        <v>0</v>
      </c>
    </row>
    <row r="1684" spans="8:28" ht="22.15" customHeight="1" x14ac:dyDescent="0.25">
      <c r="H1684" s="346"/>
      <c r="O1684" s="347"/>
      <c r="Y1684" s="20">
        <f t="shared" si="102"/>
        <v>0</v>
      </c>
      <c r="AA1684" s="98">
        <f t="shared" si="100"/>
        <v>0</v>
      </c>
      <c r="AB1684" s="350">
        <f t="shared" si="101"/>
        <v>0</v>
      </c>
    </row>
    <row r="1685" spans="8:28" ht="22.15" customHeight="1" x14ac:dyDescent="0.25">
      <c r="H1685" s="346"/>
      <c r="O1685" s="347"/>
      <c r="Y1685" s="20">
        <f t="shared" si="102"/>
        <v>0</v>
      </c>
      <c r="AA1685" s="98">
        <f t="shared" si="100"/>
        <v>0</v>
      </c>
      <c r="AB1685" s="350">
        <f t="shared" si="101"/>
        <v>0</v>
      </c>
    </row>
    <row r="1686" spans="8:28" ht="22.15" customHeight="1" x14ac:dyDescent="0.25">
      <c r="H1686" s="346"/>
      <c r="O1686" s="347"/>
      <c r="Y1686" s="20">
        <f t="shared" si="102"/>
        <v>0</v>
      </c>
      <c r="AA1686" s="98">
        <f t="shared" si="100"/>
        <v>0</v>
      </c>
      <c r="AB1686" s="350">
        <f t="shared" si="101"/>
        <v>0</v>
      </c>
    </row>
    <row r="1687" spans="8:28" ht="22.15" customHeight="1" x14ac:dyDescent="0.25">
      <c r="H1687" s="346"/>
      <c r="O1687" s="347"/>
      <c r="Y1687" s="20">
        <f t="shared" si="102"/>
        <v>0</v>
      </c>
      <c r="AA1687" s="98">
        <f t="shared" si="100"/>
        <v>0</v>
      </c>
      <c r="AB1687" s="350">
        <f t="shared" si="101"/>
        <v>0</v>
      </c>
    </row>
    <row r="1688" spans="8:28" ht="22.15" customHeight="1" x14ac:dyDescent="0.25">
      <c r="H1688" s="346"/>
      <c r="O1688" s="347"/>
      <c r="Y1688" s="20">
        <f t="shared" si="102"/>
        <v>0</v>
      </c>
      <c r="AA1688" s="98">
        <f t="shared" si="100"/>
        <v>0</v>
      </c>
      <c r="AB1688" s="350">
        <f t="shared" si="101"/>
        <v>0</v>
      </c>
    </row>
    <row r="1689" spans="8:28" ht="22.15" customHeight="1" x14ac:dyDescent="0.25">
      <c r="H1689" s="346"/>
      <c r="O1689" s="347"/>
      <c r="Y1689" s="20">
        <f t="shared" si="102"/>
        <v>0</v>
      </c>
      <c r="AA1689" s="98">
        <f t="shared" si="100"/>
        <v>0</v>
      </c>
      <c r="AB1689" s="350">
        <f t="shared" si="101"/>
        <v>0</v>
      </c>
    </row>
    <row r="1690" spans="8:28" ht="22.15" customHeight="1" x14ac:dyDescent="0.25">
      <c r="H1690" s="346"/>
      <c r="O1690" s="347"/>
      <c r="Y1690" s="20">
        <f t="shared" si="102"/>
        <v>0</v>
      </c>
      <c r="AA1690" s="98">
        <f t="shared" si="100"/>
        <v>0</v>
      </c>
      <c r="AB1690" s="350">
        <f t="shared" si="101"/>
        <v>0</v>
      </c>
    </row>
    <row r="1691" spans="8:28" ht="22.15" customHeight="1" x14ac:dyDescent="0.25">
      <c r="H1691" s="346"/>
      <c r="O1691" s="347"/>
      <c r="Y1691" s="20">
        <f t="shared" si="102"/>
        <v>0</v>
      </c>
      <c r="AA1691" s="98">
        <f t="shared" si="100"/>
        <v>0</v>
      </c>
      <c r="AB1691" s="350">
        <f t="shared" si="101"/>
        <v>0</v>
      </c>
    </row>
    <row r="1692" spans="8:28" ht="22.15" customHeight="1" x14ac:dyDescent="0.25">
      <c r="H1692" s="346"/>
      <c r="O1692" s="347"/>
      <c r="Y1692" s="20">
        <f t="shared" si="102"/>
        <v>0</v>
      </c>
      <c r="AA1692" s="98">
        <f t="shared" si="100"/>
        <v>0</v>
      </c>
      <c r="AB1692" s="350">
        <f t="shared" si="101"/>
        <v>0</v>
      </c>
    </row>
    <row r="1693" spans="8:28" ht="22.15" customHeight="1" x14ac:dyDescent="0.25">
      <c r="H1693" s="346"/>
      <c r="O1693" s="347"/>
      <c r="Y1693" s="20">
        <f t="shared" si="102"/>
        <v>0</v>
      </c>
      <c r="AA1693" s="98">
        <f t="shared" si="100"/>
        <v>0</v>
      </c>
      <c r="AB1693" s="350">
        <f t="shared" si="101"/>
        <v>0</v>
      </c>
    </row>
    <row r="1694" spans="8:28" ht="22.15" customHeight="1" x14ac:dyDescent="0.25">
      <c r="H1694" s="346"/>
      <c r="O1694" s="347"/>
      <c r="Y1694" s="20">
        <f t="shared" si="102"/>
        <v>0</v>
      </c>
      <c r="AA1694" s="98">
        <f t="shared" si="100"/>
        <v>0</v>
      </c>
      <c r="AB1694" s="350">
        <f t="shared" si="101"/>
        <v>0</v>
      </c>
    </row>
    <row r="1695" spans="8:28" ht="22.15" customHeight="1" x14ac:dyDescent="0.25">
      <c r="H1695" s="346"/>
      <c r="O1695" s="347"/>
      <c r="Y1695" s="20">
        <f t="shared" si="102"/>
        <v>0</v>
      </c>
      <c r="AA1695" s="98">
        <f t="shared" si="100"/>
        <v>0</v>
      </c>
      <c r="AB1695" s="350">
        <f t="shared" si="101"/>
        <v>0</v>
      </c>
    </row>
    <row r="1696" spans="8:28" ht="22.15" customHeight="1" x14ac:dyDescent="0.25">
      <c r="H1696" s="346"/>
      <c r="O1696" s="347"/>
      <c r="Y1696" s="20">
        <f t="shared" si="102"/>
        <v>0</v>
      </c>
      <c r="AA1696" s="98">
        <f t="shared" si="100"/>
        <v>0</v>
      </c>
      <c r="AB1696" s="350">
        <f t="shared" si="101"/>
        <v>0</v>
      </c>
    </row>
    <row r="1697" spans="8:28" ht="22.15" customHeight="1" x14ac:dyDescent="0.25">
      <c r="H1697" s="346"/>
      <c r="O1697" s="347"/>
      <c r="Y1697" s="20">
        <f t="shared" si="102"/>
        <v>0</v>
      </c>
      <c r="AA1697" s="98">
        <f t="shared" si="100"/>
        <v>0</v>
      </c>
      <c r="AB1697" s="350">
        <f t="shared" si="101"/>
        <v>0</v>
      </c>
    </row>
    <row r="1698" spans="8:28" ht="22.15" customHeight="1" x14ac:dyDescent="0.25">
      <c r="H1698" s="346"/>
      <c r="O1698" s="347"/>
      <c r="Y1698" s="20">
        <f t="shared" si="102"/>
        <v>0</v>
      </c>
      <c r="AA1698" s="98">
        <f t="shared" si="100"/>
        <v>0</v>
      </c>
      <c r="AB1698" s="350">
        <f t="shared" si="101"/>
        <v>0</v>
      </c>
    </row>
    <row r="1699" spans="8:28" ht="22.15" customHeight="1" x14ac:dyDescent="0.25">
      <c r="H1699" s="346"/>
      <c r="O1699" s="347"/>
      <c r="Y1699" s="20">
        <f t="shared" si="102"/>
        <v>0</v>
      </c>
      <c r="AA1699" s="98">
        <f t="shared" si="100"/>
        <v>0</v>
      </c>
      <c r="AB1699" s="350">
        <f t="shared" si="101"/>
        <v>0</v>
      </c>
    </row>
    <row r="1700" spans="8:28" ht="22.15" customHeight="1" x14ac:dyDescent="0.25">
      <c r="H1700" s="346"/>
      <c r="O1700" s="347"/>
      <c r="Y1700" s="20">
        <f>COUNTIF(K:K,K1699)</f>
        <v>0</v>
      </c>
      <c r="AA1700" s="98">
        <f>H1699-I1699</f>
        <v>0</v>
      </c>
      <c r="AB1700" s="350">
        <f>R1699-H1699</f>
        <v>0</v>
      </c>
    </row>
    <row r="1701" spans="8:28" ht="22.15" customHeight="1" x14ac:dyDescent="0.25">
      <c r="H1701" s="346"/>
      <c r="O1701" s="347"/>
      <c r="Y1701" s="20">
        <f>COUNTIF(K:K,K1700)</f>
        <v>0</v>
      </c>
      <c r="AA1701" s="98">
        <f>H1700-I1700</f>
        <v>0</v>
      </c>
      <c r="AB1701" s="350">
        <f>R1700-H1700</f>
        <v>0</v>
      </c>
    </row>
    <row r="1702" spans="8:28" ht="22.15" customHeight="1" x14ac:dyDescent="0.25">
      <c r="H1702" s="346"/>
      <c r="O1702" s="347"/>
      <c r="Y1702" s="20">
        <f>COUNTIF(K:K,K1701)</f>
        <v>0</v>
      </c>
      <c r="AA1702" s="98">
        <f>H1701-I1701</f>
        <v>0</v>
      </c>
      <c r="AB1702" s="350">
        <f>R1701-H1701</f>
        <v>0</v>
      </c>
    </row>
    <row r="1703" spans="8:28" ht="22.15" customHeight="1" x14ac:dyDescent="0.25">
      <c r="H1703" s="346"/>
      <c r="O1703" s="347"/>
      <c r="Y1703" s="20">
        <f t="shared" ref="Y1703:Y1723" si="103">COUNTIF(K:K,K1703)</f>
        <v>0</v>
      </c>
      <c r="AA1703" s="98">
        <f t="shared" ref="AA1703:AA1723" si="104">H1703-I1703</f>
        <v>0</v>
      </c>
      <c r="AB1703" s="350">
        <f t="shared" ref="AB1703:AB1723" si="105">R1703-H1703</f>
        <v>0</v>
      </c>
    </row>
    <row r="1704" spans="8:28" ht="22.15" customHeight="1" x14ac:dyDescent="0.25">
      <c r="H1704" s="346"/>
      <c r="O1704" s="347"/>
      <c r="Y1704" s="20">
        <f t="shared" si="103"/>
        <v>0</v>
      </c>
      <c r="AA1704" s="98">
        <f t="shared" si="104"/>
        <v>0</v>
      </c>
      <c r="AB1704" s="350">
        <f t="shared" si="105"/>
        <v>0</v>
      </c>
    </row>
    <row r="1705" spans="8:28" ht="22.15" customHeight="1" x14ac:dyDescent="0.25">
      <c r="H1705" s="346"/>
      <c r="O1705" s="347"/>
      <c r="Y1705" s="20">
        <f t="shared" si="103"/>
        <v>0</v>
      </c>
      <c r="AA1705" s="98">
        <f t="shared" si="104"/>
        <v>0</v>
      </c>
      <c r="AB1705" s="350">
        <f t="shared" si="105"/>
        <v>0</v>
      </c>
    </row>
    <row r="1706" spans="8:28" ht="22.15" customHeight="1" x14ac:dyDescent="0.25">
      <c r="H1706" s="346"/>
      <c r="O1706" s="347"/>
      <c r="Y1706" s="20">
        <f t="shared" si="103"/>
        <v>0</v>
      </c>
      <c r="AA1706" s="98">
        <f t="shared" si="104"/>
        <v>0</v>
      </c>
      <c r="AB1706" s="350">
        <f t="shared" si="105"/>
        <v>0</v>
      </c>
    </row>
    <row r="1707" spans="8:28" ht="22.15" customHeight="1" x14ac:dyDescent="0.25">
      <c r="H1707" s="346"/>
      <c r="O1707" s="347"/>
      <c r="Y1707" s="20">
        <f t="shared" si="103"/>
        <v>0</v>
      </c>
      <c r="AA1707" s="98">
        <f t="shared" si="104"/>
        <v>0</v>
      </c>
      <c r="AB1707" s="350">
        <f t="shared" si="105"/>
        <v>0</v>
      </c>
    </row>
    <row r="1708" spans="8:28" ht="22.15" customHeight="1" x14ac:dyDescent="0.25">
      <c r="H1708" s="346"/>
      <c r="O1708" s="347"/>
      <c r="Y1708" s="20">
        <f t="shared" si="103"/>
        <v>0</v>
      </c>
      <c r="AA1708" s="98">
        <f t="shared" si="104"/>
        <v>0</v>
      </c>
      <c r="AB1708" s="350">
        <f t="shared" si="105"/>
        <v>0</v>
      </c>
    </row>
    <row r="1709" spans="8:28" ht="22.15" customHeight="1" x14ac:dyDescent="0.25">
      <c r="H1709" s="346"/>
      <c r="O1709" s="347"/>
      <c r="Y1709" s="20">
        <f t="shared" si="103"/>
        <v>0</v>
      </c>
      <c r="AA1709" s="98">
        <f t="shared" si="104"/>
        <v>0</v>
      </c>
      <c r="AB1709" s="350">
        <f t="shared" si="105"/>
        <v>0</v>
      </c>
    </row>
    <row r="1710" spans="8:28" ht="22.15" customHeight="1" x14ac:dyDescent="0.25">
      <c r="H1710" s="346"/>
      <c r="O1710" s="347"/>
      <c r="Y1710" s="20">
        <f t="shared" si="103"/>
        <v>0</v>
      </c>
      <c r="AA1710" s="98">
        <f t="shared" si="104"/>
        <v>0</v>
      </c>
      <c r="AB1710" s="350">
        <f t="shared" si="105"/>
        <v>0</v>
      </c>
    </row>
    <row r="1711" spans="8:28" ht="22.15" customHeight="1" x14ac:dyDescent="0.25">
      <c r="H1711" s="346"/>
      <c r="O1711" s="347"/>
      <c r="Y1711" s="20">
        <f t="shared" si="103"/>
        <v>0</v>
      </c>
      <c r="AA1711" s="98">
        <f t="shared" si="104"/>
        <v>0</v>
      </c>
      <c r="AB1711" s="350">
        <f t="shared" si="105"/>
        <v>0</v>
      </c>
    </row>
    <row r="1712" spans="8:28" ht="22.15" customHeight="1" x14ac:dyDescent="0.25">
      <c r="H1712" s="346"/>
      <c r="O1712" s="347"/>
      <c r="Y1712" s="20">
        <f t="shared" si="103"/>
        <v>0</v>
      </c>
      <c r="AA1712" s="98">
        <f t="shared" si="104"/>
        <v>0</v>
      </c>
      <c r="AB1712" s="350">
        <f t="shared" si="105"/>
        <v>0</v>
      </c>
    </row>
    <row r="1713" spans="8:28" ht="22.15" customHeight="1" x14ac:dyDescent="0.25">
      <c r="H1713" s="346"/>
      <c r="O1713" s="347"/>
      <c r="Y1713" s="20">
        <f t="shared" si="103"/>
        <v>0</v>
      </c>
      <c r="AA1713" s="98">
        <f t="shared" si="104"/>
        <v>0</v>
      </c>
      <c r="AB1713" s="350">
        <f t="shared" si="105"/>
        <v>0</v>
      </c>
    </row>
    <row r="1714" spans="8:28" ht="22.15" customHeight="1" x14ac:dyDescent="0.25">
      <c r="H1714" s="346"/>
      <c r="O1714" s="347"/>
      <c r="Y1714" s="20">
        <f t="shared" si="103"/>
        <v>0</v>
      </c>
      <c r="AA1714" s="98">
        <f t="shared" si="104"/>
        <v>0</v>
      </c>
      <c r="AB1714" s="350">
        <f t="shared" si="105"/>
        <v>0</v>
      </c>
    </row>
    <row r="1715" spans="8:28" ht="22.15" customHeight="1" x14ac:dyDescent="0.25">
      <c r="H1715" s="346"/>
      <c r="O1715" s="347"/>
      <c r="Y1715" s="20">
        <f t="shared" si="103"/>
        <v>0</v>
      </c>
      <c r="AA1715" s="98">
        <f t="shared" si="104"/>
        <v>0</v>
      </c>
      <c r="AB1715" s="350">
        <f t="shared" si="105"/>
        <v>0</v>
      </c>
    </row>
    <row r="1716" spans="8:28" ht="22.15" customHeight="1" x14ac:dyDescent="0.25">
      <c r="H1716" s="346"/>
      <c r="O1716" s="347"/>
      <c r="Y1716" s="20">
        <f t="shared" si="103"/>
        <v>0</v>
      </c>
      <c r="AA1716" s="98">
        <f t="shared" si="104"/>
        <v>0</v>
      </c>
      <c r="AB1716" s="350">
        <f t="shared" si="105"/>
        <v>0</v>
      </c>
    </row>
    <row r="1717" spans="8:28" ht="22.15" customHeight="1" x14ac:dyDescent="0.25">
      <c r="H1717" s="346"/>
      <c r="O1717" s="347"/>
      <c r="Y1717" s="20">
        <f t="shared" si="103"/>
        <v>0</v>
      </c>
      <c r="AA1717" s="98">
        <f t="shared" si="104"/>
        <v>0</v>
      </c>
      <c r="AB1717" s="350">
        <f t="shared" si="105"/>
        <v>0</v>
      </c>
    </row>
    <row r="1718" spans="8:28" ht="22.15" customHeight="1" x14ac:dyDescent="0.25">
      <c r="H1718" s="346"/>
      <c r="O1718" s="347"/>
      <c r="Y1718" s="20">
        <f t="shared" si="103"/>
        <v>0</v>
      </c>
      <c r="AA1718" s="98">
        <f t="shared" si="104"/>
        <v>0</v>
      </c>
      <c r="AB1718" s="350">
        <f t="shared" si="105"/>
        <v>0</v>
      </c>
    </row>
    <row r="1719" spans="8:28" ht="22.15" customHeight="1" x14ac:dyDescent="0.25">
      <c r="H1719" s="346"/>
      <c r="O1719" s="347"/>
      <c r="Y1719" s="20">
        <f t="shared" si="103"/>
        <v>0</v>
      </c>
      <c r="AA1719" s="98">
        <f t="shared" si="104"/>
        <v>0</v>
      </c>
      <c r="AB1719" s="350">
        <f t="shared" si="105"/>
        <v>0</v>
      </c>
    </row>
    <row r="1720" spans="8:28" ht="22.15" customHeight="1" x14ac:dyDescent="0.25">
      <c r="H1720" s="346"/>
      <c r="O1720" s="347"/>
      <c r="Y1720" s="20">
        <f t="shared" si="103"/>
        <v>0</v>
      </c>
      <c r="AA1720" s="98">
        <f t="shared" si="104"/>
        <v>0</v>
      </c>
      <c r="AB1720" s="350">
        <f t="shared" si="105"/>
        <v>0</v>
      </c>
    </row>
    <row r="1721" spans="8:28" ht="22.15" customHeight="1" x14ac:dyDescent="0.25">
      <c r="H1721" s="346"/>
      <c r="O1721" s="347"/>
      <c r="Y1721" s="20">
        <f t="shared" si="103"/>
        <v>0</v>
      </c>
      <c r="AA1721" s="98">
        <f t="shared" si="104"/>
        <v>0</v>
      </c>
      <c r="AB1721" s="350">
        <f t="shared" si="105"/>
        <v>0</v>
      </c>
    </row>
    <row r="1722" spans="8:28" ht="22.15" customHeight="1" x14ac:dyDescent="0.25">
      <c r="H1722" s="346"/>
      <c r="O1722" s="347"/>
      <c r="Y1722" s="20">
        <f t="shared" si="103"/>
        <v>0</v>
      </c>
      <c r="AA1722" s="98">
        <f t="shared" si="104"/>
        <v>0</v>
      </c>
      <c r="AB1722" s="350">
        <f t="shared" si="105"/>
        <v>0</v>
      </c>
    </row>
    <row r="1723" spans="8:28" ht="22.15" customHeight="1" x14ac:dyDescent="0.25">
      <c r="H1723" s="346"/>
      <c r="O1723" s="347"/>
      <c r="Y1723" s="20">
        <f t="shared" si="103"/>
        <v>0</v>
      </c>
      <c r="AA1723" s="98">
        <f t="shared" si="104"/>
        <v>0</v>
      </c>
      <c r="AB1723" s="350">
        <f t="shared" si="105"/>
        <v>0</v>
      </c>
    </row>
    <row r="1724" spans="8:28" ht="22.15" customHeight="1" x14ac:dyDescent="0.25"/>
    <row r="1725" spans="8:28" ht="22.15" customHeight="1" x14ac:dyDescent="0.25"/>
    <row r="1726" spans="8:28" ht="22.15" customHeight="1" x14ac:dyDescent="0.25"/>
    <row r="1727" spans="8:28" ht="22.15" customHeight="1" x14ac:dyDescent="0.25"/>
    <row r="1728" spans="8:28" ht="22.15" customHeight="1" x14ac:dyDescent="0.25"/>
    <row r="1729" ht="22.15" customHeight="1" x14ac:dyDescent="0.25"/>
    <row r="1730" ht="22.15" customHeight="1" x14ac:dyDescent="0.25"/>
    <row r="1731" ht="22.15" customHeight="1" x14ac:dyDescent="0.25"/>
    <row r="1732" ht="22.15" customHeight="1" x14ac:dyDescent="0.25"/>
    <row r="1733" ht="22.15" customHeight="1" x14ac:dyDescent="0.25"/>
    <row r="1734" ht="22.15" customHeight="1" x14ac:dyDescent="0.25"/>
    <row r="1735" ht="22.15" customHeight="1" x14ac:dyDescent="0.25"/>
    <row r="1736" ht="22.15" customHeight="1" x14ac:dyDescent="0.25"/>
    <row r="1737" ht="22.15" customHeight="1" x14ac:dyDescent="0.25"/>
    <row r="1738" ht="22.15" customHeight="1" x14ac:dyDescent="0.25"/>
    <row r="1739" ht="22.15" customHeight="1" x14ac:dyDescent="0.25"/>
    <row r="1740" ht="22.15" customHeight="1" x14ac:dyDescent="0.25"/>
    <row r="1741" ht="22.15" customHeight="1" x14ac:dyDescent="0.25"/>
    <row r="1742" ht="22.15" customHeight="1" x14ac:dyDescent="0.25"/>
    <row r="1743" ht="22.15" customHeight="1" x14ac:dyDescent="0.25"/>
    <row r="1744" ht="22.15" customHeight="1" x14ac:dyDescent="0.25"/>
    <row r="1745" ht="22.15" customHeight="1" x14ac:dyDescent="0.25"/>
    <row r="1746" ht="22.15" customHeight="1" x14ac:dyDescent="0.25"/>
    <row r="1747" ht="22.15" customHeight="1" x14ac:dyDescent="0.25"/>
    <row r="1748" ht="22.15" customHeight="1" x14ac:dyDescent="0.25"/>
    <row r="1749" ht="22.15" customHeight="1" x14ac:dyDescent="0.25"/>
    <row r="1750" ht="22.15" customHeight="1" x14ac:dyDescent="0.25"/>
    <row r="1751" ht="22.15" customHeight="1" x14ac:dyDescent="0.25"/>
    <row r="1752" ht="22.15" customHeight="1" x14ac:dyDescent="0.25"/>
    <row r="1753" ht="22.15" customHeight="1" x14ac:dyDescent="0.25"/>
    <row r="1754" ht="22.15" customHeight="1" x14ac:dyDescent="0.25"/>
    <row r="1755" ht="22.15" customHeight="1" x14ac:dyDescent="0.25"/>
    <row r="1756" ht="22.15" customHeight="1" x14ac:dyDescent="0.25"/>
    <row r="1757" ht="22.15" customHeight="1" x14ac:dyDescent="0.25"/>
    <row r="1758" ht="22.15" customHeight="1" x14ac:dyDescent="0.25"/>
    <row r="1759" ht="22.15" customHeight="1" x14ac:dyDescent="0.25"/>
    <row r="1760" ht="22.15" customHeight="1" x14ac:dyDescent="0.25"/>
    <row r="1761" ht="22.15" customHeight="1" x14ac:dyDescent="0.25"/>
    <row r="1762" ht="22.15" customHeight="1" x14ac:dyDescent="0.25"/>
    <row r="1763" ht="22.15" customHeight="1" x14ac:dyDescent="0.25"/>
    <row r="1764" ht="22.15" customHeight="1" x14ac:dyDescent="0.25"/>
    <row r="1765" ht="22.15" customHeight="1" x14ac:dyDescent="0.25"/>
    <row r="1766" ht="22.15" customHeight="1" x14ac:dyDescent="0.25"/>
    <row r="1767" ht="22.15" customHeight="1" x14ac:dyDescent="0.25"/>
    <row r="1768" ht="22.15" customHeight="1" x14ac:dyDescent="0.25"/>
    <row r="1769" ht="22.15" customHeight="1" x14ac:dyDescent="0.25"/>
    <row r="1770" ht="22.15" customHeight="1" x14ac:dyDescent="0.25"/>
    <row r="1771" ht="22.15" customHeight="1" x14ac:dyDescent="0.25"/>
    <row r="1772" ht="22.15" customHeight="1" x14ac:dyDescent="0.25"/>
    <row r="1773" ht="22.15" customHeight="1" x14ac:dyDescent="0.25"/>
    <row r="1774" ht="22.15" customHeight="1" x14ac:dyDescent="0.25"/>
    <row r="1775" ht="22.15" customHeight="1" x14ac:dyDescent="0.25"/>
    <row r="1776" ht="22.15" customHeight="1" x14ac:dyDescent="0.25"/>
    <row r="1777" ht="22.15" customHeight="1" x14ac:dyDescent="0.25"/>
    <row r="1778" ht="22.15" customHeight="1" x14ac:dyDescent="0.25"/>
    <row r="1779" ht="22.15" customHeight="1" x14ac:dyDescent="0.25"/>
    <row r="1780" ht="22.15" customHeight="1" x14ac:dyDescent="0.25"/>
    <row r="1781" ht="22.15" customHeight="1" x14ac:dyDescent="0.25"/>
    <row r="1782" ht="22.15" customHeight="1" x14ac:dyDescent="0.25"/>
    <row r="1783" ht="22.15" customHeight="1" x14ac:dyDescent="0.25"/>
    <row r="1784" ht="22.15" customHeight="1" x14ac:dyDescent="0.25"/>
    <row r="1785" ht="22.15" customHeight="1" x14ac:dyDescent="0.25"/>
    <row r="1786" ht="22.15" customHeight="1" x14ac:dyDescent="0.25"/>
    <row r="1787" ht="22.15" customHeight="1" x14ac:dyDescent="0.25"/>
    <row r="1788" ht="22.15" customHeight="1" x14ac:dyDescent="0.25"/>
    <row r="1789" ht="22.15" customHeight="1" x14ac:dyDescent="0.25"/>
    <row r="1790" ht="22.15" customHeight="1" x14ac:dyDescent="0.25"/>
    <row r="1791" ht="22.15" customHeight="1" x14ac:dyDescent="0.25"/>
    <row r="1792" ht="22.15" customHeight="1" x14ac:dyDescent="0.25"/>
    <row r="1793" ht="22.15" customHeight="1" x14ac:dyDescent="0.25"/>
    <row r="1794" ht="22.15" customHeight="1" x14ac:dyDescent="0.25"/>
    <row r="1795" ht="22.15" customHeight="1" x14ac:dyDescent="0.25"/>
    <row r="1796" ht="22.15" customHeight="1" x14ac:dyDescent="0.25"/>
    <row r="1797" ht="22.15" customHeight="1" x14ac:dyDescent="0.25"/>
    <row r="1798" ht="22.15" customHeight="1" x14ac:dyDescent="0.25"/>
    <row r="1799" ht="22.15" customHeight="1" x14ac:dyDescent="0.25"/>
    <row r="1800" ht="22.15" customHeight="1" x14ac:dyDescent="0.25"/>
    <row r="1801" ht="22.15" customHeight="1" x14ac:dyDescent="0.25"/>
    <row r="1802" ht="22.15" customHeight="1" x14ac:dyDescent="0.25"/>
    <row r="1803" ht="22.15" customHeight="1" x14ac:dyDescent="0.25"/>
    <row r="1804" ht="22.15" customHeight="1" x14ac:dyDescent="0.25"/>
    <row r="1805" ht="22.15" customHeight="1" x14ac:dyDescent="0.25"/>
    <row r="1806" ht="22.15" customHeight="1" x14ac:dyDescent="0.25"/>
    <row r="1807" ht="22.15" customHeight="1" x14ac:dyDescent="0.25"/>
    <row r="1808" ht="22.15" customHeight="1" x14ac:dyDescent="0.25"/>
    <row r="1809" ht="22.15" customHeight="1" x14ac:dyDescent="0.25"/>
    <row r="1810" ht="22.15" customHeight="1" x14ac:dyDescent="0.25"/>
    <row r="1811" ht="22.15" customHeight="1" x14ac:dyDescent="0.25"/>
    <row r="1812" ht="22.15" customHeight="1" x14ac:dyDescent="0.25"/>
    <row r="1813" ht="22.15" customHeight="1" x14ac:dyDescent="0.25"/>
    <row r="1814" ht="22.15" customHeight="1" x14ac:dyDescent="0.25"/>
    <row r="1815" ht="22.15" customHeight="1" x14ac:dyDescent="0.25"/>
    <row r="1816" ht="22.15" customHeight="1" x14ac:dyDescent="0.25"/>
    <row r="1817" ht="22.15" customHeight="1" x14ac:dyDescent="0.25"/>
    <row r="1818" ht="22.15" customHeight="1" x14ac:dyDescent="0.25"/>
    <row r="1819" ht="22.15" customHeight="1" x14ac:dyDescent="0.25"/>
    <row r="1820" ht="22.15" customHeight="1" x14ac:dyDescent="0.25"/>
    <row r="1821" ht="22.15" customHeight="1" x14ac:dyDescent="0.25"/>
    <row r="1822" ht="22.15" customHeight="1" x14ac:dyDescent="0.25"/>
    <row r="1823" ht="22.15" customHeight="1" x14ac:dyDescent="0.25"/>
    <row r="1824" ht="22.15" customHeight="1" x14ac:dyDescent="0.25"/>
    <row r="1825" ht="22.15" customHeight="1" x14ac:dyDescent="0.25"/>
    <row r="1826" ht="22.15" customHeight="1" x14ac:dyDescent="0.25"/>
    <row r="1827" ht="22.15" customHeight="1" x14ac:dyDescent="0.25"/>
    <row r="1828" ht="22.15" customHeight="1" x14ac:dyDescent="0.25"/>
    <row r="1829" ht="22.15" customHeight="1" x14ac:dyDescent="0.25"/>
    <row r="1830" ht="22.15" customHeight="1" x14ac:dyDescent="0.25"/>
    <row r="1831" ht="22.15" customHeight="1" x14ac:dyDescent="0.25"/>
    <row r="1832" ht="22.15" customHeight="1" x14ac:dyDescent="0.25"/>
    <row r="1833" ht="22.15" customHeight="1" x14ac:dyDescent="0.25"/>
    <row r="1834" ht="22.15" customHeight="1" x14ac:dyDescent="0.25"/>
    <row r="1835" ht="22.15" customHeight="1" x14ac:dyDescent="0.25"/>
    <row r="1836" ht="22.15" customHeight="1" x14ac:dyDescent="0.25"/>
    <row r="1837" ht="22.15" customHeight="1" x14ac:dyDescent="0.25"/>
    <row r="1838" ht="22.15" customHeight="1" x14ac:dyDescent="0.25"/>
    <row r="1839" ht="22.15" customHeight="1" x14ac:dyDescent="0.25"/>
    <row r="1840" ht="22.15" customHeight="1" x14ac:dyDescent="0.25"/>
    <row r="1841" ht="22.15" customHeight="1" x14ac:dyDescent="0.25"/>
    <row r="1842" ht="22.15" customHeight="1" x14ac:dyDescent="0.25"/>
    <row r="1843" ht="22.15" customHeight="1" x14ac:dyDescent="0.25"/>
    <row r="1844" ht="22.15" customHeight="1" x14ac:dyDescent="0.25"/>
    <row r="1845" ht="22.15" customHeight="1" x14ac:dyDescent="0.25"/>
    <row r="1846" ht="22.15" customHeight="1" x14ac:dyDescent="0.25"/>
    <row r="1847" ht="22.15" customHeight="1" x14ac:dyDescent="0.25"/>
    <row r="1848" ht="22.15" customHeight="1" x14ac:dyDescent="0.25"/>
    <row r="1849" ht="22.15" customHeight="1" x14ac:dyDescent="0.25"/>
    <row r="1850" ht="22.15" customHeight="1" x14ac:dyDescent="0.25"/>
    <row r="1851" ht="22.15" customHeight="1" x14ac:dyDescent="0.25"/>
    <row r="1852" ht="22.15" customHeight="1" x14ac:dyDescent="0.25"/>
    <row r="1853" ht="22.15" customHeight="1" x14ac:dyDescent="0.25"/>
    <row r="1854" ht="22.15" customHeight="1" x14ac:dyDescent="0.25"/>
    <row r="1855" ht="22.15" customHeight="1" x14ac:dyDescent="0.25"/>
    <row r="1856" ht="22.15" customHeight="1" x14ac:dyDescent="0.25"/>
    <row r="1857" ht="22.15" customHeight="1" x14ac:dyDescent="0.25"/>
    <row r="1858" ht="22.15" customHeight="1" x14ac:dyDescent="0.25"/>
    <row r="1859" ht="22.15" customHeight="1" x14ac:dyDescent="0.25"/>
    <row r="1860" ht="22.15" customHeight="1" x14ac:dyDescent="0.25"/>
    <row r="1861" ht="22.15" customHeight="1" x14ac:dyDescent="0.25"/>
    <row r="1862" ht="22.15" customHeight="1" x14ac:dyDescent="0.25"/>
    <row r="1863" ht="22.15" customHeight="1" x14ac:dyDescent="0.25"/>
    <row r="1864" ht="22.15" customHeight="1" x14ac:dyDescent="0.25"/>
    <row r="1865" ht="22.15" customHeight="1" x14ac:dyDescent="0.25"/>
    <row r="1866" ht="22.15" customHeight="1" x14ac:dyDescent="0.25"/>
    <row r="1867" ht="22.15" customHeight="1" x14ac:dyDescent="0.25"/>
    <row r="1868" ht="22.15" customHeight="1" x14ac:dyDescent="0.25"/>
    <row r="1869" ht="22.15" customHeight="1" x14ac:dyDescent="0.25"/>
    <row r="1870" ht="22.15" customHeight="1" x14ac:dyDescent="0.25"/>
    <row r="1871" ht="22.15" customHeight="1" x14ac:dyDescent="0.25"/>
    <row r="1872" ht="22.15" customHeight="1" x14ac:dyDescent="0.25"/>
    <row r="1873" ht="22.15" customHeight="1" x14ac:dyDescent="0.25"/>
    <row r="1874" ht="22.15" customHeight="1" x14ac:dyDescent="0.25"/>
    <row r="1875" ht="22.15" customHeight="1" x14ac:dyDescent="0.25"/>
    <row r="1876" ht="22.15" customHeight="1" x14ac:dyDescent="0.25"/>
    <row r="1877" ht="22.15" customHeight="1" x14ac:dyDescent="0.25"/>
    <row r="1878" ht="22.15" customHeight="1" x14ac:dyDescent="0.25"/>
    <row r="1879" ht="22.15" customHeight="1" x14ac:dyDescent="0.25"/>
    <row r="1880" ht="22.15" customHeight="1" x14ac:dyDescent="0.25"/>
    <row r="1881" ht="22.15" customHeight="1" x14ac:dyDescent="0.25"/>
    <row r="1882" ht="22.15" customHeight="1" x14ac:dyDescent="0.25"/>
    <row r="1883" ht="22.15" customHeight="1" x14ac:dyDescent="0.25"/>
    <row r="1884" ht="22.15" customHeight="1" x14ac:dyDescent="0.25"/>
    <row r="1885" ht="22.15" customHeight="1" x14ac:dyDescent="0.25"/>
    <row r="1886" ht="22.15" customHeight="1" x14ac:dyDescent="0.25"/>
    <row r="1887" ht="22.15" customHeight="1" x14ac:dyDescent="0.25"/>
    <row r="1888" ht="22.15" customHeight="1" x14ac:dyDescent="0.25"/>
    <row r="1889" ht="22.15" customHeight="1" x14ac:dyDescent="0.25"/>
    <row r="1890" ht="22.15" customHeight="1" x14ac:dyDescent="0.25"/>
    <row r="1891" ht="22.15" customHeight="1" x14ac:dyDescent="0.25"/>
    <row r="1892" ht="22.15" customHeight="1" x14ac:dyDescent="0.25"/>
    <row r="1893" ht="22.15" customHeight="1" x14ac:dyDescent="0.25"/>
    <row r="1894" ht="22.15" customHeight="1" x14ac:dyDescent="0.25"/>
    <row r="1895" ht="22.15" customHeight="1" x14ac:dyDescent="0.25"/>
    <row r="1896" ht="22.15" customHeight="1" x14ac:dyDescent="0.25"/>
    <row r="1897" ht="22.15" customHeight="1" x14ac:dyDescent="0.25"/>
    <row r="1898" ht="22.15" customHeight="1" x14ac:dyDescent="0.25"/>
    <row r="1899" ht="22.15" customHeight="1" x14ac:dyDescent="0.25"/>
    <row r="1900" ht="22.15" customHeight="1" x14ac:dyDescent="0.25"/>
    <row r="1901" ht="22.15" customHeight="1" x14ac:dyDescent="0.25"/>
    <row r="1902" ht="22.15" customHeight="1" x14ac:dyDescent="0.25"/>
    <row r="1903" ht="22.15" customHeight="1" x14ac:dyDescent="0.25"/>
    <row r="1904" ht="22.15" customHeight="1" x14ac:dyDescent="0.25"/>
    <row r="1905" ht="22.15" customHeight="1" x14ac:dyDescent="0.25"/>
    <row r="1906" ht="22.15" customHeight="1" x14ac:dyDescent="0.25"/>
    <row r="1907" ht="22.15" customHeight="1" x14ac:dyDescent="0.25"/>
    <row r="1908" ht="22.15" customHeight="1" x14ac:dyDescent="0.25"/>
    <row r="1909" ht="22.15" customHeight="1" x14ac:dyDescent="0.25"/>
    <row r="1910" ht="22.15" customHeight="1" x14ac:dyDescent="0.25"/>
    <row r="1911" ht="22.15" customHeight="1" x14ac:dyDescent="0.25"/>
    <row r="1912" ht="22.15" customHeight="1" x14ac:dyDescent="0.25"/>
    <row r="1913" ht="22.15" customHeight="1" x14ac:dyDescent="0.25"/>
    <row r="1914" ht="22.15" customHeight="1" x14ac:dyDescent="0.25"/>
    <row r="1915" ht="22.15" customHeight="1" x14ac:dyDescent="0.25"/>
    <row r="1916" ht="22.15" customHeight="1" x14ac:dyDescent="0.25"/>
    <row r="1917" ht="22.15" customHeight="1" x14ac:dyDescent="0.25"/>
    <row r="1918" ht="22.15" customHeight="1" x14ac:dyDescent="0.25"/>
    <row r="1919" ht="22.15" customHeight="1" x14ac:dyDescent="0.25"/>
    <row r="1920" ht="22.15" customHeight="1" x14ac:dyDescent="0.25"/>
    <row r="1921" ht="22.15" customHeight="1" x14ac:dyDescent="0.25"/>
    <row r="1922" ht="22.15" customHeight="1" x14ac:dyDescent="0.25"/>
    <row r="1923" ht="22.15" customHeight="1" x14ac:dyDescent="0.25"/>
    <row r="1924" ht="22.15" customHeight="1" x14ac:dyDescent="0.25"/>
    <row r="1925" ht="22.15" customHeight="1" x14ac:dyDescent="0.25"/>
    <row r="1926" ht="22.15" customHeight="1" x14ac:dyDescent="0.25"/>
    <row r="1927" ht="22.15" customHeight="1" x14ac:dyDescent="0.25"/>
    <row r="1928" ht="22.15" customHeight="1" x14ac:dyDescent="0.25"/>
    <row r="1929" ht="22.15" customHeight="1" x14ac:dyDescent="0.25"/>
    <row r="1930" ht="22.15" customHeight="1" x14ac:dyDescent="0.25"/>
    <row r="1931" ht="22.15" customHeight="1" x14ac:dyDescent="0.25"/>
    <row r="1932" ht="22.15" customHeight="1" x14ac:dyDescent="0.25"/>
    <row r="1933" ht="22.15" customHeight="1" x14ac:dyDescent="0.25"/>
    <row r="1934" ht="22.15" customHeight="1" x14ac:dyDescent="0.25"/>
    <row r="1935" ht="22.15" customHeight="1" x14ac:dyDescent="0.25"/>
    <row r="1936" ht="22.15" customHeight="1" x14ac:dyDescent="0.25"/>
    <row r="1937" ht="22.15" customHeight="1" x14ac:dyDescent="0.25"/>
    <row r="1938" ht="22.15" customHeight="1" x14ac:dyDescent="0.25"/>
    <row r="1939" ht="22.15" customHeight="1" x14ac:dyDescent="0.25"/>
    <row r="1940" ht="22.15" customHeight="1" x14ac:dyDescent="0.25"/>
    <row r="1941" ht="22.15" customHeight="1" x14ac:dyDescent="0.25"/>
    <row r="1942" ht="22.15" customHeight="1" x14ac:dyDescent="0.25"/>
    <row r="1943" ht="22.15" customHeight="1" x14ac:dyDescent="0.25"/>
    <row r="1944" ht="22.15" customHeight="1" x14ac:dyDescent="0.25"/>
    <row r="1945" ht="22.15" customHeight="1" x14ac:dyDescent="0.25"/>
    <row r="1946" ht="22.15" customHeight="1" x14ac:dyDescent="0.25"/>
    <row r="1947" ht="22.15" customHeight="1" x14ac:dyDescent="0.25"/>
    <row r="1948" ht="22.15" customHeight="1" x14ac:dyDescent="0.25"/>
    <row r="1949" ht="22.15" customHeight="1" x14ac:dyDescent="0.25"/>
    <row r="1950" ht="22.15" customHeight="1" x14ac:dyDescent="0.25"/>
    <row r="1951" ht="22.15" customHeight="1" x14ac:dyDescent="0.25"/>
    <row r="1952" ht="22.15" customHeight="1" x14ac:dyDescent="0.25"/>
    <row r="1953" ht="22.15" customHeight="1" x14ac:dyDescent="0.25"/>
    <row r="1954" ht="22.15" customHeight="1" x14ac:dyDescent="0.25"/>
    <row r="1955" ht="22.15" customHeight="1" x14ac:dyDescent="0.25"/>
    <row r="1956" ht="22.15" customHeight="1" x14ac:dyDescent="0.25"/>
    <row r="1957" ht="22.15" customHeight="1" x14ac:dyDescent="0.25"/>
    <row r="1958" ht="22.15" customHeight="1" x14ac:dyDescent="0.25"/>
    <row r="1959" ht="22.15" customHeight="1" x14ac:dyDescent="0.25"/>
    <row r="1960" ht="22.15" customHeight="1" x14ac:dyDescent="0.25"/>
    <row r="1961" ht="22.15" customHeight="1" x14ac:dyDescent="0.25"/>
    <row r="1962" ht="22.15" customHeight="1" x14ac:dyDescent="0.25"/>
    <row r="1963" ht="22.15" customHeight="1" x14ac:dyDescent="0.25"/>
    <row r="1964" ht="22.15" customHeight="1" x14ac:dyDescent="0.25"/>
    <row r="1965" ht="22.15" customHeight="1" x14ac:dyDescent="0.25"/>
    <row r="1966" ht="22.15" customHeight="1" x14ac:dyDescent="0.25"/>
    <row r="1967" ht="22.15" customHeight="1" x14ac:dyDescent="0.25"/>
    <row r="1968" ht="22.15" customHeight="1" x14ac:dyDescent="0.25"/>
    <row r="1969" ht="22.15" customHeight="1" x14ac:dyDescent="0.25"/>
    <row r="1970" ht="22.15" customHeight="1" x14ac:dyDescent="0.25"/>
    <row r="1971" ht="22.15" customHeight="1" x14ac:dyDescent="0.25"/>
    <row r="1972" ht="22.15" customHeight="1" x14ac:dyDescent="0.25"/>
    <row r="1973" ht="22.15" customHeight="1" x14ac:dyDescent="0.25"/>
    <row r="1974" ht="22.15" customHeight="1" x14ac:dyDescent="0.25"/>
    <row r="1975" ht="22.15" customHeight="1" x14ac:dyDescent="0.25"/>
    <row r="1976" ht="22.15" customHeight="1" x14ac:dyDescent="0.25"/>
    <row r="1977" ht="22.15" customHeight="1" x14ac:dyDescent="0.25"/>
    <row r="1978" ht="22.15" customHeight="1" x14ac:dyDescent="0.25"/>
    <row r="1979" ht="22.15" customHeight="1" x14ac:dyDescent="0.25"/>
    <row r="1980" ht="22.15" customHeight="1" x14ac:dyDescent="0.25"/>
    <row r="1981" ht="22.15" customHeight="1" x14ac:dyDescent="0.25"/>
    <row r="1982" ht="22.15" customHeight="1" x14ac:dyDescent="0.25"/>
    <row r="1983" ht="22.15" customHeight="1" x14ac:dyDescent="0.25"/>
    <row r="1984" ht="22.15" customHeight="1" x14ac:dyDescent="0.25"/>
    <row r="1985" ht="22.15" customHeight="1" x14ac:dyDescent="0.25"/>
    <row r="1986" ht="22.15" customHeight="1" x14ac:dyDescent="0.25"/>
    <row r="1987" ht="22.15" customHeight="1" x14ac:dyDescent="0.25"/>
    <row r="1988" ht="22.15" customHeight="1" x14ac:dyDescent="0.25"/>
    <row r="1989" ht="22.15" customHeight="1" x14ac:dyDescent="0.25"/>
    <row r="1990" ht="22.15" customHeight="1" x14ac:dyDescent="0.25"/>
    <row r="1991" ht="22.15" customHeight="1" x14ac:dyDescent="0.25"/>
    <row r="1992" ht="22.15" customHeight="1" x14ac:dyDescent="0.25"/>
    <row r="1993" ht="22.15" customHeight="1" x14ac:dyDescent="0.25"/>
    <row r="1994" ht="22.15" customHeight="1" x14ac:dyDescent="0.25"/>
    <row r="1995" ht="22.15" customHeight="1" x14ac:dyDescent="0.25"/>
    <row r="1996" ht="22.15" customHeight="1" x14ac:dyDescent="0.25"/>
    <row r="1997" ht="22.15" customHeight="1" x14ac:dyDescent="0.25"/>
    <row r="1998" ht="22.15" customHeight="1" x14ac:dyDescent="0.25"/>
    <row r="1999" ht="22.15" customHeight="1" x14ac:dyDescent="0.25"/>
    <row r="2000" ht="22.15" customHeight="1" x14ac:dyDescent="0.25"/>
    <row r="2001" ht="22.15" customHeight="1" x14ac:dyDescent="0.25"/>
    <row r="2002" ht="22.15" customHeight="1" x14ac:dyDescent="0.25"/>
    <row r="2003" ht="22.15" customHeight="1" x14ac:dyDescent="0.25"/>
    <row r="2004" ht="22.15" customHeight="1" x14ac:dyDescent="0.25"/>
    <row r="2005" ht="22.15" customHeight="1" x14ac:dyDescent="0.25"/>
    <row r="2006" ht="22.15" customHeight="1" x14ac:dyDescent="0.25"/>
    <row r="2007" ht="22.15" customHeight="1" x14ac:dyDescent="0.25"/>
    <row r="2008" ht="22.15" customHeight="1" x14ac:dyDescent="0.25"/>
    <row r="2009" ht="22.15" customHeight="1" x14ac:dyDescent="0.25"/>
    <row r="2010" ht="22.15" customHeight="1" x14ac:dyDescent="0.25"/>
    <row r="2011" ht="22.15" customHeight="1" x14ac:dyDescent="0.25"/>
    <row r="2012" ht="22.15" customHeight="1" x14ac:dyDescent="0.25"/>
    <row r="2013" ht="22.15" customHeight="1" x14ac:dyDescent="0.25"/>
    <row r="2014" ht="22.15" customHeight="1" x14ac:dyDescent="0.25"/>
    <row r="2015" ht="22.15" customHeight="1" x14ac:dyDescent="0.25"/>
    <row r="2016" ht="22.15" customHeight="1" x14ac:dyDescent="0.25"/>
    <row r="2017" ht="22.15" customHeight="1" x14ac:dyDescent="0.25"/>
    <row r="2018" ht="22.15" customHeight="1" x14ac:dyDescent="0.25"/>
    <row r="2019" ht="22.15" customHeight="1" x14ac:dyDescent="0.25"/>
    <row r="2020" ht="22.15" customHeight="1" x14ac:dyDescent="0.25"/>
    <row r="2021" ht="22.15" customHeight="1" x14ac:dyDescent="0.25"/>
    <row r="2022" ht="22.15" customHeight="1" x14ac:dyDescent="0.25"/>
    <row r="2023" ht="22.15" customHeight="1" x14ac:dyDescent="0.25"/>
    <row r="2024" ht="22.15" customHeight="1" x14ac:dyDescent="0.25"/>
    <row r="2025" ht="22.15" customHeight="1" x14ac:dyDescent="0.25"/>
    <row r="2026" ht="22.15" customHeight="1" x14ac:dyDescent="0.25"/>
    <row r="2027" ht="22.15" customHeight="1" x14ac:dyDescent="0.25"/>
    <row r="2028" ht="22.15" customHeight="1" x14ac:dyDescent="0.25"/>
    <row r="2029" ht="22.15" customHeight="1" x14ac:dyDescent="0.25"/>
    <row r="2030" ht="22.15" customHeight="1" x14ac:dyDescent="0.25"/>
    <row r="2031" ht="22.15" customHeight="1" x14ac:dyDescent="0.25"/>
    <row r="2032" ht="22.15" customHeight="1" x14ac:dyDescent="0.25"/>
    <row r="2033" ht="22.15" customHeight="1" x14ac:dyDescent="0.25"/>
    <row r="2034" ht="22.15" customHeight="1" x14ac:dyDescent="0.25"/>
    <row r="2035" ht="22.15" customHeight="1" x14ac:dyDescent="0.25"/>
    <row r="2036" ht="22.15" customHeight="1" x14ac:dyDescent="0.25"/>
    <row r="2037" ht="22.15" customHeight="1" x14ac:dyDescent="0.25"/>
    <row r="2038" ht="22.15" customHeight="1" x14ac:dyDescent="0.25"/>
    <row r="2039" ht="22.15" customHeight="1" x14ac:dyDescent="0.25"/>
    <row r="2040" ht="22.15" customHeight="1" x14ac:dyDescent="0.25"/>
    <row r="2041" ht="22.15" customHeight="1" x14ac:dyDescent="0.25"/>
    <row r="2042" ht="22.15" customHeight="1" x14ac:dyDescent="0.25"/>
    <row r="2043" ht="22.15" customHeight="1" x14ac:dyDescent="0.25"/>
    <row r="2044" ht="22.15" customHeight="1" x14ac:dyDescent="0.25"/>
    <row r="2045" ht="22.15" customHeight="1" x14ac:dyDescent="0.25"/>
    <row r="2046" ht="22.15" customHeight="1" x14ac:dyDescent="0.25"/>
    <row r="2047" ht="22.15" customHeight="1" x14ac:dyDescent="0.25"/>
    <row r="2048" ht="22.15" customHeight="1" x14ac:dyDescent="0.25"/>
    <row r="2049" ht="22.15" customHeight="1" x14ac:dyDescent="0.25"/>
    <row r="2050" ht="22.15" customHeight="1" x14ac:dyDescent="0.25"/>
    <row r="2051" ht="22.15" customHeight="1" x14ac:dyDescent="0.25"/>
    <row r="2052" ht="22.15" customHeight="1" x14ac:dyDescent="0.25"/>
    <row r="2053" ht="22.15" customHeight="1" x14ac:dyDescent="0.25"/>
    <row r="2054" ht="22.15" customHeight="1" x14ac:dyDescent="0.25"/>
    <row r="2055" ht="22.15" customHeight="1" x14ac:dyDescent="0.25"/>
    <row r="2056" ht="22.15" customHeight="1" x14ac:dyDescent="0.25"/>
    <row r="2057" ht="22.15" customHeight="1" x14ac:dyDescent="0.25"/>
    <row r="2058" ht="22.15" customHeight="1" x14ac:dyDescent="0.25"/>
    <row r="2059" ht="22.15" customHeight="1" x14ac:dyDescent="0.25"/>
    <row r="2060" ht="22.15" customHeight="1" x14ac:dyDescent="0.25"/>
    <row r="2061" ht="22.15" customHeight="1" x14ac:dyDescent="0.25"/>
    <row r="2062" ht="22.15" customHeight="1" x14ac:dyDescent="0.25"/>
    <row r="2063" ht="22.15" customHeight="1" x14ac:dyDescent="0.25"/>
    <row r="2064" ht="22.15" customHeight="1" x14ac:dyDescent="0.25"/>
    <row r="2065" ht="22.15" customHeight="1" x14ac:dyDescent="0.25"/>
    <row r="2066" ht="22.15" customHeight="1" x14ac:dyDescent="0.25"/>
    <row r="2067" ht="22.15" customHeight="1" x14ac:dyDescent="0.25"/>
    <row r="2068" ht="22.15" customHeight="1" x14ac:dyDescent="0.25"/>
    <row r="2069" ht="22.15" customHeight="1" x14ac:dyDescent="0.25"/>
    <row r="2070" ht="22.15" customHeight="1" x14ac:dyDescent="0.25"/>
    <row r="2071" ht="22.15" customHeight="1" x14ac:dyDescent="0.25"/>
    <row r="2072" ht="22.15" customHeight="1" x14ac:dyDescent="0.25"/>
    <row r="2073" ht="22.15" customHeight="1" x14ac:dyDescent="0.25"/>
    <row r="2074" ht="22.15" customHeight="1" x14ac:dyDescent="0.25"/>
    <row r="2075" ht="22.15" customHeight="1" x14ac:dyDescent="0.25"/>
    <row r="2076" ht="22.15" customHeight="1" x14ac:dyDescent="0.25"/>
    <row r="2077" ht="22.15" customHeight="1" x14ac:dyDescent="0.25"/>
    <row r="2078" ht="22.15" customHeight="1" x14ac:dyDescent="0.25"/>
    <row r="2079" ht="22.15" customHeight="1" x14ac:dyDescent="0.25"/>
    <row r="2080" ht="22.15" customHeight="1" x14ac:dyDescent="0.25"/>
    <row r="2081" ht="22.15" customHeight="1" x14ac:dyDescent="0.25"/>
    <row r="2082" ht="22.15" customHeight="1" x14ac:dyDescent="0.25"/>
    <row r="2083" ht="22.15" customHeight="1" x14ac:dyDescent="0.25"/>
    <row r="2084" ht="22.15" customHeight="1" x14ac:dyDescent="0.25"/>
    <row r="2085" ht="22.15" customHeight="1" x14ac:dyDescent="0.25"/>
    <row r="2086" ht="22.15" customHeight="1" x14ac:dyDescent="0.25"/>
    <row r="2087" ht="22.15" customHeight="1" x14ac:dyDescent="0.25"/>
    <row r="2088" ht="22.15" customHeight="1" x14ac:dyDescent="0.25"/>
    <row r="2089" ht="22.15" customHeight="1" x14ac:dyDescent="0.25"/>
    <row r="2090" ht="22.15" customHeight="1" x14ac:dyDescent="0.25"/>
    <row r="2091" ht="22.15" customHeight="1" x14ac:dyDescent="0.25"/>
    <row r="2092" ht="22.15" customHeight="1" x14ac:dyDescent="0.25"/>
    <row r="2093" ht="22.15" customHeight="1" x14ac:dyDescent="0.25"/>
    <row r="2094" ht="22.15" customHeight="1" x14ac:dyDescent="0.25"/>
    <row r="2095" ht="22.15" customHeight="1" x14ac:dyDescent="0.25"/>
    <row r="2096" ht="22.15" customHeight="1" x14ac:dyDescent="0.25"/>
    <row r="2097" ht="22.15" customHeight="1" x14ac:dyDescent="0.25"/>
    <row r="2098" ht="22.15" customHeight="1" x14ac:dyDescent="0.25"/>
    <row r="2099" ht="22.15" customHeight="1" x14ac:dyDescent="0.25"/>
    <row r="2100" ht="22.15" customHeight="1" x14ac:dyDescent="0.25"/>
    <row r="2101" ht="22.15" customHeight="1" x14ac:dyDescent="0.25"/>
    <row r="2102" ht="22.15" customHeight="1" x14ac:dyDescent="0.25"/>
    <row r="2103" ht="22.15" customHeight="1" x14ac:dyDescent="0.25"/>
    <row r="2104" ht="22.15" customHeight="1" x14ac:dyDescent="0.25"/>
    <row r="2105" ht="22.15" customHeight="1" x14ac:dyDescent="0.25"/>
    <row r="2106" ht="22.15" customHeight="1" x14ac:dyDescent="0.25"/>
    <row r="2107" ht="22.15" customHeight="1" x14ac:dyDescent="0.25"/>
    <row r="2108" ht="22.15" customHeight="1" x14ac:dyDescent="0.25"/>
    <row r="2109" ht="22.15" customHeight="1" x14ac:dyDescent="0.25"/>
    <row r="2110" ht="22.15" customHeight="1" x14ac:dyDescent="0.25"/>
    <row r="2111" ht="22.15" customHeight="1" x14ac:dyDescent="0.25"/>
    <row r="2112" ht="22.15" customHeight="1" x14ac:dyDescent="0.25"/>
    <row r="2113" ht="22.15" customHeight="1" x14ac:dyDescent="0.25"/>
    <row r="2114" ht="22.15" customHeight="1" x14ac:dyDescent="0.25"/>
    <row r="2115" ht="22.15" customHeight="1" x14ac:dyDescent="0.25"/>
    <row r="2116" ht="22.15" customHeight="1" x14ac:dyDescent="0.25"/>
    <row r="2117" ht="22.15" customHeight="1" x14ac:dyDescent="0.25"/>
    <row r="2118" ht="22.15" customHeight="1" x14ac:dyDescent="0.25"/>
    <row r="2119" ht="22.15" customHeight="1" x14ac:dyDescent="0.25"/>
    <row r="2120" ht="22.15" customHeight="1" x14ac:dyDescent="0.25"/>
    <row r="2121" ht="22.15" customHeight="1" x14ac:dyDescent="0.25"/>
    <row r="2122" ht="22.15" customHeight="1" x14ac:dyDescent="0.25"/>
    <row r="2123" ht="22.15" customHeight="1" x14ac:dyDescent="0.25"/>
    <row r="2124" ht="22.15" customHeight="1" x14ac:dyDescent="0.25"/>
    <row r="2125" ht="22.15" customHeight="1" x14ac:dyDescent="0.25"/>
    <row r="2126" ht="22.15" customHeight="1" x14ac:dyDescent="0.25"/>
    <row r="2127" ht="22.15" customHeight="1" x14ac:dyDescent="0.25"/>
    <row r="2128" ht="22.15" customHeight="1" x14ac:dyDescent="0.25"/>
    <row r="2129" ht="22.15" customHeight="1" x14ac:dyDescent="0.25"/>
    <row r="2130" ht="22.15" customHeight="1" x14ac:dyDescent="0.25"/>
    <row r="2131" ht="22.15" customHeight="1" x14ac:dyDescent="0.25"/>
    <row r="2132" ht="22.15" customHeight="1" x14ac:dyDescent="0.25"/>
    <row r="2133" ht="22.15" customHeight="1" x14ac:dyDescent="0.25"/>
    <row r="2134" ht="22.15" customHeight="1" x14ac:dyDescent="0.25"/>
    <row r="2135" ht="22.15" customHeight="1" x14ac:dyDescent="0.25"/>
    <row r="2136" ht="22.15" customHeight="1" x14ac:dyDescent="0.25"/>
    <row r="2137" ht="22.15" customHeight="1" x14ac:dyDescent="0.25"/>
    <row r="2138" ht="22.15" customHeight="1" x14ac:dyDescent="0.25"/>
    <row r="2139" ht="22.15" customHeight="1" x14ac:dyDescent="0.25"/>
    <row r="2140" ht="22.15" customHeight="1" x14ac:dyDescent="0.25"/>
    <row r="2141" ht="22.15" customHeight="1" x14ac:dyDescent="0.25"/>
    <row r="2142" ht="22.15" customHeight="1" x14ac:dyDescent="0.25"/>
    <row r="2143" ht="22.15" customHeight="1" x14ac:dyDescent="0.25"/>
    <row r="2144" ht="22.15" customHeight="1" x14ac:dyDescent="0.25"/>
    <row r="2145" ht="22.15" customHeight="1" x14ac:dyDescent="0.25"/>
    <row r="2146" ht="22.15" customHeight="1" x14ac:dyDescent="0.25"/>
    <row r="2147" ht="22.15" customHeight="1" x14ac:dyDescent="0.25"/>
    <row r="2148" ht="22.15" customHeight="1" x14ac:dyDescent="0.25"/>
    <row r="2149" ht="22.15" customHeight="1" x14ac:dyDescent="0.25"/>
    <row r="2150" ht="22.15" customHeight="1" x14ac:dyDescent="0.25"/>
    <row r="2151" ht="22.15" customHeight="1" x14ac:dyDescent="0.25"/>
    <row r="2152" ht="22.15" customHeight="1" x14ac:dyDescent="0.25"/>
    <row r="2153" ht="22.15" customHeight="1" x14ac:dyDescent="0.25"/>
    <row r="2154" ht="22.15" customHeight="1" x14ac:dyDescent="0.25"/>
    <row r="2155" ht="22.15" customHeight="1" x14ac:dyDescent="0.25"/>
    <row r="2156" ht="22.15" customHeight="1" x14ac:dyDescent="0.25"/>
    <row r="2157" ht="22.15" customHeight="1" x14ac:dyDescent="0.25"/>
    <row r="2158" ht="22.15" customHeight="1" x14ac:dyDescent="0.25"/>
    <row r="2159" ht="22.15" customHeight="1" x14ac:dyDescent="0.25"/>
    <row r="2160" ht="22.15" customHeight="1" x14ac:dyDescent="0.25"/>
    <row r="2161" ht="22.15" customHeight="1" x14ac:dyDescent="0.25"/>
    <row r="2162" ht="22.15" customHeight="1" x14ac:dyDescent="0.25"/>
    <row r="2163" ht="22.15" customHeight="1" x14ac:dyDescent="0.25"/>
    <row r="2164" ht="22.15" customHeight="1" x14ac:dyDescent="0.25"/>
    <row r="2165" ht="22.15" customHeight="1" x14ac:dyDescent="0.25"/>
    <row r="2166" ht="22.15" customHeight="1" x14ac:dyDescent="0.25"/>
    <row r="2167" ht="22.15" customHeight="1" x14ac:dyDescent="0.25"/>
    <row r="2168" ht="22.15" customHeight="1" x14ac:dyDescent="0.25"/>
    <row r="2169" ht="22.15" customHeight="1" x14ac:dyDescent="0.25"/>
    <row r="2170" ht="22.15" customHeight="1" x14ac:dyDescent="0.25"/>
    <row r="2171" ht="22.15" customHeight="1" x14ac:dyDescent="0.25"/>
    <row r="2172" ht="22.15" customHeight="1" x14ac:dyDescent="0.25"/>
    <row r="2173" ht="22.15" customHeight="1" x14ac:dyDescent="0.25"/>
    <row r="2174" ht="22.15" customHeight="1" x14ac:dyDescent="0.25"/>
    <row r="2175" ht="22.15" customHeight="1" x14ac:dyDescent="0.25"/>
    <row r="2176" ht="22.15" customHeight="1" x14ac:dyDescent="0.25"/>
    <row r="2177" ht="22.15" customHeight="1" x14ac:dyDescent="0.25"/>
    <row r="2178" ht="22.15" customHeight="1" x14ac:dyDescent="0.25"/>
    <row r="2179" ht="22.15" customHeight="1" x14ac:dyDescent="0.25"/>
    <row r="2180" ht="22.15" customHeight="1" x14ac:dyDescent="0.25"/>
    <row r="2181" ht="22.15" customHeight="1" x14ac:dyDescent="0.25"/>
    <row r="2182" ht="22.15" customHeight="1" x14ac:dyDescent="0.25"/>
    <row r="2183" ht="22.15" customHeight="1" x14ac:dyDescent="0.25"/>
    <row r="2184" ht="22.15" customHeight="1" x14ac:dyDescent="0.25"/>
    <row r="2185" ht="22.15" customHeight="1" x14ac:dyDescent="0.25"/>
    <row r="2186" ht="22.15" customHeight="1" x14ac:dyDescent="0.25"/>
    <row r="2187" ht="22.15" customHeight="1" x14ac:dyDescent="0.25"/>
    <row r="2188" ht="22.15" customHeight="1" x14ac:dyDescent="0.25"/>
    <row r="2189" ht="22.15" customHeight="1" x14ac:dyDescent="0.25"/>
    <row r="2190" ht="22.15" customHeight="1" x14ac:dyDescent="0.25"/>
    <row r="2191" ht="22.15" customHeight="1" x14ac:dyDescent="0.25"/>
    <row r="2192" ht="22.15" customHeight="1" x14ac:dyDescent="0.25"/>
    <row r="2193" ht="22.15" customHeight="1" x14ac:dyDescent="0.25"/>
    <row r="2194" ht="22.15" customHeight="1" x14ac:dyDescent="0.25"/>
    <row r="2195" ht="22.15" customHeight="1" x14ac:dyDescent="0.25"/>
    <row r="2196" ht="22.15" customHeight="1" x14ac:dyDescent="0.25"/>
    <row r="2197" ht="22.15" customHeight="1" x14ac:dyDescent="0.25"/>
    <row r="2198" ht="22.15" customHeight="1" x14ac:dyDescent="0.25"/>
    <row r="2199" ht="22.15" customHeight="1" x14ac:dyDescent="0.25"/>
    <row r="2200" ht="22.15" customHeight="1" x14ac:dyDescent="0.25"/>
    <row r="2201" ht="22.15" customHeight="1" x14ac:dyDescent="0.25"/>
    <row r="2202" ht="22.15" customHeight="1" x14ac:dyDescent="0.25"/>
    <row r="2203" ht="22.15" customHeight="1" x14ac:dyDescent="0.25"/>
    <row r="2204" ht="22.15" customHeight="1" x14ac:dyDescent="0.25"/>
    <row r="2205" ht="22.15" customHeight="1" x14ac:dyDescent="0.25"/>
    <row r="2206" ht="22.15" customHeight="1" x14ac:dyDescent="0.25"/>
    <row r="2207" ht="22.15" customHeight="1" x14ac:dyDescent="0.25"/>
    <row r="2208" ht="22.15" customHeight="1" x14ac:dyDescent="0.25"/>
    <row r="2209" ht="22.15" customHeight="1" x14ac:dyDescent="0.25"/>
    <row r="2210" ht="22.15" customHeight="1" x14ac:dyDescent="0.25"/>
    <row r="2211" ht="22.15" customHeight="1" x14ac:dyDescent="0.25"/>
    <row r="2212" ht="22.15" customHeight="1" x14ac:dyDescent="0.25"/>
    <row r="2213" ht="22.15" customHeight="1" x14ac:dyDescent="0.25"/>
    <row r="2214" ht="22.15" customHeight="1" x14ac:dyDescent="0.25"/>
    <row r="2215" ht="22.15" customHeight="1" x14ac:dyDescent="0.25"/>
    <row r="2216" ht="22.15" customHeight="1" x14ac:dyDescent="0.25"/>
    <row r="2217" ht="22.15" customHeight="1" x14ac:dyDescent="0.25"/>
    <row r="2218" ht="22.15" customHeight="1" x14ac:dyDescent="0.25"/>
    <row r="2219" ht="22.15" customHeight="1" x14ac:dyDescent="0.25"/>
    <row r="2220" ht="22.15" customHeight="1" x14ac:dyDescent="0.25"/>
    <row r="2221" ht="22.15" customHeight="1" x14ac:dyDescent="0.25"/>
    <row r="2222" ht="22.15" customHeight="1" x14ac:dyDescent="0.25"/>
    <row r="2223" ht="22.15" customHeight="1" x14ac:dyDescent="0.25"/>
    <row r="2224" ht="22.15" customHeight="1" x14ac:dyDescent="0.25"/>
    <row r="2225" ht="22.15" customHeight="1" x14ac:dyDescent="0.25"/>
    <row r="2226" ht="22.15" customHeight="1" x14ac:dyDescent="0.25"/>
    <row r="2227" ht="22.15" customHeight="1" x14ac:dyDescent="0.25"/>
    <row r="2228" ht="22.15" customHeight="1" x14ac:dyDescent="0.25"/>
    <row r="2229" ht="22.15" customHeight="1" x14ac:dyDescent="0.25"/>
    <row r="2230" ht="22.15" customHeight="1" x14ac:dyDescent="0.25"/>
    <row r="2231" ht="22.15" customHeight="1" x14ac:dyDescent="0.25"/>
    <row r="2232" ht="22.15" customHeight="1" x14ac:dyDescent="0.25"/>
    <row r="2233" ht="22.15" customHeight="1" x14ac:dyDescent="0.25"/>
    <row r="2234" ht="22.15" customHeight="1" x14ac:dyDescent="0.25"/>
    <row r="2235" ht="22.15" customHeight="1" x14ac:dyDescent="0.25"/>
    <row r="2236" ht="22.15" customHeight="1" x14ac:dyDescent="0.25"/>
    <row r="2237" ht="22.15" customHeight="1" x14ac:dyDescent="0.25"/>
    <row r="2238" ht="22.15" customHeight="1" x14ac:dyDescent="0.25"/>
    <row r="2239" ht="22.15" customHeight="1" x14ac:dyDescent="0.25"/>
    <row r="2240" ht="22.15" customHeight="1" x14ac:dyDescent="0.25"/>
    <row r="2241" ht="22.15" customHeight="1" x14ac:dyDescent="0.25"/>
    <row r="2242" ht="22.15" customHeight="1" x14ac:dyDescent="0.25"/>
    <row r="2243" ht="22.15" customHeight="1" x14ac:dyDescent="0.25"/>
    <row r="2244" ht="22.15" customHeight="1" x14ac:dyDescent="0.25"/>
    <row r="2245" ht="22.15" customHeight="1" x14ac:dyDescent="0.25"/>
    <row r="2246" ht="22.15" customHeight="1" x14ac:dyDescent="0.25"/>
    <row r="2247" ht="22.15" customHeight="1" x14ac:dyDescent="0.25"/>
    <row r="2248" ht="22.15" customHeight="1" x14ac:dyDescent="0.25"/>
    <row r="2249" ht="22.15" customHeight="1" x14ac:dyDescent="0.25"/>
    <row r="2250" ht="22.15" customHeight="1" x14ac:dyDescent="0.25"/>
    <row r="2251" ht="22.15" customHeight="1" x14ac:dyDescent="0.25"/>
    <row r="2252" ht="22.15" customHeight="1" x14ac:dyDescent="0.25"/>
    <row r="2253" ht="22.15" customHeight="1" x14ac:dyDescent="0.25"/>
    <row r="2254" ht="22.15" customHeight="1" x14ac:dyDescent="0.25"/>
    <row r="2255" ht="22.15" customHeight="1" x14ac:dyDescent="0.25"/>
    <row r="2256" ht="22.15" customHeight="1" x14ac:dyDescent="0.25"/>
    <row r="2257" ht="22.15" customHeight="1" x14ac:dyDescent="0.25"/>
    <row r="2258" ht="22.15" customHeight="1" x14ac:dyDescent="0.25"/>
    <row r="2259" ht="22.15" customHeight="1" x14ac:dyDescent="0.25"/>
    <row r="2260" ht="22.15" customHeight="1" x14ac:dyDescent="0.25"/>
    <row r="2261" ht="22.15" customHeight="1" x14ac:dyDescent="0.25"/>
    <row r="2262" ht="22.15" customHeight="1" x14ac:dyDescent="0.25"/>
    <row r="2263" ht="22.15" customHeight="1" x14ac:dyDescent="0.25"/>
    <row r="2264" ht="22.15" customHeight="1" x14ac:dyDescent="0.25"/>
    <row r="2265" ht="22.15" customHeight="1" x14ac:dyDescent="0.25"/>
    <row r="2266" ht="22.15" customHeight="1" x14ac:dyDescent="0.25"/>
    <row r="2267" ht="22.15" customHeight="1" x14ac:dyDescent="0.25"/>
    <row r="2268" ht="22.15" customHeight="1" x14ac:dyDescent="0.25"/>
    <row r="2269" ht="22.15" customHeight="1" x14ac:dyDescent="0.25"/>
    <row r="2270" ht="22.15" customHeight="1" x14ac:dyDescent="0.25"/>
    <row r="2271" ht="22.15" customHeight="1" x14ac:dyDescent="0.25"/>
    <row r="2272" ht="22.15" customHeight="1" x14ac:dyDescent="0.25"/>
    <row r="2273" ht="22.15" customHeight="1" x14ac:dyDescent="0.25"/>
    <row r="2274" ht="22.15" customHeight="1" x14ac:dyDescent="0.25"/>
    <row r="2275" ht="22.15" customHeight="1" x14ac:dyDescent="0.25"/>
    <row r="2276" ht="22.15" customHeight="1" x14ac:dyDescent="0.25"/>
    <row r="2277" ht="22.15" customHeight="1" x14ac:dyDescent="0.25"/>
    <row r="2278" ht="22.15" customHeight="1" x14ac:dyDescent="0.25"/>
    <row r="2279" ht="22.15" customHeight="1" x14ac:dyDescent="0.25"/>
    <row r="2280" ht="22.15" customHeight="1" x14ac:dyDescent="0.25"/>
    <row r="2281" ht="22.15" customHeight="1" x14ac:dyDescent="0.25"/>
    <row r="2282" ht="22.15" customHeight="1" x14ac:dyDescent="0.25"/>
    <row r="2283" ht="22.15" customHeight="1" x14ac:dyDescent="0.25"/>
    <row r="2284" ht="22.15" customHeight="1" x14ac:dyDescent="0.25"/>
    <row r="2285" ht="22.15" customHeight="1" x14ac:dyDescent="0.25"/>
    <row r="2286" ht="22.15" customHeight="1" x14ac:dyDescent="0.25"/>
    <row r="2287" ht="22.15" customHeight="1" x14ac:dyDescent="0.25"/>
    <row r="2288" ht="22.15" customHeight="1" x14ac:dyDescent="0.25"/>
    <row r="2289" ht="22.15" customHeight="1" x14ac:dyDescent="0.25"/>
    <row r="2290" ht="22.15" customHeight="1" x14ac:dyDescent="0.25"/>
    <row r="2291" ht="22.15" customHeight="1" x14ac:dyDescent="0.25"/>
    <row r="2292" ht="22.15" customHeight="1" x14ac:dyDescent="0.25"/>
    <row r="2293" ht="22.15" customHeight="1" x14ac:dyDescent="0.25"/>
    <row r="2294" ht="22.15" customHeight="1" x14ac:dyDescent="0.25"/>
    <row r="2295" ht="22.15" customHeight="1" x14ac:dyDescent="0.25"/>
    <row r="2296" ht="22.15" customHeight="1" x14ac:dyDescent="0.25"/>
    <row r="2297" ht="22.15" customHeight="1" x14ac:dyDescent="0.25"/>
    <row r="2298" ht="22.15" customHeight="1" x14ac:dyDescent="0.25"/>
    <row r="2299" ht="22.15" customHeight="1" x14ac:dyDescent="0.25"/>
    <row r="2300" ht="22.15" customHeight="1" x14ac:dyDescent="0.25"/>
    <row r="2301" ht="22.15" customHeight="1" x14ac:dyDescent="0.25"/>
    <row r="2302" ht="22.15" customHeight="1" x14ac:dyDescent="0.25"/>
    <row r="2303" ht="22.15" customHeight="1" x14ac:dyDescent="0.25"/>
    <row r="2304" ht="22.15" customHeight="1" x14ac:dyDescent="0.25"/>
    <row r="2305" ht="22.15" customHeight="1" x14ac:dyDescent="0.25"/>
    <row r="2306" ht="22.15" customHeight="1" x14ac:dyDescent="0.25"/>
    <row r="2307" ht="22.15" customHeight="1" x14ac:dyDescent="0.25"/>
    <row r="2308" ht="22.15" customHeight="1" x14ac:dyDescent="0.25"/>
    <row r="2309" ht="22.15" customHeight="1" x14ac:dyDescent="0.25"/>
    <row r="2310" ht="22.15" customHeight="1" x14ac:dyDescent="0.25"/>
    <row r="2311" ht="22.15" customHeight="1" x14ac:dyDescent="0.25"/>
    <row r="2312" ht="22.15" customHeight="1" x14ac:dyDescent="0.25"/>
    <row r="2313" ht="22.15" customHeight="1" x14ac:dyDescent="0.25"/>
    <row r="2314" ht="22.15" customHeight="1" x14ac:dyDescent="0.25"/>
    <row r="2315" ht="22.15" customHeight="1" x14ac:dyDescent="0.25"/>
    <row r="2316" ht="22.15" customHeight="1" x14ac:dyDescent="0.25"/>
    <row r="2317" ht="22.15" customHeight="1" x14ac:dyDescent="0.25"/>
    <row r="2318" ht="22.15" customHeight="1" x14ac:dyDescent="0.25"/>
    <row r="2319" ht="22.15" customHeight="1" x14ac:dyDescent="0.25"/>
    <row r="2320" ht="22.15" customHeight="1" x14ac:dyDescent="0.25"/>
    <row r="2321" ht="22.15" customHeight="1" x14ac:dyDescent="0.25"/>
    <row r="2322" ht="22.15" customHeight="1" x14ac:dyDescent="0.25"/>
    <row r="2323" ht="22.15" customHeight="1" x14ac:dyDescent="0.25"/>
    <row r="2324" ht="22.15" customHeight="1" x14ac:dyDescent="0.25"/>
    <row r="2325" ht="22.15" customHeight="1" x14ac:dyDescent="0.25"/>
    <row r="2326" ht="22.15" customHeight="1" x14ac:dyDescent="0.25"/>
    <row r="2327" ht="22.15" customHeight="1" x14ac:dyDescent="0.25"/>
    <row r="2328" ht="22.15" customHeight="1" x14ac:dyDescent="0.25"/>
    <row r="2329" ht="22.15" customHeight="1" x14ac:dyDescent="0.25"/>
    <row r="2330" ht="22.15" customHeight="1" x14ac:dyDescent="0.25"/>
    <row r="2331" ht="22.15" customHeight="1" x14ac:dyDescent="0.25"/>
    <row r="2332" ht="22.15" customHeight="1" x14ac:dyDescent="0.25"/>
    <row r="2333" ht="22.15" customHeight="1" x14ac:dyDescent="0.25"/>
    <row r="2334" ht="22.15" customHeight="1" x14ac:dyDescent="0.25"/>
    <row r="2335" ht="22.15" customHeight="1" x14ac:dyDescent="0.25"/>
    <row r="2336" ht="22.15" customHeight="1" x14ac:dyDescent="0.25"/>
    <row r="2337" ht="22.15" customHeight="1" x14ac:dyDescent="0.25"/>
    <row r="2338" ht="22.15" customHeight="1" x14ac:dyDescent="0.25"/>
    <row r="2339" ht="22.15" customHeight="1" x14ac:dyDescent="0.25"/>
    <row r="2340" ht="22.15" customHeight="1" x14ac:dyDescent="0.25"/>
    <row r="2341" ht="22.15" customHeight="1" x14ac:dyDescent="0.25"/>
    <row r="2342" ht="22.15" customHeight="1" x14ac:dyDescent="0.25"/>
    <row r="2343" ht="22.15" customHeight="1" x14ac:dyDescent="0.25"/>
    <row r="2344" ht="22.15" customHeight="1" x14ac:dyDescent="0.25"/>
    <row r="2345" ht="22.15" customHeight="1" x14ac:dyDescent="0.25"/>
    <row r="2346" ht="22.15" customHeight="1" x14ac:dyDescent="0.25"/>
    <row r="2347" ht="22.15" customHeight="1" x14ac:dyDescent="0.25"/>
    <row r="2348" ht="22.15" customHeight="1" x14ac:dyDescent="0.25"/>
    <row r="2349" ht="22.15" customHeight="1" x14ac:dyDescent="0.25"/>
    <row r="2350" ht="22.15" customHeight="1" x14ac:dyDescent="0.25"/>
    <row r="2351" ht="22.15" customHeight="1" x14ac:dyDescent="0.25"/>
    <row r="2352" ht="22.15" customHeight="1" x14ac:dyDescent="0.25"/>
    <row r="2353" ht="22.15" customHeight="1" x14ac:dyDescent="0.25"/>
    <row r="2354" ht="22.15" customHeight="1" x14ac:dyDescent="0.25"/>
    <row r="2355" ht="22.15" customHeight="1" x14ac:dyDescent="0.25"/>
    <row r="2356" ht="22.15" customHeight="1" x14ac:dyDescent="0.25"/>
    <row r="2357" ht="22.15" customHeight="1" x14ac:dyDescent="0.25"/>
    <row r="2358" ht="22.15" customHeight="1" x14ac:dyDescent="0.25"/>
    <row r="2359" ht="22.15" customHeight="1" x14ac:dyDescent="0.25"/>
    <row r="2360" ht="22.15" customHeight="1" x14ac:dyDescent="0.25"/>
    <row r="2361" ht="22.15" customHeight="1" x14ac:dyDescent="0.25"/>
    <row r="2362" ht="22.15" customHeight="1" x14ac:dyDescent="0.25"/>
    <row r="2363" ht="22.15" customHeight="1" x14ac:dyDescent="0.25"/>
    <row r="2364" ht="22.15" customHeight="1" x14ac:dyDescent="0.25"/>
    <row r="2365" ht="22.15" customHeight="1" x14ac:dyDescent="0.25"/>
    <row r="2366" ht="22.15" customHeight="1" x14ac:dyDescent="0.25"/>
    <row r="2367" ht="22.15" customHeight="1" x14ac:dyDescent="0.25"/>
    <row r="2368" ht="22.15" customHeight="1" x14ac:dyDescent="0.25"/>
    <row r="2369" ht="22.15" customHeight="1" x14ac:dyDescent="0.25"/>
    <row r="2370" ht="22.15" customHeight="1" x14ac:dyDescent="0.25"/>
    <row r="2371" ht="22.15" customHeight="1" x14ac:dyDescent="0.25"/>
    <row r="2372" ht="22.15" customHeight="1" x14ac:dyDescent="0.25"/>
    <row r="2373" ht="22.15" customHeight="1" x14ac:dyDescent="0.25"/>
    <row r="2374" ht="22.15" customHeight="1" x14ac:dyDescent="0.25"/>
    <row r="2375" ht="22.15" customHeight="1" x14ac:dyDescent="0.25"/>
    <row r="2376" ht="22.15" customHeight="1" x14ac:dyDescent="0.25"/>
    <row r="2377" ht="22.15" customHeight="1" x14ac:dyDescent="0.25"/>
    <row r="2378" ht="22.15" customHeight="1" x14ac:dyDescent="0.25"/>
    <row r="2379" ht="22.15" customHeight="1" x14ac:dyDescent="0.25"/>
    <row r="2380" ht="22.15" customHeight="1" x14ac:dyDescent="0.25"/>
    <row r="2381" ht="22.15" customHeight="1" x14ac:dyDescent="0.25"/>
    <row r="2382" ht="22.15" customHeight="1" x14ac:dyDescent="0.25"/>
    <row r="2383" ht="22.15" customHeight="1" x14ac:dyDescent="0.25"/>
    <row r="2384" ht="22.15" customHeight="1" x14ac:dyDescent="0.25"/>
    <row r="2385" ht="22.15" customHeight="1" x14ac:dyDescent="0.25"/>
    <row r="2386" ht="22.15" customHeight="1" x14ac:dyDescent="0.25"/>
    <row r="2387" ht="22.15" customHeight="1" x14ac:dyDescent="0.25"/>
    <row r="2388" ht="22.15" customHeight="1" x14ac:dyDescent="0.25"/>
    <row r="2389" ht="22.15" customHeight="1" x14ac:dyDescent="0.25"/>
    <row r="2390" ht="22.15" customHeight="1" x14ac:dyDescent="0.25"/>
    <row r="2391" ht="22.15" customHeight="1" x14ac:dyDescent="0.25"/>
    <row r="2392" ht="22.15" customHeight="1" x14ac:dyDescent="0.25"/>
    <row r="2393" ht="22.15" customHeight="1" x14ac:dyDescent="0.25"/>
    <row r="2394" ht="22.15" customHeight="1" x14ac:dyDescent="0.25"/>
    <row r="2395" ht="22.15" customHeight="1" x14ac:dyDescent="0.25"/>
    <row r="2396" ht="22.15" customHeight="1" x14ac:dyDescent="0.25"/>
    <row r="2397" ht="22.15" customHeight="1" x14ac:dyDescent="0.25"/>
    <row r="2398" ht="22.15" customHeight="1" x14ac:dyDescent="0.25"/>
    <row r="2399" ht="22.15" customHeight="1" x14ac:dyDescent="0.25"/>
    <row r="2400" ht="22.15" customHeight="1" x14ac:dyDescent="0.25"/>
    <row r="2401" ht="22.15" customHeight="1" x14ac:dyDescent="0.25"/>
    <row r="2402" ht="22.15" customHeight="1" x14ac:dyDescent="0.25"/>
    <row r="2403" ht="22.15" customHeight="1" x14ac:dyDescent="0.25"/>
    <row r="2404" ht="22.15" customHeight="1" x14ac:dyDescent="0.25"/>
    <row r="2405" ht="22.15" customHeight="1" x14ac:dyDescent="0.25"/>
    <row r="2406" ht="22.15" customHeight="1" x14ac:dyDescent="0.25"/>
    <row r="2407" ht="22.15" customHeight="1" x14ac:dyDescent="0.25"/>
    <row r="2408" ht="22.15" customHeight="1" x14ac:dyDescent="0.25"/>
    <row r="2409" ht="22.15" customHeight="1" x14ac:dyDescent="0.25"/>
    <row r="2410" ht="22.15" customHeight="1" x14ac:dyDescent="0.25"/>
    <row r="2411" ht="22.15" customHeight="1" x14ac:dyDescent="0.25"/>
    <row r="2412" ht="22.15" customHeight="1" x14ac:dyDescent="0.25"/>
    <row r="2413" ht="22.15" customHeight="1" x14ac:dyDescent="0.25"/>
    <row r="2414" ht="22.15" customHeight="1" x14ac:dyDescent="0.25"/>
    <row r="2415" ht="22.15" customHeight="1" x14ac:dyDescent="0.25"/>
    <row r="2416" ht="22.15" customHeight="1" x14ac:dyDescent="0.25"/>
    <row r="2417" ht="22.15" customHeight="1" x14ac:dyDescent="0.25"/>
    <row r="2418" ht="22.15" customHeight="1" x14ac:dyDescent="0.25"/>
    <row r="2419" ht="22.15" customHeight="1" x14ac:dyDescent="0.25"/>
    <row r="2420" ht="22.15" customHeight="1" x14ac:dyDescent="0.25"/>
    <row r="2421" ht="22.15" customHeight="1" x14ac:dyDescent="0.25"/>
    <row r="2422" ht="22.15" customHeight="1" x14ac:dyDescent="0.25"/>
    <row r="2423" ht="22.15" customHeight="1" x14ac:dyDescent="0.25"/>
    <row r="2424" ht="22.15" customHeight="1" x14ac:dyDescent="0.25"/>
    <row r="2425" ht="22.15" customHeight="1" x14ac:dyDescent="0.25"/>
    <row r="2426" ht="22.15" customHeight="1" x14ac:dyDescent="0.25"/>
    <row r="2427" ht="22.15" customHeight="1" x14ac:dyDescent="0.25"/>
    <row r="2428" ht="22.15" customHeight="1" x14ac:dyDescent="0.25"/>
    <row r="2429" ht="22.15" customHeight="1" x14ac:dyDescent="0.25"/>
    <row r="2430" ht="22.15" customHeight="1" x14ac:dyDescent="0.25"/>
    <row r="2431" ht="22.15" customHeight="1" x14ac:dyDescent="0.25"/>
    <row r="2432" ht="22.15" customHeight="1" x14ac:dyDescent="0.25"/>
    <row r="2433" ht="22.15" customHeight="1" x14ac:dyDescent="0.25"/>
    <row r="2434" ht="22.15" customHeight="1" x14ac:dyDescent="0.25"/>
    <row r="2435" ht="22.15" customHeight="1" x14ac:dyDescent="0.25"/>
    <row r="2436" ht="22.15" customHeight="1" x14ac:dyDescent="0.25"/>
    <row r="2437" ht="22.15" customHeight="1" x14ac:dyDescent="0.25"/>
    <row r="2438" ht="22.15" customHeight="1" x14ac:dyDescent="0.25"/>
    <row r="2439" ht="22.15" customHeight="1" x14ac:dyDescent="0.25"/>
    <row r="2440" ht="22.15" customHeight="1" x14ac:dyDescent="0.25"/>
    <row r="2441" ht="22.15" customHeight="1" x14ac:dyDescent="0.25"/>
    <row r="2442" ht="22.15" customHeight="1" x14ac:dyDescent="0.25"/>
    <row r="2443" ht="22.15" customHeight="1" x14ac:dyDescent="0.25"/>
    <row r="2444" ht="22.15" customHeight="1" x14ac:dyDescent="0.25"/>
    <row r="2445" ht="22.15" customHeight="1" x14ac:dyDescent="0.25"/>
    <row r="2446" ht="22.15" customHeight="1" x14ac:dyDescent="0.25"/>
    <row r="2447" ht="22.15" customHeight="1" x14ac:dyDescent="0.25"/>
    <row r="2448" ht="22.15" customHeight="1" x14ac:dyDescent="0.25"/>
    <row r="2449" ht="22.15" customHeight="1" x14ac:dyDescent="0.25"/>
    <row r="2450" ht="22.15" customHeight="1" x14ac:dyDescent="0.25"/>
    <row r="2451" ht="22.15" customHeight="1" x14ac:dyDescent="0.25"/>
    <row r="2452" ht="22.15" customHeight="1" x14ac:dyDescent="0.25"/>
    <row r="2453" ht="22.15" customHeight="1" x14ac:dyDescent="0.25"/>
    <row r="2454" ht="22.15" customHeight="1" x14ac:dyDescent="0.25"/>
    <row r="2455" ht="22.15" customHeight="1" x14ac:dyDescent="0.25"/>
    <row r="2456" ht="22.15" customHeight="1" x14ac:dyDescent="0.25"/>
    <row r="2457" ht="22.15" customHeight="1" x14ac:dyDescent="0.25"/>
    <row r="2458" ht="22.15" customHeight="1" x14ac:dyDescent="0.25"/>
    <row r="2459" ht="22.15" customHeight="1" x14ac:dyDescent="0.25"/>
    <row r="2460" ht="22.15" customHeight="1" x14ac:dyDescent="0.25"/>
    <row r="2461" ht="22.15" customHeight="1" x14ac:dyDescent="0.25"/>
    <row r="2462" ht="22.15" customHeight="1" x14ac:dyDescent="0.25"/>
    <row r="2463" ht="22.15" customHeight="1" x14ac:dyDescent="0.25"/>
    <row r="2464" ht="22.15" customHeight="1" x14ac:dyDescent="0.25"/>
    <row r="2465" ht="22.15" customHeight="1" x14ac:dyDescent="0.25"/>
    <row r="2466" ht="22.15" customHeight="1" x14ac:dyDescent="0.25"/>
    <row r="2467" ht="22.15" customHeight="1" x14ac:dyDescent="0.25"/>
    <row r="2468" ht="22.15" customHeight="1" x14ac:dyDescent="0.25"/>
    <row r="2469" ht="22.15" customHeight="1" x14ac:dyDescent="0.25"/>
    <row r="2470" ht="22.15" customHeight="1" x14ac:dyDescent="0.25"/>
    <row r="2471" ht="22.15" customHeight="1" x14ac:dyDescent="0.25"/>
    <row r="2472" ht="22.15" customHeight="1" x14ac:dyDescent="0.25"/>
    <row r="2473" ht="22.15" customHeight="1" x14ac:dyDescent="0.25"/>
    <row r="2474" ht="22.15" customHeight="1" x14ac:dyDescent="0.25"/>
    <row r="2475" ht="22.15" customHeight="1" x14ac:dyDescent="0.25"/>
    <row r="2476" ht="22.15" customHeight="1" x14ac:dyDescent="0.25"/>
    <row r="2477" ht="22.15" customHeight="1" x14ac:dyDescent="0.25"/>
    <row r="2478" ht="22.15" customHeight="1" x14ac:dyDescent="0.25"/>
    <row r="2479" ht="22.15" customHeight="1" x14ac:dyDescent="0.25"/>
    <row r="2480" ht="22.15" customHeight="1" x14ac:dyDescent="0.25"/>
    <row r="2481" ht="22.15" customHeight="1" x14ac:dyDescent="0.25"/>
    <row r="2482" ht="22.15" customHeight="1" x14ac:dyDescent="0.25"/>
    <row r="2483" ht="22.15" customHeight="1" x14ac:dyDescent="0.25"/>
    <row r="2484" ht="22.15" customHeight="1" x14ac:dyDescent="0.25"/>
    <row r="2485" ht="22.15" customHeight="1" x14ac:dyDescent="0.25"/>
    <row r="2486" ht="22.15" customHeight="1" x14ac:dyDescent="0.25"/>
    <row r="2487" ht="22.15" customHeight="1" x14ac:dyDescent="0.25"/>
    <row r="2488" ht="22.15" customHeight="1" x14ac:dyDescent="0.25"/>
    <row r="2489" ht="22.15" customHeight="1" x14ac:dyDescent="0.25"/>
    <row r="2490" ht="22.15" customHeight="1" x14ac:dyDescent="0.25"/>
    <row r="2491" ht="22.15" customHeight="1" x14ac:dyDescent="0.25"/>
    <row r="2492" ht="22.15" customHeight="1" x14ac:dyDescent="0.25"/>
    <row r="2493" ht="22.15" customHeight="1" x14ac:dyDescent="0.25"/>
    <row r="2494" ht="22.15" customHeight="1" x14ac:dyDescent="0.25"/>
    <row r="2495" ht="22.15" customHeight="1" x14ac:dyDescent="0.25"/>
    <row r="2496" ht="22.15" customHeight="1" x14ac:dyDescent="0.25"/>
    <row r="2497" ht="22.15" customHeight="1" x14ac:dyDescent="0.25"/>
    <row r="2498" ht="22.15" customHeight="1" x14ac:dyDescent="0.25"/>
    <row r="2499" ht="22.15" customHeight="1" x14ac:dyDescent="0.25"/>
    <row r="2500" ht="22.15" customHeight="1" x14ac:dyDescent="0.25"/>
    <row r="2501" ht="22.15" customHeight="1" x14ac:dyDescent="0.25"/>
    <row r="2502" ht="22.15" customHeight="1" x14ac:dyDescent="0.25"/>
    <row r="2503" ht="22.15" customHeight="1" x14ac:dyDescent="0.25"/>
    <row r="2504" ht="22.15" customHeight="1" x14ac:dyDescent="0.25"/>
    <row r="2505" ht="22.15" customHeight="1" x14ac:dyDescent="0.25"/>
    <row r="2506" ht="22.15" customHeight="1" x14ac:dyDescent="0.25"/>
    <row r="2507" ht="22.15" customHeight="1" x14ac:dyDescent="0.25"/>
    <row r="2508" ht="22.15" customHeight="1" x14ac:dyDescent="0.25"/>
    <row r="2509" ht="22.15" customHeight="1" x14ac:dyDescent="0.25"/>
    <row r="2510" ht="22.15" customHeight="1" x14ac:dyDescent="0.25"/>
    <row r="2511" ht="22.15" customHeight="1" x14ac:dyDescent="0.25"/>
    <row r="2512" ht="22.15" customHeight="1" x14ac:dyDescent="0.25"/>
    <row r="2513" ht="22.15" customHeight="1" x14ac:dyDescent="0.25"/>
    <row r="2514" ht="22.15" customHeight="1" x14ac:dyDescent="0.25"/>
    <row r="2515" ht="22.15" customHeight="1" x14ac:dyDescent="0.25"/>
    <row r="2516" ht="22.15" customHeight="1" x14ac:dyDescent="0.25"/>
    <row r="2517" ht="22.15" customHeight="1" x14ac:dyDescent="0.25"/>
    <row r="2518" ht="22.15" customHeight="1" x14ac:dyDescent="0.25"/>
    <row r="2519" ht="22.15" customHeight="1" x14ac:dyDescent="0.25"/>
    <row r="2520" ht="22.15" customHeight="1" x14ac:dyDescent="0.25"/>
    <row r="2521" ht="22.15" customHeight="1" x14ac:dyDescent="0.25"/>
    <row r="2522" ht="22.15" customHeight="1" x14ac:dyDescent="0.25"/>
    <row r="2523" ht="22.15" customHeight="1" x14ac:dyDescent="0.25"/>
    <row r="2524" ht="22.15" customHeight="1" x14ac:dyDescent="0.25"/>
    <row r="2525" ht="22.15" customHeight="1" x14ac:dyDescent="0.25"/>
    <row r="2526" ht="22.15" customHeight="1" x14ac:dyDescent="0.25"/>
    <row r="2527" ht="22.15" customHeight="1" x14ac:dyDescent="0.25"/>
    <row r="2528" ht="22.15" customHeight="1" x14ac:dyDescent="0.25"/>
    <row r="2529" ht="22.15" customHeight="1" x14ac:dyDescent="0.25"/>
    <row r="2530" ht="22.15" customHeight="1" x14ac:dyDescent="0.25"/>
    <row r="2531" ht="22.15" customHeight="1" x14ac:dyDescent="0.25"/>
    <row r="2532" ht="22.15" customHeight="1" x14ac:dyDescent="0.25"/>
    <row r="2533" ht="22.15" customHeight="1" x14ac:dyDescent="0.25"/>
    <row r="2534" ht="22.15" customHeight="1" x14ac:dyDescent="0.25"/>
    <row r="2535" ht="22.15" customHeight="1" x14ac:dyDescent="0.25"/>
    <row r="2536" ht="22.15" customHeight="1" x14ac:dyDescent="0.25"/>
    <row r="2537" ht="22.15" customHeight="1" x14ac:dyDescent="0.25"/>
    <row r="2538" ht="22.15" customHeight="1" x14ac:dyDescent="0.25"/>
    <row r="2539" ht="22.15" customHeight="1" x14ac:dyDescent="0.25"/>
    <row r="2540" ht="22.15" customHeight="1" x14ac:dyDescent="0.25"/>
    <row r="2541" ht="22.15" customHeight="1" x14ac:dyDescent="0.25"/>
    <row r="2542" ht="22.15" customHeight="1" x14ac:dyDescent="0.25"/>
    <row r="2543" ht="22.15" customHeight="1" x14ac:dyDescent="0.25"/>
    <row r="2544" ht="22.15" customHeight="1" x14ac:dyDescent="0.25"/>
    <row r="2545" ht="22.15" customHeight="1" x14ac:dyDescent="0.25"/>
    <row r="2546" ht="22.15" customHeight="1" x14ac:dyDescent="0.25"/>
    <row r="2547" ht="22.15" customHeight="1" x14ac:dyDescent="0.25"/>
    <row r="2548" ht="22.15" customHeight="1" x14ac:dyDescent="0.25"/>
    <row r="2549" ht="22.15" customHeight="1" x14ac:dyDescent="0.25"/>
    <row r="2550" ht="22.15" customHeight="1" x14ac:dyDescent="0.25"/>
    <row r="2551" ht="22.15" customHeight="1" x14ac:dyDescent="0.25"/>
    <row r="2552" ht="22.15" customHeight="1" x14ac:dyDescent="0.25"/>
    <row r="2553" ht="22.15" customHeight="1" x14ac:dyDescent="0.25"/>
    <row r="2554" ht="22.15" customHeight="1" x14ac:dyDescent="0.25"/>
    <row r="2555" ht="22.15" customHeight="1" x14ac:dyDescent="0.25"/>
    <row r="2556" ht="22.15" customHeight="1" x14ac:dyDescent="0.25"/>
    <row r="2557" ht="22.15" customHeight="1" x14ac:dyDescent="0.25"/>
    <row r="2558" ht="22.15" customHeight="1" x14ac:dyDescent="0.25"/>
    <row r="2559" ht="22.15" customHeight="1" x14ac:dyDescent="0.25"/>
    <row r="2560" ht="22.15" customHeight="1" x14ac:dyDescent="0.25"/>
    <row r="2561" ht="22.15" customHeight="1" x14ac:dyDescent="0.25"/>
    <row r="2562" ht="22.15" customHeight="1" x14ac:dyDescent="0.25"/>
    <row r="2563" ht="22.15" customHeight="1" x14ac:dyDescent="0.25"/>
    <row r="2564" ht="22.15" customHeight="1" x14ac:dyDescent="0.25"/>
    <row r="2565" ht="22.15" customHeight="1" x14ac:dyDescent="0.25"/>
    <row r="2566" ht="22.15" customHeight="1" x14ac:dyDescent="0.25"/>
    <row r="2567" ht="22.15" customHeight="1" x14ac:dyDescent="0.25"/>
    <row r="2568" ht="22.15" customHeight="1" x14ac:dyDescent="0.25"/>
    <row r="2569" ht="22.15" customHeight="1" x14ac:dyDescent="0.25"/>
    <row r="2570" ht="22.15" customHeight="1" x14ac:dyDescent="0.25"/>
    <row r="2571" ht="22.15" customHeight="1" x14ac:dyDescent="0.25"/>
    <row r="2572" ht="22.15" customHeight="1" x14ac:dyDescent="0.25"/>
    <row r="2573" ht="22.15" customHeight="1" x14ac:dyDescent="0.25"/>
    <row r="2574" ht="22.15" customHeight="1" x14ac:dyDescent="0.25"/>
    <row r="2575" ht="22.15" customHeight="1" x14ac:dyDescent="0.25"/>
    <row r="2576" ht="22.15" customHeight="1" x14ac:dyDescent="0.25"/>
    <row r="2577" ht="22.15" customHeight="1" x14ac:dyDescent="0.25"/>
    <row r="2578" ht="22.15" customHeight="1" x14ac:dyDescent="0.25"/>
    <row r="2579" ht="22.15" customHeight="1" x14ac:dyDescent="0.25"/>
    <row r="2580" ht="22.15" customHeight="1" x14ac:dyDescent="0.25"/>
    <row r="2581" ht="22.15" customHeight="1" x14ac:dyDescent="0.25"/>
    <row r="2582" ht="22.15" customHeight="1" x14ac:dyDescent="0.25"/>
    <row r="2583" ht="22.15" customHeight="1" x14ac:dyDescent="0.25"/>
    <row r="2584" ht="22.15" customHeight="1" x14ac:dyDescent="0.25"/>
    <row r="2585" ht="22.15" customHeight="1" x14ac:dyDescent="0.25"/>
    <row r="2586" ht="22.15" customHeight="1" x14ac:dyDescent="0.25"/>
    <row r="2587" ht="22.15" customHeight="1" x14ac:dyDescent="0.25"/>
    <row r="2588" ht="22.15" customHeight="1" x14ac:dyDescent="0.25"/>
    <row r="2589" ht="22.15" customHeight="1" x14ac:dyDescent="0.25"/>
    <row r="2590" ht="22.15" customHeight="1" x14ac:dyDescent="0.25"/>
    <row r="2591" ht="22.15" customHeight="1" x14ac:dyDescent="0.25"/>
    <row r="2592" ht="22.15" customHeight="1" x14ac:dyDescent="0.25"/>
    <row r="2593" ht="22.15" customHeight="1" x14ac:dyDescent="0.25"/>
    <row r="2594" ht="22.15" customHeight="1" x14ac:dyDescent="0.25"/>
    <row r="2595" ht="22.15" customHeight="1" x14ac:dyDescent="0.25"/>
    <row r="2596" ht="22.15" customHeight="1" x14ac:dyDescent="0.25"/>
    <row r="2597" ht="22.15" customHeight="1" x14ac:dyDescent="0.25"/>
    <row r="2598" ht="22.15" customHeight="1" x14ac:dyDescent="0.25"/>
    <row r="2599" ht="22.15" customHeight="1" x14ac:dyDescent="0.25"/>
    <row r="2600" ht="22.15" customHeight="1" x14ac:dyDescent="0.25"/>
    <row r="2601" ht="22.15" customHeight="1" x14ac:dyDescent="0.25"/>
    <row r="2602" ht="22.15" customHeight="1" x14ac:dyDescent="0.25"/>
    <row r="2603" ht="22.15" customHeight="1" x14ac:dyDescent="0.25"/>
    <row r="2604" ht="22.15" customHeight="1" x14ac:dyDescent="0.25"/>
    <row r="2605" ht="22.15" customHeight="1" x14ac:dyDescent="0.25"/>
    <row r="2606" ht="22.15" customHeight="1" x14ac:dyDescent="0.25"/>
    <row r="2607" ht="22.15" customHeight="1" x14ac:dyDescent="0.25"/>
    <row r="2608" ht="22.15" customHeight="1" x14ac:dyDescent="0.25"/>
    <row r="2609" ht="22.15" customHeight="1" x14ac:dyDescent="0.25"/>
    <row r="2610" ht="22.15" customHeight="1" x14ac:dyDescent="0.25"/>
    <row r="2611" ht="22.15" customHeight="1" x14ac:dyDescent="0.25"/>
    <row r="2612" ht="22.15" customHeight="1" x14ac:dyDescent="0.25"/>
    <row r="2613" ht="22.15" customHeight="1" x14ac:dyDescent="0.25"/>
    <row r="2614" ht="22.15" customHeight="1" x14ac:dyDescent="0.25"/>
    <row r="2615" ht="22.15" customHeight="1" x14ac:dyDescent="0.25"/>
    <row r="2616" ht="22.15" customHeight="1" x14ac:dyDescent="0.25"/>
    <row r="2617" ht="22.15" customHeight="1" x14ac:dyDescent="0.25"/>
    <row r="2618" ht="22.15" customHeight="1" x14ac:dyDescent="0.25"/>
    <row r="2619" ht="22.15" customHeight="1" x14ac:dyDescent="0.25"/>
    <row r="2620" ht="22.15" customHeight="1" x14ac:dyDescent="0.25"/>
    <row r="2621" ht="22.15" customHeight="1" x14ac:dyDescent="0.25"/>
    <row r="2622" ht="22.15" customHeight="1" x14ac:dyDescent="0.25"/>
    <row r="2623" ht="22.15" customHeight="1" x14ac:dyDescent="0.25"/>
    <row r="2624" ht="22.15" customHeight="1" x14ac:dyDescent="0.25"/>
    <row r="2625" ht="22.15" customHeight="1" x14ac:dyDescent="0.25"/>
    <row r="2626" ht="22.15" customHeight="1" x14ac:dyDescent="0.25"/>
    <row r="2627" ht="22.15" customHeight="1" x14ac:dyDescent="0.25"/>
    <row r="2628" ht="22.15" customHeight="1" x14ac:dyDescent="0.25"/>
    <row r="2629" ht="22.15" customHeight="1" x14ac:dyDescent="0.25"/>
    <row r="2630" ht="22.15" customHeight="1" x14ac:dyDescent="0.25"/>
    <row r="2631" ht="22.15" customHeight="1" x14ac:dyDescent="0.25"/>
    <row r="2632" ht="22.15" customHeight="1" x14ac:dyDescent="0.25"/>
    <row r="2633" ht="22.15" customHeight="1" x14ac:dyDescent="0.25"/>
    <row r="2634" ht="22.15" customHeight="1" x14ac:dyDescent="0.25"/>
    <row r="2635" ht="22.15" customHeight="1" x14ac:dyDescent="0.25"/>
    <row r="2636" ht="22.15" customHeight="1" x14ac:dyDescent="0.25"/>
    <row r="2637" ht="22.15" customHeight="1" x14ac:dyDescent="0.25"/>
    <row r="2638" ht="22.15" customHeight="1" x14ac:dyDescent="0.25"/>
    <row r="2639" ht="22.15" customHeight="1" x14ac:dyDescent="0.25"/>
    <row r="2640" ht="22.15" customHeight="1" x14ac:dyDescent="0.25"/>
    <row r="2641" ht="22.15" customHeight="1" x14ac:dyDescent="0.25"/>
    <row r="2642" ht="22.15" customHeight="1" x14ac:dyDescent="0.25"/>
    <row r="2643" ht="22.15" customHeight="1" x14ac:dyDescent="0.25"/>
    <row r="2644" ht="22.15" customHeight="1" x14ac:dyDescent="0.25"/>
    <row r="2645" ht="22.15" customHeight="1" x14ac:dyDescent="0.25"/>
    <row r="2646" ht="22.15" customHeight="1" x14ac:dyDescent="0.25"/>
    <row r="2647" ht="22.15" customHeight="1" x14ac:dyDescent="0.25"/>
    <row r="2648" ht="22.15" customHeight="1" x14ac:dyDescent="0.25"/>
    <row r="2649" ht="22.15" customHeight="1" x14ac:dyDescent="0.25"/>
    <row r="2650" ht="22.15" customHeight="1" x14ac:dyDescent="0.25"/>
    <row r="2651" ht="22.15" customHeight="1" x14ac:dyDescent="0.25"/>
    <row r="2652" ht="22.15" customHeight="1" x14ac:dyDescent="0.25"/>
    <row r="2653" ht="22.15" customHeight="1" x14ac:dyDescent="0.25"/>
    <row r="2654" ht="22.15" customHeight="1" x14ac:dyDescent="0.25"/>
    <row r="2655" ht="22.15" customHeight="1" x14ac:dyDescent="0.25"/>
    <row r="2656" ht="22.15" customHeight="1" x14ac:dyDescent="0.25"/>
    <row r="2657" ht="22.15" customHeight="1" x14ac:dyDescent="0.25"/>
    <row r="2658" ht="22.15" customHeight="1" x14ac:dyDescent="0.25"/>
    <row r="2659" ht="22.15" customHeight="1" x14ac:dyDescent="0.25"/>
    <row r="2660" ht="22.15" customHeight="1" x14ac:dyDescent="0.25"/>
    <row r="2661" ht="22.15" customHeight="1" x14ac:dyDescent="0.25"/>
    <row r="2662" ht="22.15" customHeight="1" x14ac:dyDescent="0.25"/>
    <row r="2663" ht="22.15" customHeight="1" x14ac:dyDescent="0.25"/>
    <row r="2664" ht="22.15" customHeight="1" x14ac:dyDescent="0.25"/>
    <row r="2665" ht="22.15" customHeight="1" x14ac:dyDescent="0.25"/>
    <row r="2666" ht="22.15" customHeight="1" x14ac:dyDescent="0.25"/>
    <row r="2667" ht="22.15" customHeight="1" x14ac:dyDescent="0.25"/>
    <row r="2668" ht="22.15" customHeight="1" x14ac:dyDescent="0.25"/>
    <row r="2669" ht="22.15" customHeight="1" x14ac:dyDescent="0.25"/>
    <row r="2670" ht="22.15" customHeight="1" x14ac:dyDescent="0.25"/>
    <row r="2671" ht="22.15" customHeight="1" x14ac:dyDescent="0.25"/>
    <row r="2672" ht="22.15" customHeight="1" x14ac:dyDescent="0.25"/>
    <row r="2673" ht="22.15" customHeight="1" x14ac:dyDescent="0.25"/>
    <row r="2674" ht="22.15" customHeight="1" x14ac:dyDescent="0.25"/>
    <row r="2675" ht="22.15" customHeight="1" x14ac:dyDescent="0.25"/>
    <row r="2676" ht="22.15" customHeight="1" x14ac:dyDescent="0.25"/>
    <row r="2677" ht="22.15" customHeight="1" x14ac:dyDescent="0.25"/>
    <row r="2678" ht="22.15" customHeight="1" x14ac:dyDescent="0.25"/>
    <row r="2679" ht="22.15" customHeight="1" x14ac:dyDescent="0.25"/>
    <row r="2680" ht="22.15" customHeight="1" x14ac:dyDescent="0.25"/>
    <row r="2681" ht="22.15" customHeight="1" x14ac:dyDescent="0.25"/>
    <row r="2682" ht="22.15" customHeight="1" x14ac:dyDescent="0.25"/>
    <row r="2683" ht="22.15" customHeight="1" x14ac:dyDescent="0.25"/>
    <row r="2684" ht="22.15" customHeight="1" x14ac:dyDescent="0.25"/>
    <row r="2685" ht="22.15" customHeight="1" x14ac:dyDescent="0.25"/>
    <row r="2686" ht="22.15" customHeight="1" x14ac:dyDescent="0.25"/>
    <row r="2687" ht="22.15" customHeight="1" x14ac:dyDescent="0.25"/>
    <row r="2688" ht="22.15" customHeight="1" x14ac:dyDescent="0.25"/>
    <row r="2689" ht="22.15" customHeight="1" x14ac:dyDescent="0.25"/>
    <row r="2690" ht="22.15" customHeight="1" x14ac:dyDescent="0.25"/>
    <row r="2691" ht="22.15" customHeight="1" x14ac:dyDescent="0.25"/>
    <row r="2692" ht="22.15" customHeight="1" x14ac:dyDescent="0.25"/>
    <row r="2693" ht="22.15" customHeight="1" x14ac:dyDescent="0.25"/>
    <row r="2694" ht="22.15" customHeight="1" x14ac:dyDescent="0.25"/>
    <row r="2695" ht="22.15" customHeight="1" x14ac:dyDescent="0.25"/>
    <row r="2696" ht="22.15" customHeight="1" x14ac:dyDescent="0.25"/>
    <row r="2697" ht="22.15" customHeight="1" x14ac:dyDescent="0.25"/>
    <row r="2698" ht="22.15" customHeight="1" x14ac:dyDescent="0.25"/>
    <row r="2699" ht="22.15" customHeight="1" x14ac:dyDescent="0.25"/>
    <row r="2700" ht="22.15" customHeight="1" x14ac:dyDescent="0.25"/>
    <row r="2701" ht="22.15" customHeight="1" x14ac:dyDescent="0.25"/>
    <row r="2702" ht="22.15" customHeight="1" x14ac:dyDescent="0.25"/>
    <row r="2703" ht="22.15" customHeight="1" x14ac:dyDescent="0.25"/>
    <row r="2704" ht="22.15" customHeight="1" x14ac:dyDescent="0.25"/>
    <row r="2705" ht="22.15" customHeight="1" x14ac:dyDescent="0.25"/>
    <row r="2706" ht="22.15" customHeight="1" x14ac:dyDescent="0.25"/>
    <row r="2707" ht="22.15" customHeight="1" x14ac:dyDescent="0.25"/>
    <row r="2708" ht="22.15" customHeight="1" x14ac:dyDescent="0.25"/>
    <row r="2709" ht="22.15" customHeight="1" x14ac:dyDescent="0.25"/>
    <row r="2710" ht="22.15" customHeight="1" x14ac:dyDescent="0.25"/>
    <row r="2711" ht="22.15" customHeight="1" x14ac:dyDescent="0.25"/>
    <row r="2712" ht="22.15" customHeight="1" x14ac:dyDescent="0.25"/>
    <row r="2713" ht="22.15" customHeight="1" x14ac:dyDescent="0.25"/>
    <row r="2714" ht="22.15" customHeight="1" x14ac:dyDescent="0.25"/>
    <row r="2715" ht="22.15" customHeight="1" x14ac:dyDescent="0.25"/>
    <row r="2716" ht="22.15" customHeight="1" x14ac:dyDescent="0.25"/>
    <row r="2717" ht="22.15" customHeight="1" x14ac:dyDescent="0.25"/>
    <row r="2718" ht="22.15" customHeight="1" x14ac:dyDescent="0.25"/>
    <row r="2719" ht="22.15" customHeight="1" x14ac:dyDescent="0.25"/>
    <row r="2720" ht="22.15" customHeight="1" x14ac:dyDescent="0.25"/>
    <row r="2721" ht="22.15" customHeight="1" x14ac:dyDescent="0.25"/>
    <row r="2722" ht="22.15" customHeight="1" x14ac:dyDescent="0.25"/>
    <row r="2723" ht="22.15" customHeight="1" x14ac:dyDescent="0.25"/>
    <row r="2724" ht="22.15" customHeight="1" x14ac:dyDescent="0.25"/>
    <row r="2725" ht="22.15" customHeight="1" x14ac:dyDescent="0.25"/>
    <row r="2726" ht="22.15" customHeight="1" x14ac:dyDescent="0.25"/>
    <row r="2727" ht="22.15" customHeight="1" x14ac:dyDescent="0.25"/>
    <row r="2728" ht="22.15" customHeight="1" x14ac:dyDescent="0.25"/>
    <row r="2729" ht="22.15" customHeight="1" x14ac:dyDescent="0.25"/>
    <row r="2730" ht="22.15" customHeight="1" x14ac:dyDescent="0.25"/>
    <row r="2731" ht="22.15" customHeight="1" x14ac:dyDescent="0.25"/>
    <row r="2732" ht="22.15" customHeight="1" x14ac:dyDescent="0.25"/>
    <row r="2733" ht="22.15" customHeight="1" x14ac:dyDescent="0.25"/>
    <row r="2734" ht="22.15" customHeight="1" x14ac:dyDescent="0.25"/>
    <row r="2735" ht="22.15" customHeight="1" x14ac:dyDescent="0.25"/>
    <row r="2736" ht="22.15" customHeight="1" x14ac:dyDescent="0.25"/>
    <row r="2737" ht="22.15" customHeight="1" x14ac:dyDescent="0.25"/>
    <row r="2738" ht="22.15" customHeight="1" x14ac:dyDescent="0.25"/>
    <row r="2739" ht="22.15" customHeight="1" x14ac:dyDescent="0.25"/>
    <row r="2740" ht="22.15" customHeight="1" x14ac:dyDescent="0.25"/>
    <row r="2741" ht="22.15" customHeight="1" x14ac:dyDescent="0.25"/>
    <row r="2742" ht="22.15" customHeight="1" x14ac:dyDescent="0.25"/>
    <row r="2743" ht="22.15" customHeight="1" x14ac:dyDescent="0.25"/>
    <row r="2744" ht="22.15" customHeight="1" x14ac:dyDescent="0.25"/>
    <row r="2745" ht="22.15" customHeight="1" x14ac:dyDescent="0.25"/>
    <row r="2746" ht="22.15" customHeight="1" x14ac:dyDescent="0.25"/>
    <row r="2747" ht="22.15" customHeight="1" x14ac:dyDescent="0.25"/>
    <row r="2748" ht="22.15" customHeight="1" x14ac:dyDescent="0.25"/>
    <row r="2749" ht="22.15" customHeight="1" x14ac:dyDescent="0.25"/>
    <row r="2750" ht="22.15" customHeight="1" x14ac:dyDescent="0.25"/>
    <row r="2751" ht="22.15" customHeight="1" x14ac:dyDescent="0.25"/>
    <row r="2752" ht="22.15" customHeight="1" x14ac:dyDescent="0.25"/>
    <row r="2753" ht="22.15" customHeight="1" x14ac:dyDescent="0.25"/>
    <row r="2754" ht="22.15" customHeight="1" x14ac:dyDescent="0.25"/>
    <row r="2755" ht="22.15" customHeight="1" x14ac:dyDescent="0.25"/>
    <row r="2756" ht="22.15" customHeight="1" x14ac:dyDescent="0.25"/>
    <row r="2757" ht="22.15" customHeight="1" x14ac:dyDescent="0.25"/>
    <row r="2758" ht="22.15" customHeight="1" x14ac:dyDescent="0.25"/>
    <row r="2759" ht="22.15" customHeight="1" x14ac:dyDescent="0.25"/>
    <row r="2760" ht="22.15" customHeight="1" x14ac:dyDescent="0.25"/>
    <row r="2761" ht="22.15" customHeight="1" x14ac:dyDescent="0.25"/>
    <row r="2762" ht="22.15" customHeight="1" x14ac:dyDescent="0.25"/>
    <row r="2763" ht="22.15" customHeight="1" x14ac:dyDescent="0.25"/>
    <row r="2764" ht="22.15" customHeight="1" x14ac:dyDescent="0.25"/>
    <row r="2765" ht="22.15" customHeight="1" x14ac:dyDescent="0.25"/>
    <row r="2766" ht="22.15" customHeight="1" x14ac:dyDescent="0.25"/>
    <row r="2767" ht="22.15" customHeight="1" x14ac:dyDescent="0.25"/>
    <row r="2768" ht="22.15" customHeight="1" x14ac:dyDescent="0.25"/>
    <row r="2769" ht="22.15" customHeight="1" x14ac:dyDescent="0.25"/>
    <row r="2770" ht="22.15" customHeight="1" x14ac:dyDescent="0.25"/>
    <row r="2771" ht="22.15" customHeight="1" x14ac:dyDescent="0.25"/>
    <row r="2772" ht="22.15" customHeight="1" x14ac:dyDescent="0.25"/>
    <row r="2773" ht="22.15" customHeight="1" x14ac:dyDescent="0.25"/>
    <row r="2774" ht="22.15" customHeight="1" x14ac:dyDescent="0.25"/>
    <row r="2775" ht="22.15" customHeight="1" x14ac:dyDescent="0.25"/>
    <row r="2776" ht="22.15" customHeight="1" x14ac:dyDescent="0.25"/>
    <row r="2777" ht="22.15" customHeight="1" x14ac:dyDescent="0.25"/>
    <row r="2778" ht="22.15" customHeight="1" x14ac:dyDescent="0.25"/>
    <row r="2779" ht="22.15" customHeight="1" x14ac:dyDescent="0.25"/>
    <row r="2780" ht="22.15" customHeight="1" x14ac:dyDescent="0.25"/>
    <row r="2781" ht="22.15" customHeight="1" x14ac:dyDescent="0.25"/>
    <row r="2782" ht="22.15" customHeight="1" x14ac:dyDescent="0.25"/>
    <row r="2783" ht="22.15" customHeight="1" x14ac:dyDescent="0.25"/>
    <row r="2784" ht="22.15" customHeight="1" x14ac:dyDescent="0.25"/>
    <row r="2785" ht="22.15" customHeight="1" x14ac:dyDescent="0.25"/>
    <row r="2786" ht="22.15" customHeight="1" x14ac:dyDescent="0.25"/>
    <row r="2787" ht="22.15" customHeight="1" x14ac:dyDescent="0.25"/>
    <row r="2788" ht="22.15" customHeight="1" x14ac:dyDescent="0.25"/>
    <row r="2789" ht="22.15" customHeight="1" x14ac:dyDescent="0.25"/>
    <row r="2790" ht="22.15" customHeight="1" x14ac:dyDescent="0.25"/>
    <row r="2791" ht="22.15" customHeight="1" x14ac:dyDescent="0.25"/>
    <row r="2792" ht="22.15" customHeight="1" x14ac:dyDescent="0.25"/>
    <row r="2793" ht="22.15" customHeight="1" x14ac:dyDescent="0.25"/>
    <row r="2794" ht="22.15" customHeight="1" x14ac:dyDescent="0.25"/>
    <row r="2795" ht="22.15" customHeight="1" x14ac:dyDescent="0.25"/>
    <row r="2796" ht="22.15" customHeight="1" x14ac:dyDescent="0.25"/>
    <row r="2797" ht="22.15" customHeight="1" x14ac:dyDescent="0.25"/>
    <row r="2798" ht="22.15" customHeight="1" x14ac:dyDescent="0.25"/>
    <row r="2799" ht="22.15" customHeight="1" x14ac:dyDescent="0.25"/>
    <row r="2800" ht="22.15" customHeight="1" x14ac:dyDescent="0.25"/>
    <row r="2801" ht="22.15" customHeight="1" x14ac:dyDescent="0.25"/>
    <row r="2802" ht="22.15" customHeight="1" x14ac:dyDescent="0.25"/>
    <row r="2803" ht="22.15" customHeight="1" x14ac:dyDescent="0.25"/>
    <row r="2804" ht="22.15" customHeight="1" x14ac:dyDescent="0.25"/>
    <row r="2805" ht="22.15" customHeight="1" x14ac:dyDescent="0.25"/>
    <row r="2806" ht="22.15" customHeight="1" x14ac:dyDescent="0.25"/>
    <row r="2807" ht="22.15" customHeight="1" x14ac:dyDescent="0.25"/>
    <row r="2808" ht="22.15" customHeight="1" x14ac:dyDescent="0.25"/>
    <row r="2809" ht="22.15" customHeight="1" x14ac:dyDescent="0.25"/>
    <row r="2810" ht="22.15" customHeight="1" x14ac:dyDescent="0.25"/>
    <row r="2811" ht="22.15" customHeight="1" x14ac:dyDescent="0.25"/>
    <row r="2812" ht="22.15" customHeight="1" x14ac:dyDescent="0.25"/>
    <row r="2813" ht="22.15" customHeight="1" x14ac:dyDescent="0.25"/>
    <row r="2814" ht="22.15" customHeight="1" x14ac:dyDescent="0.25"/>
    <row r="2815" ht="22.15" customHeight="1" x14ac:dyDescent="0.25"/>
    <row r="2816" ht="22.15" customHeight="1" x14ac:dyDescent="0.25"/>
    <row r="2817" ht="22.15" customHeight="1" x14ac:dyDescent="0.25"/>
    <row r="2818" ht="22.15" customHeight="1" x14ac:dyDescent="0.25"/>
    <row r="2819" ht="22.15" customHeight="1" x14ac:dyDescent="0.25"/>
    <row r="2820" ht="22.15" customHeight="1" x14ac:dyDescent="0.25"/>
    <row r="2821" ht="22.15" customHeight="1" x14ac:dyDescent="0.25"/>
    <row r="2822" ht="22.15" customHeight="1" x14ac:dyDescent="0.25"/>
    <row r="2823" ht="22.15" customHeight="1" x14ac:dyDescent="0.25"/>
    <row r="2824" ht="22.15" customHeight="1" x14ac:dyDescent="0.25"/>
    <row r="2825" ht="22.15" customHeight="1" x14ac:dyDescent="0.25"/>
    <row r="2826" ht="22.15" customHeight="1" x14ac:dyDescent="0.25"/>
    <row r="2827" ht="22.15" customHeight="1" x14ac:dyDescent="0.25"/>
    <row r="2828" ht="22.15" customHeight="1" x14ac:dyDescent="0.25"/>
    <row r="2829" ht="22.15" customHeight="1" x14ac:dyDescent="0.25"/>
    <row r="2830" ht="22.15" customHeight="1" x14ac:dyDescent="0.25"/>
    <row r="2831" ht="22.15" customHeight="1" x14ac:dyDescent="0.25"/>
    <row r="2832" ht="22.15" customHeight="1" x14ac:dyDescent="0.25"/>
    <row r="2833" ht="22.15" customHeight="1" x14ac:dyDescent="0.25"/>
    <row r="2834" ht="22.15" customHeight="1" x14ac:dyDescent="0.25"/>
    <row r="2835" ht="22.15" customHeight="1" x14ac:dyDescent="0.25"/>
    <row r="2836" ht="22.15" customHeight="1" x14ac:dyDescent="0.25"/>
    <row r="2837" ht="22.15" customHeight="1" x14ac:dyDescent="0.25"/>
    <row r="2838" ht="22.15" customHeight="1" x14ac:dyDescent="0.25"/>
    <row r="2839" ht="22.15" customHeight="1" x14ac:dyDescent="0.25"/>
    <row r="2840" ht="22.15" customHeight="1" x14ac:dyDescent="0.25"/>
    <row r="2841" ht="22.15" customHeight="1" x14ac:dyDescent="0.25"/>
    <row r="2842" ht="22.15" customHeight="1" x14ac:dyDescent="0.25"/>
    <row r="2843" ht="22.15" customHeight="1" x14ac:dyDescent="0.25"/>
    <row r="2844" ht="22.15" customHeight="1" x14ac:dyDescent="0.25"/>
    <row r="2845" ht="22.15" customHeight="1" x14ac:dyDescent="0.25"/>
    <row r="2846" ht="22.15" customHeight="1" x14ac:dyDescent="0.25"/>
    <row r="2847" ht="22.15" customHeight="1" x14ac:dyDescent="0.25"/>
    <row r="2848" ht="22.15" customHeight="1" x14ac:dyDescent="0.25"/>
    <row r="2849" ht="22.15" customHeight="1" x14ac:dyDescent="0.25"/>
    <row r="2850" ht="22.15" customHeight="1" x14ac:dyDescent="0.25"/>
    <row r="2851" ht="22.15" customHeight="1" x14ac:dyDescent="0.25"/>
    <row r="2852" ht="22.15" customHeight="1" x14ac:dyDescent="0.25"/>
    <row r="2853" ht="22.15" customHeight="1" x14ac:dyDescent="0.25"/>
    <row r="2854" ht="22.15" customHeight="1" x14ac:dyDescent="0.25"/>
    <row r="2855" ht="22.15" customHeight="1" x14ac:dyDescent="0.25"/>
    <row r="2856" ht="22.15" customHeight="1" x14ac:dyDescent="0.25"/>
    <row r="2857" ht="22.15" customHeight="1" x14ac:dyDescent="0.25"/>
    <row r="2858" ht="22.15" customHeight="1" x14ac:dyDescent="0.25"/>
    <row r="2859" ht="22.15" customHeight="1" x14ac:dyDescent="0.25"/>
    <row r="2860" ht="22.15" customHeight="1" x14ac:dyDescent="0.25"/>
    <row r="2861" ht="22.15" customHeight="1" x14ac:dyDescent="0.25"/>
    <row r="2862" ht="22.15" customHeight="1" x14ac:dyDescent="0.25"/>
    <row r="2863" ht="22.15" customHeight="1" x14ac:dyDescent="0.25"/>
    <row r="2864" ht="22.15" customHeight="1" x14ac:dyDescent="0.25"/>
    <row r="2865" ht="22.15" customHeight="1" x14ac:dyDescent="0.25"/>
    <row r="2866" ht="22.15" customHeight="1" x14ac:dyDescent="0.25"/>
    <row r="2867" ht="22.15" customHeight="1" x14ac:dyDescent="0.25"/>
    <row r="2868" ht="22.15" customHeight="1" x14ac:dyDescent="0.25"/>
    <row r="2869" ht="22.15" customHeight="1" x14ac:dyDescent="0.25"/>
    <row r="2870" ht="22.15" customHeight="1" x14ac:dyDescent="0.25"/>
    <row r="2871" ht="22.15" customHeight="1" x14ac:dyDescent="0.25"/>
    <row r="2872" ht="22.15" customHeight="1" x14ac:dyDescent="0.25"/>
    <row r="2873" ht="22.15" customHeight="1" x14ac:dyDescent="0.25"/>
    <row r="2874" ht="22.15" customHeight="1" x14ac:dyDescent="0.25"/>
    <row r="2875" ht="22.15" customHeight="1" x14ac:dyDescent="0.25"/>
    <row r="2876" ht="22.15" customHeight="1" x14ac:dyDescent="0.25"/>
    <row r="2877" ht="22.15" customHeight="1" x14ac:dyDescent="0.25"/>
    <row r="2878" ht="22.15" customHeight="1" x14ac:dyDescent="0.25"/>
    <row r="2879" ht="22.15" customHeight="1" x14ac:dyDescent="0.25"/>
    <row r="2880" ht="22.15" customHeight="1" x14ac:dyDescent="0.25"/>
    <row r="2881" ht="22.15" customHeight="1" x14ac:dyDescent="0.25"/>
    <row r="2882" ht="22.15" customHeight="1" x14ac:dyDescent="0.25"/>
    <row r="2883" ht="22.15" customHeight="1" x14ac:dyDescent="0.25"/>
    <row r="2884" ht="22.15" customHeight="1" x14ac:dyDescent="0.25"/>
    <row r="2885" ht="22.15" customHeight="1" x14ac:dyDescent="0.25"/>
    <row r="2886" ht="22.15" customHeight="1" x14ac:dyDescent="0.25"/>
    <row r="2887" ht="22.15" customHeight="1" x14ac:dyDescent="0.25"/>
    <row r="2888" ht="22.15" customHeight="1" x14ac:dyDescent="0.25"/>
    <row r="2889" ht="22.15" customHeight="1" x14ac:dyDescent="0.25"/>
    <row r="2890" ht="22.15" customHeight="1" x14ac:dyDescent="0.25"/>
    <row r="2891" ht="22.15" customHeight="1" x14ac:dyDescent="0.25"/>
    <row r="2892" ht="22.15" customHeight="1" x14ac:dyDescent="0.25"/>
    <row r="2893" ht="22.15" customHeight="1" x14ac:dyDescent="0.25"/>
    <row r="2894" ht="22.15" customHeight="1" x14ac:dyDescent="0.25"/>
    <row r="2895" ht="22.15" customHeight="1" x14ac:dyDescent="0.25"/>
    <row r="2896" ht="22.15" customHeight="1" x14ac:dyDescent="0.25"/>
    <row r="2897" ht="22.15" customHeight="1" x14ac:dyDescent="0.25"/>
    <row r="2898" ht="22.15" customHeight="1" x14ac:dyDescent="0.25"/>
    <row r="2899" ht="22.15" customHeight="1" x14ac:dyDescent="0.25"/>
    <row r="2900" ht="22.15" customHeight="1" x14ac:dyDescent="0.25"/>
    <row r="2901" ht="22.15" customHeight="1" x14ac:dyDescent="0.25"/>
    <row r="2902" ht="22.15" customHeight="1" x14ac:dyDescent="0.25"/>
    <row r="2903" ht="22.15" customHeight="1" x14ac:dyDescent="0.25"/>
    <row r="2904" ht="22.15" customHeight="1" x14ac:dyDescent="0.25"/>
    <row r="2905" ht="22.15" customHeight="1" x14ac:dyDescent="0.25"/>
    <row r="2906" ht="22.15" customHeight="1" x14ac:dyDescent="0.25"/>
    <row r="2907" ht="22.15" customHeight="1" x14ac:dyDescent="0.25"/>
    <row r="2908" ht="22.15" customHeight="1" x14ac:dyDescent="0.25"/>
    <row r="2909" ht="22.15" customHeight="1" x14ac:dyDescent="0.25"/>
    <row r="2910" ht="22.15" customHeight="1" x14ac:dyDescent="0.25"/>
    <row r="2911" ht="22.15" customHeight="1" x14ac:dyDescent="0.25"/>
    <row r="2912" ht="22.15" customHeight="1" x14ac:dyDescent="0.25"/>
    <row r="2913" ht="22.15" customHeight="1" x14ac:dyDescent="0.25"/>
    <row r="2914" ht="22.15" customHeight="1" x14ac:dyDescent="0.25"/>
    <row r="2915" ht="22.15" customHeight="1" x14ac:dyDescent="0.25"/>
    <row r="2916" ht="22.15" customHeight="1" x14ac:dyDescent="0.25"/>
    <row r="2917" ht="22.15" customHeight="1" x14ac:dyDescent="0.25"/>
    <row r="2918" ht="22.15" customHeight="1" x14ac:dyDescent="0.25"/>
    <row r="2919" ht="22.15" customHeight="1" x14ac:dyDescent="0.25"/>
    <row r="2920" ht="22.15" customHeight="1" x14ac:dyDescent="0.25"/>
    <row r="2921" ht="22.15" customHeight="1" x14ac:dyDescent="0.25"/>
    <row r="2922" ht="22.15" customHeight="1" x14ac:dyDescent="0.25"/>
    <row r="2923" ht="22.15" customHeight="1" x14ac:dyDescent="0.25"/>
    <row r="2924" ht="22.15" customHeight="1" x14ac:dyDescent="0.25"/>
    <row r="2925" ht="22.15" customHeight="1" x14ac:dyDescent="0.25"/>
    <row r="2926" ht="22.15" customHeight="1" x14ac:dyDescent="0.25"/>
    <row r="2927" ht="22.15" customHeight="1" x14ac:dyDescent="0.25"/>
    <row r="2928" ht="22.15" customHeight="1" x14ac:dyDescent="0.25"/>
    <row r="2929" ht="22.15" customHeight="1" x14ac:dyDescent="0.25"/>
    <row r="2930" ht="22.15" customHeight="1" x14ac:dyDescent="0.25"/>
    <row r="2931" ht="22.15" customHeight="1" x14ac:dyDescent="0.25"/>
    <row r="2932" ht="22.15" customHeight="1" x14ac:dyDescent="0.25"/>
    <row r="2933" ht="22.15" customHeight="1" x14ac:dyDescent="0.25"/>
    <row r="2934" ht="22.15" customHeight="1" x14ac:dyDescent="0.25"/>
    <row r="2935" ht="22.15" customHeight="1" x14ac:dyDescent="0.25"/>
    <row r="2936" ht="22.15" customHeight="1" x14ac:dyDescent="0.25"/>
    <row r="2937" ht="22.15" customHeight="1" x14ac:dyDescent="0.25"/>
    <row r="2938" ht="22.15" customHeight="1" x14ac:dyDescent="0.25"/>
    <row r="2939" ht="22.15" customHeight="1" x14ac:dyDescent="0.25"/>
    <row r="2940" ht="22.15" customHeight="1" x14ac:dyDescent="0.25"/>
    <row r="2941" ht="22.15" customHeight="1" x14ac:dyDescent="0.25"/>
    <row r="2942" ht="22.15" customHeight="1" x14ac:dyDescent="0.25"/>
    <row r="2943" ht="22.15" customHeight="1" x14ac:dyDescent="0.25"/>
    <row r="2944" ht="22.15" customHeight="1" x14ac:dyDescent="0.25"/>
    <row r="2945" ht="22.15" customHeight="1" x14ac:dyDescent="0.25"/>
    <row r="2946" ht="22.15" customHeight="1" x14ac:dyDescent="0.25"/>
    <row r="2947" ht="22.15" customHeight="1" x14ac:dyDescent="0.25"/>
    <row r="2948" ht="22.15" customHeight="1" x14ac:dyDescent="0.25"/>
    <row r="2949" ht="22.15" customHeight="1" x14ac:dyDescent="0.25"/>
    <row r="2950" ht="22.15" customHeight="1" x14ac:dyDescent="0.25"/>
    <row r="2951" ht="22.15" customHeight="1" x14ac:dyDescent="0.25"/>
    <row r="2952" ht="22.15" customHeight="1" x14ac:dyDescent="0.25"/>
    <row r="2953" ht="22.15" customHeight="1" x14ac:dyDescent="0.25"/>
    <row r="2954" ht="22.15" customHeight="1" x14ac:dyDescent="0.25"/>
    <row r="2955" ht="22.15" customHeight="1" x14ac:dyDescent="0.25"/>
    <row r="2956" ht="22.15" customHeight="1" x14ac:dyDescent="0.25"/>
    <row r="2957" ht="22.15" customHeight="1" x14ac:dyDescent="0.25"/>
    <row r="2958" ht="22.15" customHeight="1" x14ac:dyDescent="0.25"/>
    <row r="2959" ht="22.15" customHeight="1" x14ac:dyDescent="0.25"/>
    <row r="2960" ht="22.15" customHeight="1" x14ac:dyDescent="0.25"/>
    <row r="2961" ht="22.15" customHeight="1" x14ac:dyDescent="0.25"/>
    <row r="2962" ht="22.15" customHeight="1" x14ac:dyDescent="0.25"/>
    <row r="2963" ht="22.15" customHeight="1" x14ac:dyDescent="0.25"/>
    <row r="2964" ht="22.15" customHeight="1" x14ac:dyDescent="0.25"/>
    <row r="2965" ht="22.15" customHeight="1" x14ac:dyDescent="0.25"/>
    <row r="2966" ht="22.15" customHeight="1" x14ac:dyDescent="0.25"/>
    <row r="2967" ht="22.15" customHeight="1" x14ac:dyDescent="0.25"/>
    <row r="2968" ht="22.15" customHeight="1" x14ac:dyDescent="0.25"/>
    <row r="2969" ht="22.15" customHeight="1" x14ac:dyDescent="0.25"/>
    <row r="2970" ht="22.15" customHeight="1" x14ac:dyDescent="0.25"/>
    <row r="2971" ht="22.15" customHeight="1" x14ac:dyDescent="0.25"/>
    <row r="2972" ht="22.15" customHeight="1" x14ac:dyDescent="0.25"/>
    <row r="2973" ht="22.15" customHeight="1" x14ac:dyDescent="0.25"/>
    <row r="2974" ht="22.15" customHeight="1" x14ac:dyDescent="0.25"/>
    <row r="2975" ht="22.15" customHeight="1" x14ac:dyDescent="0.25"/>
    <row r="2976" ht="22.15" customHeight="1" x14ac:dyDescent="0.25"/>
    <row r="2977" ht="22.15" customHeight="1" x14ac:dyDescent="0.25"/>
    <row r="2978" ht="22.15" customHeight="1" x14ac:dyDescent="0.25"/>
    <row r="2979" ht="22.15" customHeight="1" x14ac:dyDescent="0.25"/>
    <row r="2980" ht="22.15" customHeight="1" x14ac:dyDescent="0.25"/>
    <row r="2981" ht="22.15" customHeight="1" x14ac:dyDescent="0.25"/>
    <row r="2982" ht="22.15" customHeight="1" x14ac:dyDescent="0.25"/>
    <row r="2983" ht="22.15" customHeight="1" x14ac:dyDescent="0.25"/>
    <row r="2984" ht="22.15" customHeight="1" x14ac:dyDescent="0.25"/>
    <row r="2985" ht="22.15" customHeight="1" x14ac:dyDescent="0.25"/>
    <row r="2986" ht="22.15" customHeight="1" x14ac:dyDescent="0.25"/>
    <row r="2987" ht="22.15" customHeight="1" x14ac:dyDescent="0.25"/>
    <row r="2988" ht="22.15" customHeight="1" x14ac:dyDescent="0.25"/>
    <row r="2989" ht="22.15" customHeight="1" x14ac:dyDescent="0.25"/>
    <row r="2990" ht="22.15" customHeight="1" x14ac:dyDescent="0.25"/>
    <row r="2991" ht="22.15" customHeight="1" x14ac:dyDescent="0.25"/>
    <row r="2992" ht="22.15" customHeight="1" x14ac:dyDescent="0.25"/>
    <row r="2993" ht="22.15" customHeight="1" x14ac:dyDescent="0.25"/>
    <row r="2994" ht="22.15" customHeight="1" x14ac:dyDescent="0.25"/>
    <row r="2995" ht="22.15" customHeight="1" x14ac:dyDescent="0.25"/>
    <row r="2996" ht="22.15" customHeight="1" x14ac:dyDescent="0.25"/>
    <row r="2997" ht="22.15" customHeight="1" x14ac:dyDescent="0.25"/>
    <row r="2998" ht="22.15" customHeight="1" x14ac:dyDescent="0.25"/>
    <row r="2999" ht="22.15" customHeight="1" x14ac:dyDescent="0.25"/>
    <row r="3000" ht="22.15" customHeight="1" x14ac:dyDescent="0.25"/>
    <row r="3001" ht="22.15" customHeight="1" x14ac:dyDescent="0.25"/>
    <row r="3002" ht="22.15" customHeight="1" x14ac:dyDescent="0.25"/>
    <row r="3003" ht="22.15" customHeight="1" x14ac:dyDescent="0.25"/>
    <row r="3004" ht="22.15" customHeight="1" x14ac:dyDescent="0.25"/>
    <row r="3005" ht="22.15" customHeight="1" x14ac:dyDescent="0.25"/>
    <row r="3006" ht="22.15" customHeight="1" x14ac:dyDescent="0.25"/>
    <row r="3007" ht="22.15" customHeight="1" x14ac:dyDescent="0.25"/>
    <row r="3008" ht="22.15" customHeight="1" x14ac:dyDescent="0.25"/>
    <row r="3009" ht="22.15" customHeight="1" x14ac:dyDescent="0.25"/>
    <row r="3010" ht="22.15" customHeight="1" x14ac:dyDescent="0.25"/>
    <row r="3011" ht="22.15" customHeight="1" x14ac:dyDescent="0.25"/>
    <row r="3012" ht="22.15" customHeight="1" x14ac:dyDescent="0.25"/>
    <row r="3013" ht="22.15" customHeight="1" x14ac:dyDescent="0.25"/>
    <row r="3014" ht="22.15" customHeight="1" x14ac:dyDescent="0.25"/>
    <row r="3015" ht="22.15" customHeight="1" x14ac:dyDescent="0.25"/>
    <row r="3016" ht="22.15" customHeight="1" x14ac:dyDescent="0.25"/>
    <row r="3017" ht="22.15" customHeight="1" x14ac:dyDescent="0.25"/>
    <row r="3018" ht="22.15" customHeight="1" x14ac:dyDescent="0.25"/>
    <row r="3019" ht="22.15" customHeight="1" x14ac:dyDescent="0.25"/>
    <row r="3020" ht="22.15" customHeight="1" x14ac:dyDescent="0.25"/>
    <row r="3021" ht="22.15" customHeight="1" x14ac:dyDescent="0.25"/>
    <row r="3022" ht="22.15" customHeight="1" x14ac:dyDescent="0.25"/>
    <row r="3023" ht="22.15" customHeight="1" x14ac:dyDescent="0.25"/>
    <row r="3024" ht="22.15" customHeight="1" x14ac:dyDescent="0.25"/>
    <row r="3025" ht="22.15" customHeight="1" x14ac:dyDescent="0.25"/>
    <row r="3026" ht="22.15" customHeight="1" x14ac:dyDescent="0.25"/>
    <row r="3027" ht="22.15" customHeight="1" x14ac:dyDescent="0.25"/>
    <row r="3028" ht="22.15" customHeight="1" x14ac:dyDescent="0.25"/>
    <row r="3029" ht="22.15" customHeight="1" x14ac:dyDescent="0.25"/>
    <row r="3030" ht="22.15" customHeight="1" x14ac:dyDescent="0.25"/>
    <row r="3031" ht="22.15" customHeight="1" x14ac:dyDescent="0.25"/>
    <row r="3032" ht="22.15" customHeight="1" x14ac:dyDescent="0.25"/>
    <row r="3033" ht="22.15" customHeight="1" x14ac:dyDescent="0.25"/>
    <row r="3034" ht="22.15" customHeight="1" x14ac:dyDescent="0.25"/>
    <row r="3035" ht="22.15" customHeight="1" x14ac:dyDescent="0.25"/>
    <row r="3036" ht="22.15" customHeight="1" x14ac:dyDescent="0.25"/>
    <row r="3037" ht="22.15" customHeight="1" x14ac:dyDescent="0.25"/>
    <row r="3038" ht="22.15" customHeight="1" x14ac:dyDescent="0.25"/>
    <row r="3039" ht="22.15" customHeight="1" x14ac:dyDescent="0.25"/>
    <row r="3040" ht="22.15" customHeight="1" x14ac:dyDescent="0.25"/>
    <row r="3041" ht="22.15" customHeight="1" x14ac:dyDescent="0.25"/>
    <row r="3042" ht="22.15" customHeight="1" x14ac:dyDescent="0.25"/>
    <row r="3043" ht="22.15" customHeight="1" x14ac:dyDescent="0.25"/>
    <row r="3044" ht="22.15" customHeight="1" x14ac:dyDescent="0.25"/>
    <row r="3045" ht="22.15" customHeight="1" x14ac:dyDescent="0.25"/>
    <row r="3046" ht="22.15" customHeight="1" x14ac:dyDescent="0.25"/>
    <row r="3047" ht="22.15" customHeight="1" x14ac:dyDescent="0.25"/>
    <row r="3048" ht="22.15" customHeight="1" x14ac:dyDescent="0.25"/>
    <row r="3049" ht="22.15" customHeight="1" x14ac:dyDescent="0.25"/>
    <row r="3050" ht="22.15" customHeight="1" x14ac:dyDescent="0.25"/>
    <row r="3051" ht="22.15" customHeight="1" x14ac:dyDescent="0.25"/>
    <row r="3052" ht="22.15" customHeight="1" x14ac:dyDescent="0.25"/>
    <row r="3053" ht="22.15" customHeight="1" x14ac:dyDescent="0.25"/>
    <row r="3054" ht="22.15" customHeight="1" x14ac:dyDescent="0.25"/>
    <row r="3055" ht="22.15" customHeight="1" x14ac:dyDescent="0.25"/>
    <row r="3056" ht="22.15" customHeight="1" x14ac:dyDescent="0.25"/>
    <row r="3057" ht="22.15" customHeight="1" x14ac:dyDescent="0.25"/>
    <row r="3058" ht="22.15" customHeight="1" x14ac:dyDescent="0.25"/>
    <row r="3059" ht="22.15" customHeight="1" x14ac:dyDescent="0.25"/>
    <row r="3060" ht="22.15" customHeight="1" x14ac:dyDescent="0.25"/>
    <row r="3061" ht="22.15" customHeight="1" x14ac:dyDescent="0.25"/>
    <row r="3062" ht="22.15" customHeight="1" x14ac:dyDescent="0.25"/>
    <row r="3063" ht="22.15" customHeight="1" x14ac:dyDescent="0.25"/>
    <row r="3064" ht="22.15" customHeight="1" x14ac:dyDescent="0.25"/>
    <row r="3065" ht="22.15" customHeight="1" x14ac:dyDescent="0.25"/>
    <row r="3066" ht="22.15" customHeight="1" x14ac:dyDescent="0.25"/>
    <row r="3067" ht="22.15" customHeight="1" x14ac:dyDescent="0.25"/>
    <row r="3068" ht="22.15" customHeight="1" x14ac:dyDescent="0.25"/>
    <row r="3069" ht="22.15" customHeight="1" x14ac:dyDescent="0.25"/>
    <row r="3070" ht="22.15" customHeight="1" x14ac:dyDescent="0.25"/>
    <row r="3071" ht="22.15" customHeight="1" x14ac:dyDescent="0.25"/>
    <row r="3072" ht="22.15" customHeight="1" x14ac:dyDescent="0.25"/>
    <row r="3073" ht="22.15" customHeight="1" x14ac:dyDescent="0.25"/>
    <row r="3074" ht="22.15" customHeight="1" x14ac:dyDescent="0.25"/>
    <row r="3075" ht="22.15" customHeight="1" x14ac:dyDescent="0.25"/>
    <row r="3076" ht="22.15" customHeight="1" x14ac:dyDescent="0.25"/>
    <row r="3077" ht="22.15" customHeight="1" x14ac:dyDescent="0.25"/>
    <row r="3078" ht="22.15" customHeight="1" x14ac:dyDescent="0.25"/>
    <row r="3079" ht="22.15" customHeight="1" x14ac:dyDescent="0.25"/>
    <row r="3080" ht="22.15" customHeight="1" x14ac:dyDescent="0.25"/>
    <row r="3081" ht="22.15" customHeight="1" x14ac:dyDescent="0.25"/>
    <row r="3082" ht="22.15" customHeight="1" x14ac:dyDescent="0.25"/>
    <row r="3083" ht="22.15" customHeight="1" x14ac:dyDescent="0.25"/>
    <row r="3084" ht="22.15" customHeight="1" x14ac:dyDescent="0.25"/>
    <row r="3085" ht="22.15" customHeight="1" x14ac:dyDescent="0.25"/>
    <row r="3086" ht="22.15" customHeight="1" x14ac:dyDescent="0.25"/>
    <row r="3087" ht="22.15" customHeight="1" x14ac:dyDescent="0.25"/>
    <row r="3088" ht="22.15" customHeight="1" x14ac:dyDescent="0.25"/>
    <row r="3089" ht="22.15" customHeight="1" x14ac:dyDescent="0.25"/>
    <row r="3090" ht="22.15" customHeight="1" x14ac:dyDescent="0.25"/>
    <row r="3091" ht="22.15" customHeight="1" x14ac:dyDescent="0.25"/>
    <row r="3092" ht="22.15" customHeight="1" x14ac:dyDescent="0.25"/>
    <row r="3093" ht="22.15" customHeight="1" x14ac:dyDescent="0.25"/>
    <row r="3094" ht="22.15" customHeight="1" x14ac:dyDescent="0.25"/>
    <row r="3095" ht="22.15" customHeight="1" x14ac:dyDescent="0.25"/>
    <row r="3096" ht="22.15" customHeight="1" x14ac:dyDescent="0.25"/>
    <row r="3097" ht="22.15" customHeight="1" x14ac:dyDescent="0.25"/>
    <row r="3098" ht="22.15" customHeight="1" x14ac:dyDescent="0.25"/>
    <row r="3099" ht="22.15" customHeight="1" x14ac:dyDescent="0.25"/>
    <row r="3100" ht="22.15" customHeight="1" x14ac:dyDescent="0.25"/>
    <row r="3101" ht="22.15" customHeight="1" x14ac:dyDescent="0.25"/>
    <row r="3102" ht="22.15" customHeight="1" x14ac:dyDescent="0.25"/>
    <row r="3103" ht="22.15" customHeight="1" x14ac:dyDescent="0.25"/>
    <row r="3104" ht="22.15" customHeight="1" x14ac:dyDescent="0.25"/>
    <row r="3105" ht="22.15" customHeight="1" x14ac:dyDescent="0.25"/>
    <row r="3106" ht="22.15" customHeight="1" x14ac:dyDescent="0.25"/>
    <row r="3107" ht="22.15" customHeight="1" x14ac:dyDescent="0.25"/>
    <row r="3108" ht="22.15" customHeight="1" x14ac:dyDescent="0.25"/>
    <row r="3109" ht="22.15" customHeight="1" x14ac:dyDescent="0.25"/>
    <row r="3110" ht="22.15" customHeight="1" x14ac:dyDescent="0.25"/>
    <row r="3111" ht="22.15" customHeight="1" x14ac:dyDescent="0.25"/>
    <row r="3112" ht="22.15" customHeight="1" x14ac:dyDescent="0.25"/>
    <row r="3113" ht="22.15" customHeight="1" x14ac:dyDescent="0.25"/>
    <row r="3114" ht="22.15" customHeight="1" x14ac:dyDescent="0.25"/>
    <row r="3115" ht="22.15" customHeight="1" x14ac:dyDescent="0.25"/>
    <row r="3116" ht="22.15" customHeight="1" x14ac:dyDescent="0.25"/>
    <row r="3117" ht="22.15" customHeight="1" x14ac:dyDescent="0.25"/>
    <row r="3118" ht="22.15" customHeight="1" x14ac:dyDescent="0.25"/>
    <row r="3119" ht="22.15" customHeight="1" x14ac:dyDescent="0.25"/>
    <row r="3120" ht="22.15" customHeight="1" x14ac:dyDescent="0.25"/>
    <row r="3121" ht="22.15" customHeight="1" x14ac:dyDescent="0.25"/>
    <row r="3122" ht="22.15" customHeight="1" x14ac:dyDescent="0.25"/>
    <row r="3123" ht="22.15" customHeight="1" x14ac:dyDescent="0.25"/>
    <row r="3124" ht="22.15" customHeight="1" x14ac:dyDescent="0.25"/>
    <row r="3125" ht="22.15" customHeight="1" x14ac:dyDescent="0.25"/>
    <row r="3126" ht="22.15" customHeight="1" x14ac:dyDescent="0.25"/>
    <row r="3127" ht="22.15" customHeight="1" x14ac:dyDescent="0.25"/>
    <row r="3128" ht="22.15" customHeight="1" x14ac:dyDescent="0.25"/>
    <row r="3129" ht="22.15" customHeight="1" x14ac:dyDescent="0.25"/>
    <row r="3130" ht="22.15" customHeight="1" x14ac:dyDescent="0.25"/>
    <row r="3131" ht="22.15" customHeight="1" x14ac:dyDescent="0.25"/>
    <row r="3132" ht="22.15" customHeight="1" x14ac:dyDescent="0.25"/>
    <row r="3133" ht="22.15" customHeight="1" x14ac:dyDescent="0.25"/>
    <row r="3134" ht="22.15" customHeight="1" x14ac:dyDescent="0.25"/>
    <row r="3135" ht="22.15" customHeight="1" x14ac:dyDescent="0.25"/>
    <row r="3136" ht="22.15" customHeight="1" x14ac:dyDescent="0.25"/>
    <row r="3137" ht="22.15" customHeight="1" x14ac:dyDescent="0.25"/>
    <row r="3138" ht="22.15" customHeight="1" x14ac:dyDescent="0.25"/>
    <row r="3139" ht="22.15" customHeight="1" x14ac:dyDescent="0.25"/>
    <row r="3140" ht="22.15" customHeight="1" x14ac:dyDescent="0.25"/>
    <row r="3141" ht="22.15" customHeight="1" x14ac:dyDescent="0.25"/>
    <row r="3142" ht="22.15" customHeight="1" x14ac:dyDescent="0.25"/>
    <row r="3143" ht="22.15" customHeight="1" x14ac:dyDescent="0.25"/>
    <row r="3144" ht="22.15" customHeight="1" x14ac:dyDescent="0.25"/>
    <row r="3145" ht="22.15" customHeight="1" x14ac:dyDescent="0.25"/>
    <row r="3146" ht="22.15" customHeight="1" x14ac:dyDescent="0.25"/>
    <row r="3147" ht="22.15" customHeight="1" x14ac:dyDescent="0.25"/>
    <row r="3148" ht="22.15" customHeight="1" x14ac:dyDescent="0.25"/>
    <row r="3149" ht="22.15" customHeight="1" x14ac:dyDescent="0.25"/>
    <row r="3150" ht="22.15" customHeight="1" x14ac:dyDescent="0.25"/>
    <row r="3151" ht="22.15" customHeight="1" x14ac:dyDescent="0.25"/>
    <row r="3152" ht="22.15" customHeight="1" x14ac:dyDescent="0.25"/>
    <row r="3153" ht="22.15" customHeight="1" x14ac:dyDescent="0.25"/>
    <row r="3154" ht="22.15" customHeight="1" x14ac:dyDescent="0.25"/>
    <row r="3155" ht="22.15" customHeight="1" x14ac:dyDescent="0.25"/>
    <row r="3156" ht="22.15" customHeight="1" x14ac:dyDescent="0.25"/>
    <row r="3157" ht="22.15" customHeight="1" x14ac:dyDescent="0.25"/>
    <row r="3158" ht="22.15" customHeight="1" x14ac:dyDescent="0.25"/>
    <row r="3159" ht="22.15" customHeight="1" x14ac:dyDescent="0.25"/>
    <row r="3160" ht="22.15" customHeight="1" x14ac:dyDescent="0.25"/>
    <row r="3161" ht="22.15" customHeight="1" x14ac:dyDescent="0.25"/>
    <row r="3162" ht="22.15" customHeight="1" x14ac:dyDescent="0.25"/>
    <row r="3163" ht="22.15" customHeight="1" x14ac:dyDescent="0.25"/>
    <row r="3164" ht="22.15" customHeight="1" x14ac:dyDescent="0.25"/>
    <row r="3165" ht="22.15" customHeight="1" x14ac:dyDescent="0.25"/>
    <row r="3166" ht="22.15" customHeight="1" x14ac:dyDescent="0.25"/>
    <row r="3167" ht="22.15" customHeight="1" x14ac:dyDescent="0.25"/>
    <row r="3168" ht="22.15" customHeight="1" x14ac:dyDescent="0.25"/>
    <row r="3169" ht="22.15" customHeight="1" x14ac:dyDescent="0.25"/>
    <row r="3170" ht="22.15" customHeight="1" x14ac:dyDescent="0.25"/>
    <row r="3171" ht="22.15" customHeight="1" x14ac:dyDescent="0.25"/>
    <row r="3172" ht="22.15" customHeight="1" x14ac:dyDescent="0.25"/>
    <row r="3173" ht="22.15" customHeight="1" x14ac:dyDescent="0.25"/>
    <row r="3174" ht="22.15" customHeight="1" x14ac:dyDescent="0.25"/>
    <row r="3175" ht="22.15" customHeight="1" x14ac:dyDescent="0.25"/>
    <row r="3176" ht="22.15" customHeight="1" x14ac:dyDescent="0.25"/>
    <row r="3177" ht="22.15" customHeight="1" x14ac:dyDescent="0.25"/>
    <row r="3178" ht="22.15" customHeight="1" x14ac:dyDescent="0.25"/>
    <row r="3179" ht="22.15" customHeight="1" x14ac:dyDescent="0.25"/>
    <row r="3180" ht="22.15" customHeight="1" x14ac:dyDescent="0.25"/>
    <row r="3181" ht="22.15" customHeight="1" x14ac:dyDescent="0.25"/>
    <row r="3182" ht="22.15" customHeight="1" x14ac:dyDescent="0.25"/>
    <row r="3183" ht="22.15" customHeight="1" x14ac:dyDescent="0.25"/>
    <row r="3184" ht="22.15" customHeight="1" x14ac:dyDescent="0.25"/>
    <row r="3185" ht="22.15" customHeight="1" x14ac:dyDescent="0.25"/>
    <row r="3186" ht="22.15" customHeight="1" x14ac:dyDescent="0.25"/>
    <row r="3187" ht="22.15" customHeight="1" x14ac:dyDescent="0.25"/>
    <row r="3188" ht="22.15" customHeight="1" x14ac:dyDescent="0.25"/>
    <row r="3189" ht="22.15" customHeight="1" x14ac:dyDescent="0.25"/>
    <row r="3190" ht="22.15" customHeight="1" x14ac:dyDescent="0.25"/>
    <row r="3191" ht="22.15" customHeight="1" x14ac:dyDescent="0.25"/>
    <row r="3192" ht="22.15" customHeight="1" x14ac:dyDescent="0.25"/>
    <row r="3193" ht="22.15" customHeight="1" x14ac:dyDescent="0.25"/>
    <row r="3194" ht="22.15" customHeight="1" x14ac:dyDescent="0.25"/>
    <row r="3195" ht="22.15" customHeight="1" x14ac:dyDescent="0.25"/>
    <row r="3196" ht="22.15" customHeight="1" x14ac:dyDescent="0.25"/>
    <row r="3197" ht="22.15" customHeight="1" x14ac:dyDescent="0.25"/>
    <row r="3198" ht="22.15" customHeight="1" x14ac:dyDescent="0.25"/>
    <row r="3199" ht="22.15" customHeight="1" x14ac:dyDescent="0.25"/>
    <row r="3200" ht="22.15" customHeight="1" x14ac:dyDescent="0.25"/>
    <row r="3201" ht="22.15" customHeight="1" x14ac:dyDescent="0.25"/>
    <row r="3202" ht="22.15" customHeight="1" x14ac:dyDescent="0.25"/>
    <row r="3203" ht="22.15" customHeight="1" x14ac:dyDescent="0.25"/>
    <row r="3204" ht="22.15" customHeight="1" x14ac:dyDescent="0.25"/>
    <row r="3205" ht="22.15" customHeight="1" x14ac:dyDescent="0.25"/>
    <row r="3206" ht="22.15" customHeight="1" x14ac:dyDescent="0.25"/>
    <row r="3207" ht="22.15" customHeight="1" x14ac:dyDescent="0.25"/>
    <row r="3208" ht="22.15" customHeight="1" x14ac:dyDescent="0.25"/>
    <row r="3209" ht="22.15" customHeight="1" x14ac:dyDescent="0.25"/>
    <row r="3210" ht="22.15" customHeight="1" x14ac:dyDescent="0.25"/>
    <row r="3211" ht="22.15" customHeight="1" x14ac:dyDescent="0.25"/>
    <row r="3212" ht="22.15" customHeight="1" x14ac:dyDescent="0.25"/>
    <row r="3213" ht="22.15" customHeight="1" x14ac:dyDescent="0.25"/>
    <row r="3214" ht="22.15" customHeight="1" x14ac:dyDescent="0.25"/>
    <row r="3215" ht="22.15" customHeight="1" x14ac:dyDescent="0.25"/>
    <row r="3216" ht="22.15" customHeight="1" x14ac:dyDescent="0.25"/>
    <row r="3217" ht="22.15" customHeight="1" x14ac:dyDescent="0.25"/>
    <row r="3218" ht="22.15" customHeight="1" x14ac:dyDescent="0.25"/>
    <row r="3219" ht="22.15" customHeight="1" x14ac:dyDescent="0.25"/>
    <row r="3220" ht="22.15" customHeight="1" x14ac:dyDescent="0.25"/>
    <row r="3221" ht="22.15" customHeight="1" x14ac:dyDescent="0.25"/>
    <row r="3222" ht="22.15" customHeight="1" x14ac:dyDescent="0.25"/>
    <row r="3223" ht="22.15" customHeight="1" x14ac:dyDescent="0.25"/>
    <row r="3224" ht="22.15" customHeight="1" x14ac:dyDescent="0.25"/>
    <row r="3225" ht="22.15" customHeight="1" x14ac:dyDescent="0.25"/>
    <row r="3226" ht="22.15" customHeight="1" x14ac:dyDescent="0.25"/>
    <row r="3227" ht="22.15" customHeight="1" x14ac:dyDescent="0.25"/>
    <row r="3228" ht="22.15" customHeight="1" x14ac:dyDescent="0.25"/>
    <row r="3229" ht="22.15" customHeight="1" x14ac:dyDescent="0.25"/>
    <row r="3230" ht="22.15" customHeight="1" x14ac:dyDescent="0.25"/>
    <row r="3231" ht="22.15" customHeight="1" x14ac:dyDescent="0.25"/>
    <row r="3232" ht="22.15" customHeight="1" x14ac:dyDescent="0.25"/>
    <row r="3233" ht="22.15" customHeight="1" x14ac:dyDescent="0.25"/>
    <row r="3234" ht="22.15" customHeight="1" x14ac:dyDescent="0.25"/>
    <row r="3235" ht="22.15" customHeight="1" x14ac:dyDescent="0.25"/>
    <row r="3236" ht="22.15" customHeight="1" x14ac:dyDescent="0.25"/>
    <row r="3237" ht="22.15" customHeight="1" x14ac:dyDescent="0.25"/>
    <row r="3238" ht="22.15" customHeight="1" x14ac:dyDescent="0.25"/>
    <row r="3239" ht="22.15" customHeight="1" x14ac:dyDescent="0.25"/>
    <row r="3240" ht="22.15" customHeight="1" x14ac:dyDescent="0.25"/>
    <row r="3241" ht="22.15" customHeight="1" x14ac:dyDescent="0.25"/>
    <row r="3242" ht="22.15" customHeight="1" x14ac:dyDescent="0.25"/>
    <row r="3243" ht="22.15" customHeight="1" x14ac:dyDescent="0.25"/>
    <row r="3244" ht="22.15" customHeight="1" x14ac:dyDescent="0.25"/>
    <row r="3245" ht="22.15" customHeight="1" x14ac:dyDescent="0.25"/>
    <row r="3246" ht="22.15" customHeight="1" x14ac:dyDescent="0.25"/>
    <row r="3247" ht="22.15" customHeight="1" x14ac:dyDescent="0.25"/>
    <row r="3248" ht="22.15" customHeight="1" x14ac:dyDescent="0.25"/>
    <row r="3249" ht="22.15" customHeight="1" x14ac:dyDescent="0.25"/>
    <row r="3250" ht="22.15" customHeight="1" x14ac:dyDescent="0.25"/>
    <row r="3251" ht="22.15" customHeight="1" x14ac:dyDescent="0.25"/>
    <row r="3252" ht="22.15" customHeight="1" x14ac:dyDescent="0.25"/>
    <row r="3253" ht="22.15" customHeight="1" x14ac:dyDescent="0.25"/>
    <row r="3254" ht="22.15" customHeight="1" x14ac:dyDescent="0.25"/>
    <row r="3255" ht="22.15" customHeight="1" x14ac:dyDescent="0.25"/>
    <row r="3256" ht="22.15" customHeight="1" x14ac:dyDescent="0.25"/>
    <row r="3257" ht="22.15" customHeight="1" x14ac:dyDescent="0.25"/>
    <row r="3258" ht="22.15" customHeight="1" x14ac:dyDescent="0.25"/>
    <row r="3259" ht="22.15" customHeight="1" x14ac:dyDescent="0.25"/>
    <row r="3260" ht="22.15" customHeight="1" x14ac:dyDescent="0.25"/>
    <row r="3261" ht="22.15" customHeight="1" x14ac:dyDescent="0.25"/>
    <row r="3262" ht="22.15" customHeight="1" x14ac:dyDescent="0.25"/>
    <row r="3263" ht="22.15" customHeight="1" x14ac:dyDescent="0.25"/>
    <row r="3264" ht="22.15" customHeight="1" x14ac:dyDescent="0.25"/>
    <row r="3265" ht="22.15" customHeight="1" x14ac:dyDescent="0.25"/>
    <row r="3266" ht="22.15" customHeight="1" x14ac:dyDescent="0.25"/>
    <row r="3267" ht="22.15" customHeight="1" x14ac:dyDescent="0.25"/>
    <row r="3268" ht="22.15" customHeight="1" x14ac:dyDescent="0.25"/>
    <row r="3269" ht="22.15" customHeight="1" x14ac:dyDescent="0.25"/>
    <row r="3270" ht="22.15" customHeight="1" x14ac:dyDescent="0.25"/>
    <row r="3271" ht="22.15" customHeight="1" x14ac:dyDescent="0.25"/>
    <row r="3272" ht="22.15" customHeight="1" x14ac:dyDescent="0.25"/>
    <row r="3273" ht="22.15" customHeight="1" x14ac:dyDescent="0.25"/>
    <row r="3274" ht="22.15" customHeight="1" x14ac:dyDescent="0.25"/>
    <row r="3275" ht="22.15" customHeight="1" x14ac:dyDescent="0.25"/>
    <row r="3276" ht="22.15" customHeight="1" x14ac:dyDescent="0.25"/>
    <row r="3277" ht="22.15" customHeight="1" x14ac:dyDescent="0.25"/>
    <row r="3278" ht="22.15" customHeight="1" x14ac:dyDescent="0.25"/>
    <row r="3279" ht="22.15" customHeight="1" x14ac:dyDescent="0.25"/>
    <row r="3280" ht="22.15" customHeight="1" x14ac:dyDescent="0.25"/>
    <row r="3281" ht="22.15" customHeight="1" x14ac:dyDescent="0.25"/>
    <row r="3282" ht="22.15" customHeight="1" x14ac:dyDescent="0.25"/>
    <row r="3283" ht="22.15" customHeight="1" x14ac:dyDescent="0.25"/>
    <row r="3284" ht="22.15" customHeight="1" x14ac:dyDescent="0.25"/>
    <row r="3285" ht="22.15" customHeight="1" x14ac:dyDescent="0.25"/>
    <row r="3286" ht="22.15" customHeight="1" x14ac:dyDescent="0.25"/>
    <row r="3287" ht="22.15" customHeight="1" x14ac:dyDescent="0.25"/>
    <row r="3288" ht="22.15" customHeight="1" x14ac:dyDescent="0.25"/>
    <row r="3289" ht="22.15" customHeight="1" x14ac:dyDescent="0.25"/>
    <row r="3290" ht="22.15" customHeight="1" x14ac:dyDescent="0.25"/>
    <row r="3291" ht="22.15" customHeight="1" x14ac:dyDescent="0.25"/>
    <row r="3292" ht="22.15" customHeight="1" x14ac:dyDescent="0.25"/>
    <row r="3293" ht="22.15" customHeight="1" x14ac:dyDescent="0.25"/>
    <row r="3294" ht="22.15" customHeight="1" x14ac:dyDescent="0.25"/>
    <row r="3295" ht="22.15" customHeight="1" x14ac:dyDescent="0.25"/>
    <row r="3296" ht="22.15" customHeight="1" x14ac:dyDescent="0.25"/>
    <row r="3297" ht="22.15" customHeight="1" x14ac:dyDescent="0.25"/>
    <row r="3298" ht="22.15" customHeight="1" x14ac:dyDescent="0.25"/>
    <row r="3299" ht="22.15" customHeight="1" x14ac:dyDescent="0.25"/>
    <row r="3300" ht="22.15" customHeight="1" x14ac:dyDescent="0.25"/>
    <row r="3301" ht="22.15" customHeight="1" x14ac:dyDescent="0.25"/>
    <row r="3302" ht="22.15" customHeight="1" x14ac:dyDescent="0.25"/>
    <row r="3303" ht="22.15" customHeight="1" x14ac:dyDescent="0.25"/>
    <row r="3304" ht="22.15" customHeight="1" x14ac:dyDescent="0.25"/>
    <row r="3305" ht="22.15" customHeight="1" x14ac:dyDescent="0.25"/>
    <row r="3306" ht="22.15" customHeight="1" x14ac:dyDescent="0.25"/>
    <row r="3307" ht="22.15" customHeight="1" x14ac:dyDescent="0.25"/>
    <row r="3308" ht="22.15" customHeight="1" x14ac:dyDescent="0.25"/>
    <row r="3309" ht="22.15" customHeight="1" x14ac:dyDescent="0.25"/>
    <row r="3310" ht="22.15" customHeight="1" x14ac:dyDescent="0.25"/>
    <row r="3311" ht="22.15" customHeight="1" x14ac:dyDescent="0.25"/>
    <row r="3312" ht="22.15" customHeight="1" x14ac:dyDescent="0.25"/>
    <row r="3313" ht="22.15" customHeight="1" x14ac:dyDescent="0.25"/>
    <row r="3314" ht="22.15" customHeight="1" x14ac:dyDescent="0.25"/>
    <row r="3315" ht="22.15" customHeight="1" x14ac:dyDescent="0.25"/>
    <row r="3316" ht="22.15" customHeight="1" x14ac:dyDescent="0.25"/>
    <row r="3317" ht="22.15" customHeight="1" x14ac:dyDescent="0.25"/>
    <row r="3318" ht="22.15" customHeight="1" x14ac:dyDescent="0.25"/>
    <row r="3319" ht="22.15" customHeight="1" x14ac:dyDescent="0.25"/>
    <row r="3320" ht="22.15" customHeight="1" x14ac:dyDescent="0.25"/>
    <row r="3321" ht="22.15" customHeight="1" x14ac:dyDescent="0.25"/>
    <row r="3322" ht="22.15" customHeight="1" x14ac:dyDescent="0.25"/>
    <row r="3323" ht="22.15" customHeight="1" x14ac:dyDescent="0.25"/>
    <row r="3324" ht="22.15" customHeight="1" x14ac:dyDescent="0.25"/>
    <row r="3325" ht="22.15" customHeight="1" x14ac:dyDescent="0.25"/>
    <row r="3326" ht="22.15" customHeight="1" x14ac:dyDescent="0.25"/>
    <row r="3327" ht="22.15" customHeight="1" x14ac:dyDescent="0.25"/>
    <row r="3328" ht="22.15" customHeight="1" x14ac:dyDescent="0.25"/>
    <row r="3329" ht="22.15" customHeight="1" x14ac:dyDescent="0.25"/>
    <row r="3330" ht="22.15" customHeight="1" x14ac:dyDescent="0.25"/>
    <row r="3331" ht="22.15" customHeight="1" x14ac:dyDescent="0.25"/>
    <row r="3332" ht="22.15" customHeight="1" x14ac:dyDescent="0.25"/>
    <row r="3333" ht="22.15" customHeight="1" x14ac:dyDescent="0.25"/>
    <row r="3334" ht="22.15" customHeight="1" x14ac:dyDescent="0.25"/>
    <row r="3335" ht="22.15" customHeight="1" x14ac:dyDescent="0.25"/>
    <row r="3336" ht="22.15" customHeight="1" x14ac:dyDescent="0.25"/>
    <row r="3337" ht="22.15" customHeight="1" x14ac:dyDescent="0.25"/>
    <row r="3338" ht="22.15" customHeight="1" x14ac:dyDescent="0.25"/>
    <row r="3339" ht="22.15" customHeight="1" x14ac:dyDescent="0.25"/>
    <row r="3340" ht="22.15" customHeight="1" x14ac:dyDescent="0.25"/>
    <row r="3341" ht="22.15" customHeight="1" x14ac:dyDescent="0.25"/>
    <row r="3342" ht="22.15" customHeight="1" x14ac:dyDescent="0.25"/>
    <row r="3343" ht="22.15" customHeight="1" x14ac:dyDescent="0.25"/>
    <row r="3344" ht="22.15" customHeight="1" x14ac:dyDescent="0.25"/>
    <row r="3345" ht="22.15" customHeight="1" x14ac:dyDescent="0.25"/>
    <row r="3346" ht="22.15" customHeight="1" x14ac:dyDescent="0.25"/>
    <row r="3347" ht="22.15" customHeight="1" x14ac:dyDescent="0.25"/>
    <row r="3348" ht="22.15" customHeight="1" x14ac:dyDescent="0.25"/>
    <row r="3349" ht="22.15" customHeight="1" x14ac:dyDescent="0.25"/>
    <row r="3350" ht="22.15" customHeight="1" x14ac:dyDescent="0.25"/>
    <row r="3351" ht="22.15" customHeight="1" x14ac:dyDescent="0.25"/>
    <row r="3352" ht="22.15" customHeight="1" x14ac:dyDescent="0.25"/>
    <row r="3353" ht="22.15" customHeight="1" x14ac:dyDescent="0.25"/>
    <row r="3354" ht="22.15" customHeight="1" x14ac:dyDescent="0.25"/>
    <row r="3355" ht="22.15" customHeight="1" x14ac:dyDescent="0.25"/>
    <row r="3356" ht="22.15" customHeight="1" x14ac:dyDescent="0.25"/>
    <row r="3357" ht="22.15" customHeight="1" x14ac:dyDescent="0.25"/>
    <row r="3358" ht="22.15" customHeight="1" x14ac:dyDescent="0.25"/>
    <row r="3359" ht="22.15" customHeight="1" x14ac:dyDescent="0.25"/>
    <row r="3360" ht="22.15" customHeight="1" x14ac:dyDescent="0.25"/>
    <row r="3361" ht="22.15" customHeight="1" x14ac:dyDescent="0.25"/>
    <row r="3362" ht="22.15" customHeight="1" x14ac:dyDescent="0.25"/>
    <row r="3363" ht="22.15" customHeight="1" x14ac:dyDescent="0.25"/>
    <row r="3364" ht="22.15" customHeight="1" x14ac:dyDescent="0.25"/>
    <row r="3365" ht="22.15" customHeight="1" x14ac:dyDescent="0.25"/>
    <row r="3366" ht="22.15" customHeight="1" x14ac:dyDescent="0.25"/>
    <row r="3367" ht="22.15" customHeight="1" x14ac:dyDescent="0.25"/>
    <row r="3368" ht="22.15" customHeight="1" x14ac:dyDescent="0.25"/>
    <row r="3369" ht="22.15" customHeight="1" x14ac:dyDescent="0.25"/>
    <row r="3370" ht="22.15" customHeight="1" x14ac:dyDescent="0.25"/>
    <row r="3371" ht="22.15" customHeight="1" x14ac:dyDescent="0.25"/>
    <row r="3372" ht="22.15" customHeight="1" x14ac:dyDescent="0.25"/>
    <row r="3373" ht="22.15" customHeight="1" x14ac:dyDescent="0.25"/>
    <row r="3374" ht="22.15" customHeight="1" x14ac:dyDescent="0.25"/>
    <row r="3375" ht="22.15" customHeight="1" x14ac:dyDescent="0.25"/>
    <row r="3376" ht="22.15" customHeight="1" x14ac:dyDescent="0.25"/>
    <row r="3377" ht="22.15" customHeight="1" x14ac:dyDescent="0.25"/>
    <row r="3378" ht="22.15" customHeight="1" x14ac:dyDescent="0.25"/>
    <row r="3379" ht="22.15" customHeight="1" x14ac:dyDescent="0.25"/>
    <row r="3380" ht="22.15" customHeight="1" x14ac:dyDescent="0.25"/>
    <row r="3381" ht="22.15" customHeight="1" x14ac:dyDescent="0.25"/>
    <row r="3382" ht="22.15" customHeight="1" x14ac:dyDescent="0.25"/>
    <row r="3383" ht="22.15" customHeight="1" x14ac:dyDescent="0.25"/>
    <row r="3384" ht="22.15" customHeight="1" x14ac:dyDescent="0.25"/>
    <row r="3385" ht="22.15" customHeight="1" x14ac:dyDescent="0.25"/>
    <row r="3386" ht="22.15" customHeight="1" x14ac:dyDescent="0.25"/>
    <row r="3387" ht="22.15" customHeight="1" x14ac:dyDescent="0.25"/>
    <row r="3388" ht="22.15" customHeight="1" x14ac:dyDescent="0.25"/>
    <row r="3389" ht="22.15" customHeight="1" x14ac:dyDescent="0.25"/>
    <row r="3390" ht="22.15" customHeight="1" x14ac:dyDescent="0.25"/>
    <row r="3391" ht="22.15" customHeight="1" x14ac:dyDescent="0.25"/>
    <row r="3392" ht="22.15" customHeight="1" x14ac:dyDescent="0.25"/>
    <row r="3393" ht="22.15" customHeight="1" x14ac:dyDescent="0.25"/>
    <row r="3394" ht="22.15" customHeight="1" x14ac:dyDescent="0.25"/>
    <row r="3395" ht="22.15" customHeight="1" x14ac:dyDescent="0.25"/>
    <row r="3396" ht="22.15" customHeight="1" x14ac:dyDescent="0.25"/>
    <row r="3397" ht="22.15" customHeight="1" x14ac:dyDescent="0.25"/>
    <row r="3398" ht="22.15" customHeight="1" x14ac:dyDescent="0.25"/>
    <row r="3399" ht="22.15" customHeight="1" x14ac:dyDescent="0.25"/>
    <row r="3400" ht="22.15" customHeight="1" x14ac:dyDescent="0.25"/>
    <row r="3401" ht="22.15" customHeight="1" x14ac:dyDescent="0.25"/>
    <row r="3402" ht="22.15" customHeight="1" x14ac:dyDescent="0.25"/>
    <row r="3403" ht="22.15" customHeight="1" x14ac:dyDescent="0.25"/>
    <row r="3404" ht="22.15" customHeight="1" x14ac:dyDescent="0.25"/>
    <row r="3405" ht="22.15" customHeight="1" x14ac:dyDescent="0.25"/>
    <row r="3406" ht="22.15" customHeight="1" x14ac:dyDescent="0.25"/>
    <row r="3407" ht="22.15" customHeight="1" x14ac:dyDescent="0.25"/>
    <row r="3408" ht="22.15" customHeight="1" x14ac:dyDescent="0.25"/>
    <row r="3409" ht="22.15" customHeight="1" x14ac:dyDescent="0.25"/>
    <row r="3410" ht="22.15" customHeight="1" x14ac:dyDescent="0.25"/>
    <row r="3411" ht="22.15" customHeight="1" x14ac:dyDescent="0.25"/>
    <row r="3412" ht="22.15" customHeight="1" x14ac:dyDescent="0.25"/>
    <row r="3413" ht="22.15" customHeight="1" x14ac:dyDescent="0.25"/>
    <row r="3414" ht="22.15" customHeight="1" x14ac:dyDescent="0.25"/>
    <row r="3415" ht="22.15" customHeight="1" x14ac:dyDescent="0.25"/>
    <row r="3416" ht="22.15" customHeight="1" x14ac:dyDescent="0.25"/>
    <row r="3417" ht="22.15" customHeight="1" x14ac:dyDescent="0.25"/>
    <row r="3418" ht="22.15" customHeight="1" x14ac:dyDescent="0.25"/>
    <row r="3419" ht="22.15" customHeight="1" x14ac:dyDescent="0.25"/>
    <row r="3420" ht="22.15" customHeight="1" x14ac:dyDescent="0.25"/>
    <row r="3421" ht="22.15" customHeight="1" x14ac:dyDescent="0.25"/>
    <row r="3422" ht="22.15" customHeight="1" x14ac:dyDescent="0.25"/>
    <row r="3423" ht="22.15" customHeight="1" x14ac:dyDescent="0.25"/>
    <row r="3424" ht="22.15" customHeight="1" x14ac:dyDescent="0.25"/>
    <row r="3425" ht="22.15" customHeight="1" x14ac:dyDescent="0.25"/>
    <row r="3426" ht="22.15" customHeight="1" x14ac:dyDescent="0.25"/>
    <row r="3427" ht="22.15" customHeight="1" x14ac:dyDescent="0.25"/>
    <row r="3428" ht="22.15" customHeight="1" x14ac:dyDescent="0.25"/>
    <row r="3429" ht="22.15" customHeight="1" x14ac:dyDescent="0.25"/>
    <row r="3430" ht="22.15" customHeight="1" x14ac:dyDescent="0.25"/>
    <row r="3431" ht="22.15" customHeight="1" x14ac:dyDescent="0.25"/>
    <row r="3432" ht="22.15" customHeight="1" x14ac:dyDescent="0.25"/>
    <row r="3433" ht="22.15" customHeight="1" x14ac:dyDescent="0.25"/>
    <row r="3434" ht="22.15" customHeight="1" x14ac:dyDescent="0.25"/>
    <row r="3435" ht="22.15" customHeight="1" x14ac:dyDescent="0.25"/>
    <row r="3436" ht="22.15" customHeight="1" x14ac:dyDescent="0.25"/>
    <row r="3437" ht="22.15" customHeight="1" x14ac:dyDescent="0.25"/>
    <row r="3438" ht="22.15" customHeight="1" x14ac:dyDescent="0.25"/>
    <row r="3439" ht="22.15" customHeight="1" x14ac:dyDescent="0.25"/>
    <row r="3440" ht="22.15" customHeight="1" x14ac:dyDescent="0.25"/>
    <row r="3441" ht="22.15" customHeight="1" x14ac:dyDescent="0.25"/>
    <row r="3442" ht="22.15" customHeight="1" x14ac:dyDescent="0.25"/>
    <row r="3443" ht="22.15" customHeight="1" x14ac:dyDescent="0.25"/>
    <row r="3444" ht="22.15" customHeight="1" x14ac:dyDescent="0.25"/>
    <row r="3445" ht="22.15" customHeight="1" x14ac:dyDescent="0.25"/>
    <row r="3446" ht="22.15" customHeight="1" x14ac:dyDescent="0.25"/>
    <row r="3447" ht="22.15" customHeight="1" x14ac:dyDescent="0.25"/>
    <row r="3448" ht="22.15" customHeight="1" x14ac:dyDescent="0.25"/>
    <row r="3449" ht="22.15" customHeight="1" x14ac:dyDescent="0.25"/>
    <row r="3450" ht="22.15" customHeight="1" x14ac:dyDescent="0.25"/>
    <row r="3451" ht="22.15" customHeight="1" x14ac:dyDescent="0.25"/>
    <row r="3452" ht="22.15" customHeight="1" x14ac:dyDescent="0.25"/>
    <row r="3453" ht="22.15" customHeight="1" x14ac:dyDescent="0.25"/>
    <row r="3454" ht="22.15" customHeight="1" x14ac:dyDescent="0.25"/>
    <row r="3455" ht="22.15" customHeight="1" x14ac:dyDescent="0.25"/>
    <row r="3456" ht="22.15" customHeight="1" x14ac:dyDescent="0.25"/>
    <row r="3457" ht="22.15" customHeight="1" x14ac:dyDescent="0.25"/>
    <row r="3458" ht="22.15" customHeight="1" x14ac:dyDescent="0.25"/>
    <row r="3459" ht="22.15" customHeight="1" x14ac:dyDescent="0.25"/>
    <row r="3460" ht="22.15" customHeight="1" x14ac:dyDescent="0.25"/>
    <row r="3461" ht="22.15" customHeight="1" x14ac:dyDescent="0.25"/>
    <row r="3462" ht="22.15" customHeight="1" x14ac:dyDescent="0.25"/>
    <row r="3463" ht="22.15" customHeight="1" x14ac:dyDescent="0.25"/>
    <row r="3464" ht="22.15" customHeight="1" x14ac:dyDescent="0.25"/>
    <row r="3465" ht="22.15" customHeight="1" x14ac:dyDescent="0.25"/>
    <row r="3466" ht="22.15" customHeight="1" x14ac:dyDescent="0.25"/>
    <row r="3467" ht="22.15" customHeight="1" x14ac:dyDescent="0.25"/>
    <row r="3468" ht="22.15" customHeight="1" x14ac:dyDescent="0.25"/>
    <row r="3469" ht="22.15" customHeight="1" x14ac:dyDescent="0.25"/>
    <row r="3470" ht="22.15" customHeight="1" x14ac:dyDescent="0.25"/>
    <row r="3471" ht="22.15" customHeight="1" x14ac:dyDescent="0.25"/>
    <row r="3472" ht="22.15" customHeight="1" x14ac:dyDescent="0.25"/>
    <row r="3473" ht="22.15" customHeight="1" x14ac:dyDescent="0.25"/>
    <row r="3474" ht="22.15" customHeight="1" x14ac:dyDescent="0.25"/>
    <row r="3475" ht="22.15" customHeight="1" x14ac:dyDescent="0.25"/>
    <row r="3476" ht="22.15" customHeight="1" x14ac:dyDescent="0.25"/>
    <row r="3477" ht="22.15" customHeight="1" x14ac:dyDescent="0.25"/>
    <row r="3478" ht="22.15" customHeight="1" x14ac:dyDescent="0.25"/>
    <row r="3479" ht="22.15" customHeight="1" x14ac:dyDescent="0.25"/>
    <row r="3480" ht="22.15" customHeight="1" x14ac:dyDescent="0.25"/>
    <row r="3481" ht="22.15" customHeight="1" x14ac:dyDescent="0.25"/>
    <row r="3482" ht="22.15" customHeight="1" x14ac:dyDescent="0.25"/>
    <row r="3483" ht="22.15" customHeight="1" x14ac:dyDescent="0.25"/>
    <row r="3484" ht="22.15" customHeight="1" x14ac:dyDescent="0.25"/>
    <row r="3485" ht="22.15" customHeight="1" x14ac:dyDescent="0.25"/>
    <row r="3486" ht="22.15" customHeight="1" x14ac:dyDescent="0.25"/>
    <row r="3487" ht="22.15" customHeight="1" x14ac:dyDescent="0.25"/>
    <row r="3488" ht="22.15" customHeight="1" x14ac:dyDescent="0.25"/>
    <row r="3489" ht="22.15" customHeight="1" x14ac:dyDescent="0.25"/>
    <row r="3490" ht="22.15" customHeight="1" x14ac:dyDescent="0.25"/>
    <row r="3491" ht="22.15" customHeight="1" x14ac:dyDescent="0.25"/>
    <row r="3492" ht="22.15" customHeight="1" x14ac:dyDescent="0.25"/>
    <row r="3493" ht="22.15" customHeight="1" x14ac:dyDescent="0.25"/>
    <row r="3494" ht="22.15" customHeight="1" x14ac:dyDescent="0.25"/>
    <row r="3495" ht="22.15" customHeight="1" x14ac:dyDescent="0.25"/>
    <row r="3496" ht="22.15" customHeight="1" x14ac:dyDescent="0.25"/>
    <row r="3497" ht="22.15" customHeight="1" x14ac:dyDescent="0.25"/>
    <row r="3498" ht="22.15" customHeight="1" x14ac:dyDescent="0.25"/>
    <row r="3499" ht="22.15" customHeight="1" x14ac:dyDescent="0.25"/>
    <row r="3500" ht="22.15" customHeight="1" x14ac:dyDescent="0.25"/>
    <row r="3501" ht="22.15" customHeight="1" x14ac:dyDescent="0.25"/>
    <row r="3502" ht="22.15" customHeight="1" x14ac:dyDescent="0.25"/>
    <row r="3503" ht="22.15" customHeight="1" x14ac:dyDescent="0.25"/>
    <row r="3504" ht="22.15" customHeight="1" x14ac:dyDescent="0.25"/>
    <row r="3505" ht="22.15" customHeight="1" x14ac:dyDescent="0.25"/>
    <row r="3506" ht="22.15" customHeight="1" x14ac:dyDescent="0.25"/>
    <row r="3507" ht="22.15" customHeight="1" x14ac:dyDescent="0.25"/>
    <row r="3508" ht="22.15" customHeight="1" x14ac:dyDescent="0.25"/>
    <row r="3509" ht="22.15" customHeight="1" x14ac:dyDescent="0.25"/>
    <row r="3510" ht="22.15" customHeight="1" x14ac:dyDescent="0.25"/>
    <row r="3511" ht="22.15" customHeight="1" x14ac:dyDescent="0.25"/>
    <row r="3512" ht="22.15" customHeight="1" x14ac:dyDescent="0.25"/>
    <row r="3513" ht="22.15" customHeight="1" x14ac:dyDescent="0.25"/>
    <row r="3514" ht="22.15" customHeight="1" x14ac:dyDescent="0.25"/>
    <row r="3515" ht="22.15" customHeight="1" x14ac:dyDescent="0.25"/>
    <row r="3516" ht="22.15" customHeight="1" x14ac:dyDescent="0.25"/>
    <row r="3517" ht="22.15" customHeight="1" x14ac:dyDescent="0.25"/>
    <row r="3518" ht="22.15" customHeight="1" x14ac:dyDescent="0.25"/>
    <row r="3519" ht="22.15" customHeight="1" x14ac:dyDescent="0.25"/>
    <row r="3520" ht="22.15" customHeight="1" x14ac:dyDescent="0.25"/>
    <row r="3521" ht="22.15" customHeight="1" x14ac:dyDescent="0.25"/>
    <row r="3522" ht="22.15" customHeight="1" x14ac:dyDescent="0.25"/>
    <row r="3523" ht="22.15" customHeight="1" x14ac:dyDescent="0.25"/>
    <row r="3524" ht="22.15" customHeight="1" x14ac:dyDescent="0.25"/>
    <row r="3525" ht="22.15" customHeight="1" x14ac:dyDescent="0.25"/>
    <row r="3526" ht="22.15" customHeight="1" x14ac:dyDescent="0.25"/>
    <row r="3527" ht="22.15" customHeight="1" x14ac:dyDescent="0.25"/>
    <row r="3528" ht="22.15" customHeight="1" x14ac:dyDescent="0.25"/>
    <row r="3529" ht="22.15" customHeight="1" x14ac:dyDescent="0.25"/>
    <row r="3530" ht="22.15" customHeight="1" x14ac:dyDescent="0.25"/>
    <row r="3531" ht="22.15" customHeight="1" x14ac:dyDescent="0.25"/>
    <row r="3532" ht="22.15" customHeight="1" x14ac:dyDescent="0.25"/>
    <row r="3533" ht="22.15" customHeight="1" x14ac:dyDescent="0.25"/>
    <row r="3534" ht="22.15" customHeight="1" x14ac:dyDescent="0.25"/>
    <row r="3535" ht="22.15" customHeight="1" x14ac:dyDescent="0.25"/>
    <row r="3536" ht="22.15" customHeight="1" x14ac:dyDescent="0.25"/>
    <row r="3537" ht="22.15" customHeight="1" x14ac:dyDescent="0.25"/>
    <row r="3538" ht="22.15" customHeight="1" x14ac:dyDescent="0.25"/>
    <row r="3539" ht="22.15" customHeight="1" x14ac:dyDescent="0.25"/>
    <row r="3540" ht="22.15" customHeight="1" x14ac:dyDescent="0.25"/>
    <row r="3541" ht="22.15" customHeight="1" x14ac:dyDescent="0.25"/>
    <row r="3542" ht="22.15" customHeight="1" x14ac:dyDescent="0.25"/>
    <row r="3543" ht="22.15" customHeight="1" x14ac:dyDescent="0.25"/>
    <row r="3544" ht="22.15" customHeight="1" x14ac:dyDescent="0.25"/>
    <row r="3545" ht="22.15" customHeight="1" x14ac:dyDescent="0.25"/>
    <row r="3546" ht="22.15" customHeight="1" x14ac:dyDescent="0.25"/>
    <row r="3547" ht="22.15" customHeight="1" x14ac:dyDescent="0.25"/>
    <row r="3548" ht="22.15" customHeight="1" x14ac:dyDescent="0.25"/>
    <row r="3549" ht="22.15" customHeight="1" x14ac:dyDescent="0.25"/>
    <row r="3550" ht="22.15" customHeight="1" x14ac:dyDescent="0.25"/>
    <row r="3551" ht="22.15" customHeight="1" x14ac:dyDescent="0.25"/>
    <row r="3552" ht="22.15" customHeight="1" x14ac:dyDescent="0.25"/>
    <row r="3553" ht="22.15" customHeight="1" x14ac:dyDescent="0.25"/>
    <row r="3554" ht="22.15" customHeight="1" x14ac:dyDescent="0.25"/>
    <row r="3555" ht="22.15" customHeight="1" x14ac:dyDescent="0.25"/>
    <row r="3556" ht="22.15" customHeight="1" x14ac:dyDescent="0.25"/>
    <row r="3557" ht="22.15" customHeight="1" x14ac:dyDescent="0.25"/>
    <row r="3558" ht="22.15" customHeight="1" x14ac:dyDescent="0.25"/>
    <row r="3559" ht="22.15" customHeight="1" x14ac:dyDescent="0.25"/>
    <row r="3560" ht="22.15" customHeight="1" x14ac:dyDescent="0.25"/>
    <row r="3561" ht="22.15" customHeight="1" x14ac:dyDescent="0.25"/>
    <row r="3562" ht="22.15" customHeight="1" x14ac:dyDescent="0.25"/>
    <row r="3563" ht="22.15" customHeight="1" x14ac:dyDescent="0.25"/>
    <row r="3564" ht="22.15" customHeight="1" x14ac:dyDescent="0.25"/>
    <row r="3565" ht="22.15" customHeight="1" x14ac:dyDescent="0.25"/>
    <row r="3566" ht="22.15" customHeight="1" x14ac:dyDescent="0.25"/>
    <row r="3567" ht="22.15" customHeight="1" x14ac:dyDescent="0.25"/>
    <row r="3568" ht="22.15" customHeight="1" x14ac:dyDescent="0.25"/>
    <row r="3569" ht="22.15" customHeight="1" x14ac:dyDescent="0.25"/>
    <row r="3570" ht="22.15" customHeight="1" x14ac:dyDescent="0.25"/>
    <row r="3571" ht="22.15" customHeight="1" x14ac:dyDescent="0.25"/>
    <row r="3572" ht="22.15" customHeight="1" x14ac:dyDescent="0.25"/>
    <row r="3573" ht="22.15" customHeight="1" x14ac:dyDescent="0.25"/>
    <row r="3574" ht="22.15" customHeight="1" x14ac:dyDescent="0.25"/>
    <row r="3575" ht="22.15" customHeight="1" x14ac:dyDescent="0.25"/>
    <row r="3576" ht="22.15" customHeight="1" x14ac:dyDescent="0.25"/>
    <row r="3577" ht="22.15" customHeight="1" x14ac:dyDescent="0.25"/>
    <row r="3578" ht="22.15" customHeight="1" x14ac:dyDescent="0.25"/>
    <row r="3579" ht="22.15" customHeight="1" x14ac:dyDescent="0.25"/>
    <row r="3580" ht="22.15" customHeight="1" x14ac:dyDescent="0.25"/>
    <row r="3581" ht="22.15" customHeight="1" x14ac:dyDescent="0.25"/>
    <row r="3582" ht="22.15" customHeight="1" x14ac:dyDescent="0.25"/>
    <row r="3583" ht="22.15" customHeight="1" x14ac:dyDescent="0.25"/>
    <row r="3584" ht="22.15" customHeight="1" x14ac:dyDescent="0.25"/>
    <row r="3585" ht="22.15" customHeight="1" x14ac:dyDescent="0.25"/>
    <row r="3586" ht="22.15" customHeight="1" x14ac:dyDescent="0.25"/>
    <row r="3587" ht="22.15" customHeight="1" x14ac:dyDescent="0.25"/>
    <row r="3588" ht="22.15" customHeight="1" x14ac:dyDescent="0.25"/>
    <row r="3589" ht="22.15" customHeight="1" x14ac:dyDescent="0.25"/>
    <row r="3590" ht="22.15" customHeight="1" x14ac:dyDescent="0.25"/>
    <row r="3591" ht="22.15" customHeight="1" x14ac:dyDescent="0.25"/>
    <row r="3592" ht="22.15" customHeight="1" x14ac:dyDescent="0.25"/>
    <row r="3593" ht="22.15" customHeight="1" x14ac:dyDescent="0.25"/>
    <row r="3594" ht="22.15" customHeight="1" x14ac:dyDescent="0.25"/>
    <row r="3595" ht="22.15" customHeight="1" x14ac:dyDescent="0.25"/>
    <row r="3596" ht="22.15" customHeight="1" x14ac:dyDescent="0.25"/>
    <row r="3597" ht="22.15" customHeight="1" x14ac:dyDescent="0.25"/>
    <row r="3598" ht="22.15" customHeight="1" x14ac:dyDescent="0.25"/>
    <row r="3599" ht="22.15" customHeight="1" x14ac:dyDescent="0.25"/>
    <row r="3600" ht="22.15" customHeight="1" x14ac:dyDescent="0.25"/>
    <row r="3601" ht="22.15" customHeight="1" x14ac:dyDescent="0.25"/>
    <row r="3602" ht="22.15" customHeight="1" x14ac:dyDescent="0.25"/>
    <row r="3603" ht="22.15" customHeight="1" x14ac:dyDescent="0.25"/>
    <row r="3604" ht="22.15" customHeight="1" x14ac:dyDescent="0.25"/>
    <row r="3605" ht="22.15" customHeight="1" x14ac:dyDescent="0.25"/>
    <row r="3606" ht="22.15" customHeight="1" x14ac:dyDescent="0.25"/>
    <row r="3607" ht="22.15" customHeight="1" x14ac:dyDescent="0.25"/>
    <row r="3608" ht="22.15" customHeight="1" x14ac:dyDescent="0.25"/>
    <row r="3609" ht="22.15" customHeight="1" x14ac:dyDescent="0.25"/>
    <row r="3610" ht="22.15" customHeight="1" x14ac:dyDescent="0.25"/>
    <row r="3611" ht="22.15" customHeight="1" x14ac:dyDescent="0.25"/>
    <row r="3612" ht="22.15" customHeight="1" x14ac:dyDescent="0.25"/>
    <row r="3613" ht="22.15" customHeight="1" x14ac:dyDescent="0.25"/>
    <row r="3614" ht="22.15" customHeight="1" x14ac:dyDescent="0.25"/>
    <row r="3615" ht="22.15" customHeight="1" x14ac:dyDescent="0.25"/>
    <row r="3616" ht="22.15" customHeight="1" x14ac:dyDescent="0.25"/>
    <row r="3617" ht="22.15" customHeight="1" x14ac:dyDescent="0.25"/>
    <row r="3618" ht="22.15" customHeight="1" x14ac:dyDescent="0.25"/>
    <row r="3619" ht="22.15" customHeight="1" x14ac:dyDescent="0.25"/>
    <row r="3620" ht="22.15" customHeight="1" x14ac:dyDescent="0.25"/>
    <row r="3621" ht="22.15" customHeight="1" x14ac:dyDescent="0.25"/>
    <row r="3622" ht="22.15" customHeight="1" x14ac:dyDescent="0.25"/>
    <row r="3623" ht="22.15" customHeight="1" x14ac:dyDescent="0.25"/>
    <row r="3624" ht="22.15" customHeight="1" x14ac:dyDescent="0.25"/>
    <row r="3625" ht="22.15" customHeight="1" x14ac:dyDescent="0.25"/>
    <row r="3626" ht="22.15" customHeight="1" x14ac:dyDescent="0.25"/>
    <row r="3627" ht="22.15" customHeight="1" x14ac:dyDescent="0.25"/>
    <row r="3628" ht="22.15" customHeight="1" x14ac:dyDescent="0.25"/>
    <row r="3629" ht="22.15" customHeight="1" x14ac:dyDescent="0.25"/>
    <row r="3630" ht="22.15" customHeight="1" x14ac:dyDescent="0.25"/>
    <row r="3631" ht="22.15" customHeight="1" x14ac:dyDescent="0.25"/>
    <row r="3632" ht="22.15" customHeight="1" x14ac:dyDescent="0.25"/>
    <row r="3633" ht="22.15" customHeight="1" x14ac:dyDescent="0.25"/>
    <row r="3634" ht="22.15" customHeight="1" x14ac:dyDescent="0.25"/>
    <row r="3635" ht="22.15" customHeight="1" x14ac:dyDescent="0.25"/>
    <row r="3636" ht="22.15" customHeight="1" x14ac:dyDescent="0.25"/>
    <row r="3637" ht="22.15" customHeight="1" x14ac:dyDescent="0.25"/>
    <row r="3638" ht="22.15" customHeight="1" x14ac:dyDescent="0.25"/>
    <row r="3639" ht="22.15" customHeight="1" x14ac:dyDescent="0.25"/>
    <row r="3640" ht="22.15" customHeight="1" x14ac:dyDescent="0.25"/>
    <row r="3641" ht="22.15" customHeight="1" x14ac:dyDescent="0.25"/>
    <row r="3642" ht="22.15" customHeight="1" x14ac:dyDescent="0.25"/>
    <row r="3643" ht="22.15" customHeight="1" x14ac:dyDescent="0.25"/>
    <row r="3644" ht="22.15" customHeight="1" x14ac:dyDescent="0.25"/>
    <row r="3645" ht="22.15" customHeight="1" x14ac:dyDescent="0.25"/>
    <row r="3646" ht="22.15" customHeight="1" x14ac:dyDescent="0.25"/>
    <row r="3647" ht="22.15" customHeight="1" x14ac:dyDescent="0.25"/>
    <row r="3648" ht="22.15" customHeight="1" x14ac:dyDescent="0.25"/>
    <row r="3649" ht="22.15" customHeight="1" x14ac:dyDescent="0.25"/>
    <row r="3650" ht="22.15" customHeight="1" x14ac:dyDescent="0.25"/>
    <row r="3651" ht="22.15" customHeight="1" x14ac:dyDescent="0.25"/>
    <row r="3652" ht="22.15" customHeight="1" x14ac:dyDescent="0.25"/>
    <row r="3653" ht="22.15" customHeight="1" x14ac:dyDescent="0.25"/>
    <row r="3654" ht="22.15" customHeight="1" x14ac:dyDescent="0.25"/>
    <row r="3655" ht="22.15" customHeight="1" x14ac:dyDescent="0.25"/>
    <row r="3656" ht="22.15" customHeight="1" x14ac:dyDescent="0.25"/>
    <row r="3657" ht="22.15" customHeight="1" x14ac:dyDescent="0.25"/>
    <row r="3658" ht="22.15" customHeight="1" x14ac:dyDescent="0.25"/>
    <row r="3659" ht="22.15" customHeight="1" x14ac:dyDescent="0.25"/>
    <row r="3660" ht="22.15" customHeight="1" x14ac:dyDescent="0.25"/>
    <row r="3661" ht="22.15" customHeight="1" x14ac:dyDescent="0.25"/>
    <row r="3662" ht="22.15" customHeight="1" x14ac:dyDescent="0.25"/>
    <row r="3663" ht="22.15" customHeight="1" x14ac:dyDescent="0.25"/>
    <row r="3664" ht="22.15" customHeight="1" x14ac:dyDescent="0.25"/>
    <row r="3665" ht="22.15" customHeight="1" x14ac:dyDescent="0.25"/>
    <row r="3666" ht="22.15" customHeight="1" x14ac:dyDescent="0.25"/>
    <row r="3667" ht="22.15" customHeight="1" x14ac:dyDescent="0.25"/>
    <row r="3668" ht="22.15" customHeight="1" x14ac:dyDescent="0.25"/>
    <row r="3669" ht="22.15" customHeight="1" x14ac:dyDescent="0.25"/>
    <row r="3670" ht="22.15" customHeight="1" x14ac:dyDescent="0.25"/>
    <row r="3671" ht="22.15" customHeight="1" x14ac:dyDescent="0.25"/>
    <row r="3672" ht="22.15" customHeight="1" x14ac:dyDescent="0.25"/>
    <row r="3673" ht="22.15" customHeight="1" x14ac:dyDescent="0.25"/>
    <row r="3674" ht="22.15" customHeight="1" x14ac:dyDescent="0.25"/>
    <row r="3675" ht="22.15" customHeight="1" x14ac:dyDescent="0.25"/>
    <row r="3676" ht="22.15" customHeight="1" x14ac:dyDescent="0.25"/>
    <row r="3677" ht="22.15" customHeight="1" x14ac:dyDescent="0.25"/>
    <row r="3678" ht="22.15" customHeight="1" x14ac:dyDescent="0.25"/>
    <row r="3679" ht="22.15" customHeight="1" x14ac:dyDescent="0.25"/>
    <row r="3680" ht="22.15" customHeight="1" x14ac:dyDescent="0.25"/>
    <row r="3681" ht="22.15" customHeight="1" x14ac:dyDescent="0.25"/>
    <row r="3682" ht="22.15" customHeight="1" x14ac:dyDescent="0.25"/>
    <row r="3683" ht="22.15" customHeight="1" x14ac:dyDescent="0.25"/>
    <row r="3684" ht="22.15" customHeight="1" x14ac:dyDescent="0.25"/>
    <row r="3685" ht="22.15" customHeight="1" x14ac:dyDescent="0.25"/>
    <row r="3686" ht="22.15" customHeight="1" x14ac:dyDescent="0.25"/>
    <row r="3687" ht="22.15" customHeight="1" x14ac:dyDescent="0.25"/>
    <row r="3688" ht="22.15" customHeight="1" x14ac:dyDescent="0.25"/>
    <row r="3689" ht="22.15" customHeight="1" x14ac:dyDescent="0.25"/>
    <row r="3690" ht="22.15" customHeight="1" x14ac:dyDescent="0.25"/>
    <row r="3691" ht="22.15" customHeight="1" x14ac:dyDescent="0.25"/>
    <row r="3692" ht="22.15" customHeight="1" x14ac:dyDescent="0.25"/>
    <row r="3693" ht="22.15" customHeight="1" x14ac:dyDescent="0.25"/>
    <row r="3694" ht="22.15" customHeight="1" x14ac:dyDescent="0.25"/>
    <row r="3695" ht="22.15" customHeight="1" x14ac:dyDescent="0.25"/>
    <row r="3696" ht="22.15" customHeight="1" x14ac:dyDescent="0.25"/>
    <row r="3697" ht="22.15" customHeight="1" x14ac:dyDescent="0.25"/>
    <row r="3698" ht="22.15" customHeight="1" x14ac:dyDescent="0.25"/>
    <row r="3699" ht="22.15" customHeight="1" x14ac:dyDescent="0.25"/>
    <row r="3700" ht="22.15" customHeight="1" x14ac:dyDescent="0.25"/>
    <row r="3701" ht="22.15" customHeight="1" x14ac:dyDescent="0.25"/>
    <row r="3702" ht="22.15" customHeight="1" x14ac:dyDescent="0.25"/>
    <row r="3703" ht="22.15" customHeight="1" x14ac:dyDescent="0.25"/>
    <row r="3704" ht="22.15" customHeight="1" x14ac:dyDescent="0.25"/>
    <row r="3705" ht="22.15" customHeight="1" x14ac:dyDescent="0.25"/>
    <row r="3706" ht="22.15" customHeight="1" x14ac:dyDescent="0.25"/>
    <row r="3707" ht="22.15" customHeight="1" x14ac:dyDescent="0.25"/>
    <row r="3708" ht="22.15" customHeight="1" x14ac:dyDescent="0.25"/>
    <row r="3709" ht="22.15" customHeight="1" x14ac:dyDescent="0.25"/>
    <row r="3710" ht="22.15" customHeight="1" x14ac:dyDescent="0.25"/>
    <row r="3711" ht="22.15" customHeight="1" x14ac:dyDescent="0.25"/>
    <row r="3712" ht="22.15" customHeight="1" x14ac:dyDescent="0.25"/>
    <row r="3713" ht="22.15" customHeight="1" x14ac:dyDescent="0.25"/>
    <row r="3714" ht="22.15" customHeight="1" x14ac:dyDescent="0.25"/>
    <row r="3715" ht="22.15" customHeight="1" x14ac:dyDescent="0.25"/>
    <row r="3716" ht="22.15" customHeight="1" x14ac:dyDescent="0.25"/>
    <row r="3717" ht="22.15" customHeight="1" x14ac:dyDescent="0.25"/>
    <row r="3718" ht="22.15" customHeight="1" x14ac:dyDescent="0.25"/>
    <row r="3719" ht="22.15" customHeight="1" x14ac:dyDescent="0.25"/>
    <row r="3720" ht="22.15" customHeight="1" x14ac:dyDescent="0.25"/>
    <row r="3721" ht="22.15" customHeight="1" x14ac:dyDescent="0.25"/>
    <row r="3722" ht="22.15" customHeight="1" x14ac:dyDescent="0.25"/>
    <row r="3723" ht="22.15" customHeight="1" x14ac:dyDescent="0.25"/>
    <row r="3724" ht="22.15" customHeight="1" x14ac:dyDescent="0.25"/>
    <row r="3725" ht="22.15" customHeight="1" x14ac:dyDescent="0.25"/>
    <row r="3726" ht="22.15" customHeight="1" x14ac:dyDescent="0.25"/>
    <row r="3727" ht="22.15" customHeight="1" x14ac:dyDescent="0.25"/>
    <row r="3728" ht="22.15" customHeight="1" x14ac:dyDescent="0.25"/>
    <row r="3729" ht="22.15" customHeight="1" x14ac:dyDescent="0.25"/>
    <row r="3730" ht="22.15" customHeight="1" x14ac:dyDescent="0.25"/>
    <row r="3731" ht="22.15" customHeight="1" x14ac:dyDescent="0.25"/>
    <row r="3732" ht="22.15" customHeight="1" x14ac:dyDescent="0.25"/>
    <row r="3733" ht="22.15" customHeight="1" x14ac:dyDescent="0.25"/>
    <row r="3734" ht="22.15" customHeight="1" x14ac:dyDescent="0.25"/>
    <row r="3735" ht="22.15" customHeight="1" x14ac:dyDescent="0.25"/>
    <row r="3736" ht="22.15" customHeight="1" x14ac:dyDescent="0.25"/>
    <row r="3737" ht="22.15" customHeight="1" x14ac:dyDescent="0.25"/>
    <row r="3738" ht="22.15" customHeight="1" x14ac:dyDescent="0.25"/>
    <row r="3739" ht="22.15" customHeight="1" x14ac:dyDescent="0.25"/>
    <row r="3740" ht="22.15" customHeight="1" x14ac:dyDescent="0.25"/>
    <row r="3741" ht="22.15" customHeight="1" x14ac:dyDescent="0.25"/>
    <row r="3742" ht="22.15" customHeight="1" x14ac:dyDescent="0.25"/>
    <row r="3743" ht="22.15" customHeight="1" x14ac:dyDescent="0.25"/>
    <row r="3744" ht="22.15" customHeight="1" x14ac:dyDescent="0.25"/>
    <row r="3745" ht="22.15" customHeight="1" x14ac:dyDescent="0.25"/>
    <row r="3746" ht="22.15" customHeight="1" x14ac:dyDescent="0.25"/>
    <row r="3747" ht="22.15" customHeight="1" x14ac:dyDescent="0.25"/>
    <row r="3748" ht="22.15" customHeight="1" x14ac:dyDescent="0.25"/>
    <row r="3749" ht="22.15" customHeight="1" x14ac:dyDescent="0.25"/>
    <row r="3750" ht="22.15" customHeight="1" x14ac:dyDescent="0.25"/>
    <row r="3751" ht="22.15" customHeight="1" x14ac:dyDescent="0.25"/>
    <row r="3752" ht="22.15" customHeight="1" x14ac:dyDescent="0.25"/>
    <row r="3753" ht="22.15" customHeight="1" x14ac:dyDescent="0.25"/>
    <row r="3754" ht="22.15" customHeight="1" x14ac:dyDescent="0.25"/>
    <row r="3755" ht="22.15" customHeight="1" x14ac:dyDescent="0.25"/>
    <row r="3756" ht="22.15" customHeight="1" x14ac:dyDescent="0.25"/>
    <row r="3757" ht="22.15" customHeight="1" x14ac:dyDescent="0.25"/>
    <row r="3758" ht="22.15" customHeight="1" x14ac:dyDescent="0.25"/>
    <row r="3759" ht="22.15" customHeight="1" x14ac:dyDescent="0.25"/>
    <row r="3760" ht="22.15" customHeight="1" x14ac:dyDescent="0.25"/>
    <row r="3761" ht="22.15" customHeight="1" x14ac:dyDescent="0.25"/>
    <row r="3762" ht="22.15" customHeight="1" x14ac:dyDescent="0.25"/>
    <row r="3763" ht="22.15" customHeight="1" x14ac:dyDescent="0.25"/>
    <row r="3764" ht="22.15" customHeight="1" x14ac:dyDescent="0.25"/>
    <row r="3765" ht="22.15" customHeight="1" x14ac:dyDescent="0.25"/>
    <row r="3766" ht="22.15" customHeight="1" x14ac:dyDescent="0.25"/>
    <row r="3767" ht="22.15" customHeight="1" x14ac:dyDescent="0.25"/>
    <row r="3768" ht="22.15" customHeight="1" x14ac:dyDescent="0.25"/>
    <row r="3769" ht="22.15" customHeight="1" x14ac:dyDescent="0.25"/>
    <row r="3770" ht="22.15" customHeight="1" x14ac:dyDescent="0.25"/>
    <row r="3771" ht="22.15" customHeight="1" x14ac:dyDescent="0.25"/>
    <row r="3772" ht="22.15" customHeight="1" x14ac:dyDescent="0.25"/>
    <row r="3773" ht="22.15" customHeight="1" x14ac:dyDescent="0.25"/>
    <row r="3774" ht="22.15" customHeight="1" x14ac:dyDescent="0.25"/>
    <row r="3775" ht="22.15" customHeight="1" x14ac:dyDescent="0.25"/>
    <row r="3776" ht="22.15" customHeight="1" x14ac:dyDescent="0.25"/>
    <row r="3777" ht="22.15" customHeight="1" x14ac:dyDescent="0.25"/>
    <row r="3778" ht="22.15" customHeight="1" x14ac:dyDescent="0.25"/>
    <row r="3779" ht="22.15" customHeight="1" x14ac:dyDescent="0.25"/>
    <row r="3780" ht="22.15" customHeight="1" x14ac:dyDescent="0.25"/>
    <row r="3781" ht="22.15" customHeight="1" x14ac:dyDescent="0.25"/>
    <row r="3782" ht="22.15" customHeight="1" x14ac:dyDescent="0.25"/>
    <row r="3783" ht="22.15" customHeight="1" x14ac:dyDescent="0.25"/>
    <row r="3784" ht="22.15" customHeight="1" x14ac:dyDescent="0.25"/>
    <row r="3785" ht="22.15" customHeight="1" x14ac:dyDescent="0.25"/>
    <row r="3786" ht="22.15" customHeight="1" x14ac:dyDescent="0.25"/>
    <row r="3787" ht="22.15" customHeight="1" x14ac:dyDescent="0.25"/>
    <row r="3788" ht="22.15" customHeight="1" x14ac:dyDescent="0.25"/>
    <row r="3789" ht="22.15" customHeight="1" x14ac:dyDescent="0.25"/>
    <row r="3790" ht="22.15" customHeight="1" x14ac:dyDescent="0.25"/>
    <row r="3791" ht="22.15" customHeight="1" x14ac:dyDescent="0.25"/>
    <row r="3792" ht="22.15" customHeight="1" x14ac:dyDescent="0.25"/>
    <row r="3793" ht="22.15" customHeight="1" x14ac:dyDescent="0.25"/>
    <row r="3794" ht="22.15" customHeight="1" x14ac:dyDescent="0.25"/>
    <row r="3795" ht="22.15" customHeight="1" x14ac:dyDescent="0.25"/>
    <row r="3796" ht="22.15" customHeight="1" x14ac:dyDescent="0.25"/>
    <row r="3797" ht="22.15" customHeight="1" x14ac:dyDescent="0.25"/>
    <row r="3798" ht="22.15" customHeight="1" x14ac:dyDescent="0.25"/>
    <row r="3799" ht="22.15" customHeight="1" x14ac:dyDescent="0.25"/>
    <row r="3800" ht="22.15" customHeight="1" x14ac:dyDescent="0.25"/>
    <row r="3801" ht="22.15" customHeight="1" x14ac:dyDescent="0.25"/>
    <row r="3802" ht="22.15" customHeight="1" x14ac:dyDescent="0.25"/>
    <row r="3803" ht="22.15" customHeight="1" x14ac:dyDescent="0.25"/>
    <row r="3804" ht="22.15" customHeight="1" x14ac:dyDescent="0.25"/>
    <row r="3805" ht="22.15" customHeight="1" x14ac:dyDescent="0.25"/>
    <row r="3806" ht="22.15" customHeight="1" x14ac:dyDescent="0.25"/>
    <row r="3807" ht="22.15" customHeight="1" x14ac:dyDescent="0.25"/>
    <row r="3808" ht="22.15" customHeight="1" x14ac:dyDescent="0.25"/>
    <row r="3809" ht="22.15" customHeight="1" x14ac:dyDescent="0.25"/>
    <row r="3810" ht="22.15" customHeight="1" x14ac:dyDescent="0.25"/>
    <row r="3811" ht="22.15" customHeight="1" x14ac:dyDescent="0.25"/>
    <row r="3812" ht="22.15" customHeight="1" x14ac:dyDescent="0.25"/>
    <row r="3813" ht="22.15" customHeight="1" x14ac:dyDescent="0.25"/>
    <row r="3814" ht="22.15" customHeight="1" x14ac:dyDescent="0.25"/>
    <row r="3815" ht="22.15" customHeight="1" x14ac:dyDescent="0.25"/>
    <row r="3816" ht="22.15" customHeight="1" x14ac:dyDescent="0.25"/>
    <row r="3817" ht="22.15" customHeight="1" x14ac:dyDescent="0.25"/>
    <row r="3818" ht="22.15" customHeight="1" x14ac:dyDescent="0.25"/>
    <row r="3819" ht="22.15" customHeight="1" x14ac:dyDescent="0.25"/>
    <row r="3820" ht="22.15" customHeight="1" x14ac:dyDescent="0.25"/>
    <row r="3821" ht="22.15" customHeight="1" x14ac:dyDescent="0.25"/>
    <row r="3822" ht="22.15" customHeight="1" x14ac:dyDescent="0.25"/>
    <row r="3823" ht="22.15" customHeight="1" x14ac:dyDescent="0.25"/>
    <row r="3824" ht="22.15" customHeight="1" x14ac:dyDescent="0.25"/>
    <row r="3825" ht="22.15" customHeight="1" x14ac:dyDescent="0.25"/>
    <row r="3826" ht="22.15" customHeight="1" x14ac:dyDescent="0.25"/>
    <row r="3827" ht="22.15" customHeight="1" x14ac:dyDescent="0.25"/>
    <row r="3828" ht="22.15" customHeight="1" x14ac:dyDescent="0.25"/>
    <row r="3829" ht="22.15" customHeight="1" x14ac:dyDescent="0.25"/>
    <row r="3830" ht="22.15" customHeight="1" x14ac:dyDescent="0.25"/>
    <row r="3831" ht="22.15" customHeight="1" x14ac:dyDescent="0.25"/>
    <row r="3832" ht="22.15" customHeight="1" x14ac:dyDescent="0.25"/>
    <row r="3833" ht="22.15" customHeight="1" x14ac:dyDescent="0.25"/>
    <row r="3834" ht="22.15" customHeight="1" x14ac:dyDescent="0.25"/>
    <row r="3835" ht="22.15" customHeight="1" x14ac:dyDescent="0.25"/>
    <row r="3836" ht="22.15" customHeight="1" x14ac:dyDescent="0.25"/>
  </sheetData>
  <mergeCells count="2">
    <mergeCell ref="T3:U3"/>
    <mergeCell ref="T4:U4"/>
  </mergeCells>
  <conditionalFormatting sqref="AA1:AA65536">
    <cfRule type="cellIs" dxfId="4" priority="1" stopIfTrue="1" operator="lessThan">
      <formula>0</formula>
    </cfRule>
  </conditionalFormatting>
  <conditionalFormatting sqref="L1:L65536">
    <cfRule type="cellIs" dxfId="3" priority="2" stopIfTrue="1" operator="equal">
      <formula>"TOP"</formula>
    </cfRule>
    <cfRule type="cellIs" dxfId="2" priority="3" stopIfTrue="1" operator="equal">
      <formula>"NEW"</formula>
    </cfRule>
    <cfRule type="cellIs" dxfId="1" priority="4" stopIfTrue="1" operator="equal">
      <formula>"SEZÓNA"</formula>
    </cfRule>
  </conditionalFormatting>
  <conditionalFormatting sqref="N5">
    <cfRule type="cellIs" dxfId="0" priority="5" stopIfTrue="1" operator="greaterThan">
      <formula>40</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6" r:id="rId5" name="Button 2">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7" r:id="rId6" name="Button 3">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8" r:id="rId7" name="Button 4">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9" r:id="rId8" name="Button 5">
              <controlPr defaultSize="0" print="0" autoFill="0" autoLine="0" autoPict="0" macro="[1]!Load_NCS">
                <anchor moveWithCells="1" sizeWithCells="1">
                  <from>
                    <xdr:col>5</xdr:col>
                    <xdr:colOff>1352550</xdr:colOff>
                    <xdr:row>0</xdr:row>
                    <xdr:rowOff>57150</xdr:rowOff>
                  </from>
                  <to>
                    <xdr:col>11</xdr:col>
                    <xdr:colOff>381000</xdr:colOff>
                    <xdr:row>1</xdr:row>
                    <xdr:rowOff>0</xdr:rowOff>
                  </to>
                </anchor>
              </controlPr>
            </control>
          </mc:Choice>
        </mc:AlternateContent>
        <mc:AlternateContent xmlns:mc="http://schemas.openxmlformats.org/markup-compatibility/2006">
          <mc:Choice Requires="x14">
            <control shapeId="1030" r:id="rId9" name="Button 6">
              <controlPr defaultSize="0" print="0" autoFill="0" autoLine="0" autoPict="0" macro="[1]!Kontrola_GiaAkce">
                <anchor moveWithCells="1" sizeWithCells="1">
                  <from>
                    <xdr:col>14</xdr:col>
                    <xdr:colOff>885825</xdr:colOff>
                    <xdr:row>0</xdr:row>
                    <xdr:rowOff>66675</xdr:rowOff>
                  </from>
                  <to>
                    <xdr:col>18</xdr:col>
                    <xdr:colOff>1181100</xdr:colOff>
                    <xdr:row>1</xdr:row>
                    <xdr:rowOff>9525</xdr:rowOff>
                  </to>
                </anchor>
              </controlPr>
            </control>
          </mc:Choice>
        </mc:AlternateContent>
        <mc:AlternateContent xmlns:mc="http://schemas.openxmlformats.org/markup-compatibility/2006">
          <mc:Choice Requires="x14">
            <control shapeId="1031" r:id="rId10" name="Button 7">
              <controlPr defaultSize="0" print="0" autoFill="0" autoLine="0" autoPict="0" macro="[1]!load_StavSkladu">
                <anchor moveWithCells="1" sizeWithCells="1">
                  <from>
                    <xdr:col>14</xdr:col>
                    <xdr:colOff>38100</xdr:colOff>
                    <xdr:row>5</xdr:row>
                    <xdr:rowOff>28575</xdr:rowOff>
                  </from>
                  <to>
                    <xdr:col>14</xdr:col>
                    <xdr:colOff>1009650</xdr:colOff>
                    <xdr:row>5</xdr:row>
                    <xdr:rowOff>276225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F9159CC3-9CF9-4001-B12B-560F1C50F5D7}">
          <x14:formula1>
            <xm:f>excl01</xm:f>
          </x14:formula1>
          <xm:sqref>S602:S607 JO602:JO607 TK602:TK607 ADG602:ADG607 ANC602:ANC607 AWY602:AWY607 BGU602:BGU607 BQQ602:BQQ607 CAM602:CAM607 CKI602:CKI607 CUE602:CUE607 DEA602:DEA607 DNW602:DNW607 DXS602:DXS607 EHO602:EHO607 ERK602:ERK607 FBG602:FBG607 FLC602:FLC607 FUY602:FUY607 GEU602:GEU607 GOQ602:GOQ607 GYM602:GYM607 HII602:HII607 HSE602:HSE607 ICA602:ICA607 ILW602:ILW607 IVS602:IVS607 JFO602:JFO607 JPK602:JPK607 JZG602:JZG607 KJC602:KJC607 KSY602:KSY607 LCU602:LCU607 LMQ602:LMQ607 LWM602:LWM607 MGI602:MGI607 MQE602:MQE607 NAA602:NAA607 NJW602:NJW607 NTS602:NTS607 ODO602:ODO607 ONK602:ONK607 OXG602:OXG607 PHC602:PHC607 PQY602:PQY607 QAU602:QAU607 QKQ602:QKQ607 QUM602:QUM607 REI602:REI607 ROE602:ROE607 RYA602:RYA607 SHW602:SHW607 SRS602:SRS607 TBO602:TBO607 TLK602:TLK607 TVG602:TVG607 UFC602:UFC607 UOY602:UOY607 UYU602:UYU607 VIQ602:VIQ607 VSM602:VSM607 WCI602:WCI607 WME602:WME607 WWA602:WWA607 S66138:S66143 JO66138:JO66143 TK66138:TK66143 ADG66138:ADG66143 ANC66138:ANC66143 AWY66138:AWY66143 BGU66138:BGU66143 BQQ66138:BQQ66143 CAM66138:CAM66143 CKI66138:CKI66143 CUE66138:CUE66143 DEA66138:DEA66143 DNW66138:DNW66143 DXS66138:DXS66143 EHO66138:EHO66143 ERK66138:ERK66143 FBG66138:FBG66143 FLC66138:FLC66143 FUY66138:FUY66143 GEU66138:GEU66143 GOQ66138:GOQ66143 GYM66138:GYM66143 HII66138:HII66143 HSE66138:HSE66143 ICA66138:ICA66143 ILW66138:ILW66143 IVS66138:IVS66143 JFO66138:JFO66143 JPK66138:JPK66143 JZG66138:JZG66143 KJC66138:KJC66143 KSY66138:KSY66143 LCU66138:LCU66143 LMQ66138:LMQ66143 LWM66138:LWM66143 MGI66138:MGI66143 MQE66138:MQE66143 NAA66138:NAA66143 NJW66138:NJW66143 NTS66138:NTS66143 ODO66138:ODO66143 ONK66138:ONK66143 OXG66138:OXG66143 PHC66138:PHC66143 PQY66138:PQY66143 QAU66138:QAU66143 QKQ66138:QKQ66143 QUM66138:QUM66143 REI66138:REI66143 ROE66138:ROE66143 RYA66138:RYA66143 SHW66138:SHW66143 SRS66138:SRS66143 TBO66138:TBO66143 TLK66138:TLK66143 TVG66138:TVG66143 UFC66138:UFC66143 UOY66138:UOY66143 UYU66138:UYU66143 VIQ66138:VIQ66143 VSM66138:VSM66143 WCI66138:WCI66143 WME66138:WME66143 WWA66138:WWA66143 S131674:S131679 JO131674:JO131679 TK131674:TK131679 ADG131674:ADG131679 ANC131674:ANC131679 AWY131674:AWY131679 BGU131674:BGU131679 BQQ131674:BQQ131679 CAM131674:CAM131679 CKI131674:CKI131679 CUE131674:CUE131679 DEA131674:DEA131679 DNW131674:DNW131679 DXS131674:DXS131679 EHO131674:EHO131679 ERK131674:ERK131679 FBG131674:FBG131679 FLC131674:FLC131679 FUY131674:FUY131679 GEU131674:GEU131679 GOQ131674:GOQ131679 GYM131674:GYM131679 HII131674:HII131679 HSE131674:HSE131679 ICA131674:ICA131679 ILW131674:ILW131679 IVS131674:IVS131679 JFO131674:JFO131679 JPK131674:JPK131679 JZG131674:JZG131679 KJC131674:KJC131679 KSY131674:KSY131679 LCU131674:LCU131679 LMQ131674:LMQ131679 LWM131674:LWM131679 MGI131674:MGI131679 MQE131674:MQE131679 NAA131674:NAA131679 NJW131674:NJW131679 NTS131674:NTS131679 ODO131674:ODO131679 ONK131674:ONK131679 OXG131674:OXG131679 PHC131674:PHC131679 PQY131674:PQY131679 QAU131674:QAU131679 QKQ131674:QKQ131679 QUM131674:QUM131679 REI131674:REI131679 ROE131674:ROE131679 RYA131674:RYA131679 SHW131674:SHW131679 SRS131674:SRS131679 TBO131674:TBO131679 TLK131674:TLK131679 TVG131674:TVG131679 UFC131674:UFC131679 UOY131674:UOY131679 UYU131674:UYU131679 VIQ131674:VIQ131679 VSM131674:VSM131679 WCI131674:WCI131679 WME131674:WME131679 WWA131674:WWA131679 S197210:S197215 JO197210:JO197215 TK197210:TK197215 ADG197210:ADG197215 ANC197210:ANC197215 AWY197210:AWY197215 BGU197210:BGU197215 BQQ197210:BQQ197215 CAM197210:CAM197215 CKI197210:CKI197215 CUE197210:CUE197215 DEA197210:DEA197215 DNW197210:DNW197215 DXS197210:DXS197215 EHO197210:EHO197215 ERK197210:ERK197215 FBG197210:FBG197215 FLC197210:FLC197215 FUY197210:FUY197215 GEU197210:GEU197215 GOQ197210:GOQ197215 GYM197210:GYM197215 HII197210:HII197215 HSE197210:HSE197215 ICA197210:ICA197215 ILW197210:ILW197215 IVS197210:IVS197215 JFO197210:JFO197215 JPK197210:JPK197215 JZG197210:JZG197215 KJC197210:KJC197215 KSY197210:KSY197215 LCU197210:LCU197215 LMQ197210:LMQ197215 LWM197210:LWM197215 MGI197210:MGI197215 MQE197210:MQE197215 NAA197210:NAA197215 NJW197210:NJW197215 NTS197210:NTS197215 ODO197210:ODO197215 ONK197210:ONK197215 OXG197210:OXG197215 PHC197210:PHC197215 PQY197210:PQY197215 QAU197210:QAU197215 QKQ197210:QKQ197215 QUM197210:QUM197215 REI197210:REI197215 ROE197210:ROE197215 RYA197210:RYA197215 SHW197210:SHW197215 SRS197210:SRS197215 TBO197210:TBO197215 TLK197210:TLK197215 TVG197210:TVG197215 UFC197210:UFC197215 UOY197210:UOY197215 UYU197210:UYU197215 VIQ197210:VIQ197215 VSM197210:VSM197215 WCI197210:WCI197215 WME197210:WME197215 WWA197210:WWA197215 S262746:S262751 JO262746:JO262751 TK262746:TK262751 ADG262746:ADG262751 ANC262746:ANC262751 AWY262746:AWY262751 BGU262746:BGU262751 BQQ262746:BQQ262751 CAM262746:CAM262751 CKI262746:CKI262751 CUE262746:CUE262751 DEA262746:DEA262751 DNW262746:DNW262751 DXS262746:DXS262751 EHO262746:EHO262751 ERK262746:ERK262751 FBG262746:FBG262751 FLC262746:FLC262751 FUY262746:FUY262751 GEU262746:GEU262751 GOQ262746:GOQ262751 GYM262746:GYM262751 HII262746:HII262751 HSE262746:HSE262751 ICA262746:ICA262751 ILW262746:ILW262751 IVS262746:IVS262751 JFO262746:JFO262751 JPK262746:JPK262751 JZG262746:JZG262751 KJC262746:KJC262751 KSY262746:KSY262751 LCU262746:LCU262751 LMQ262746:LMQ262751 LWM262746:LWM262751 MGI262746:MGI262751 MQE262746:MQE262751 NAA262746:NAA262751 NJW262746:NJW262751 NTS262746:NTS262751 ODO262746:ODO262751 ONK262746:ONK262751 OXG262746:OXG262751 PHC262746:PHC262751 PQY262746:PQY262751 QAU262746:QAU262751 QKQ262746:QKQ262751 QUM262746:QUM262751 REI262746:REI262751 ROE262746:ROE262751 RYA262746:RYA262751 SHW262746:SHW262751 SRS262746:SRS262751 TBO262746:TBO262751 TLK262746:TLK262751 TVG262746:TVG262751 UFC262746:UFC262751 UOY262746:UOY262751 UYU262746:UYU262751 VIQ262746:VIQ262751 VSM262746:VSM262751 WCI262746:WCI262751 WME262746:WME262751 WWA262746:WWA262751 S328282:S328287 JO328282:JO328287 TK328282:TK328287 ADG328282:ADG328287 ANC328282:ANC328287 AWY328282:AWY328287 BGU328282:BGU328287 BQQ328282:BQQ328287 CAM328282:CAM328287 CKI328282:CKI328287 CUE328282:CUE328287 DEA328282:DEA328287 DNW328282:DNW328287 DXS328282:DXS328287 EHO328282:EHO328287 ERK328282:ERK328287 FBG328282:FBG328287 FLC328282:FLC328287 FUY328282:FUY328287 GEU328282:GEU328287 GOQ328282:GOQ328287 GYM328282:GYM328287 HII328282:HII328287 HSE328282:HSE328287 ICA328282:ICA328287 ILW328282:ILW328287 IVS328282:IVS328287 JFO328282:JFO328287 JPK328282:JPK328287 JZG328282:JZG328287 KJC328282:KJC328287 KSY328282:KSY328287 LCU328282:LCU328287 LMQ328282:LMQ328287 LWM328282:LWM328287 MGI328282:MGI328287 MQE328282:MQE328287 NAA328282:NAA328287 NJW328282:NJW328287 NTS328282:NTS328287 ODO328282:ODO328287 ONK328282:ONK328287 OXG328282:OXG328287 PHC328282:PHC328287 PQY328282:PQY328287 QAU328282:QAU328287 QKQ328282:QKQ328287 QUM328282:QUM328287 REI328282:REI328287 ROE328282:ROE328287 RYA328282:RYA328287 SHW328282:SHW328287 SRS328282:SRS328287 TBO328282:TBO328287 TLK328282:TLK328287 TVG328282:TVG328287 UFC328282:UFC328287 UOY328282:UOY328287 UYU328282:UYU328287 VIQ328282:VIQ328287 VSM328282:VSM328287 WCI328282:WCI328287 WME328282:WME328287 WWA328282:WWA328287 S393818:S393823 JO393818:JO393823 TK393818:TK393823 ADG393818:ADG393823 ANC393818:ANC393823 AWY393818:AWY393823 BGU393818:BGU393823 BQQ393818:BQQ393823 CAM393818:CAM393823 CKI393818:CKI393823 CUE393818:CUE393823 DEA393818:DEA393823 DNW393818:DNW393823 DXS393818:DXS393823 EHO393818:EHO393823 ERK393818:ERK393823 FBG393818:FBG393823 FLC393818:FLC393823 FUY393818:FUY393823 GEU393818:GEU393823 GOQ393818:GOQ393823 GYM393818:GYM393823 HII393818:HII393823 HSE393818:HSE393823 ICA393818:ICA393823 ILW393818:ILW393823 IVS393818:IVS393823 JFO393818:JFO393823 JPK393818:JPK393823 JZG393818:JZG393823 KJC393818:KJC393823 KSY393818:KSY393823 LCU393818:LCU393823 LMQ393818:LMQ393823 LWM393818:LWM393823 MGI393818:MGI393823 MQE393818:MQE393823 NAA393818:NAA393823 NJW393818:NJW393823 NTS393818:NTS393823 ODO393818:ODO393823 ONK393818:ONK393823 OXG393818:OXG393823 PHC393818:PHC393823 PQY393818:PQY393823 QAU393818:QAU393823 QKQ393818:QKQ393823 QUM393818:QUM393823 REI393818:REI393823 ROE393818:ROE393823 RYA393818:RYA393823 SHW393818:SHW393823 SRS393818:SRS393823 TBO393818:TBO393823 TLK393818:TLK393823 TVG393818:TVG393823 UFC393818:UFC393823 UOY393818:UOY393823 UYU393818:UYU393823 VIQ393818:VIQ393823 VSM393818:VSM393823 WCI393818:WCI393823 WME393818:WME393823 WWA393818:WWA393823 S459354:S459359 JO459354:JO459359 TK459354:TK459359 ADG459354:ADG459359 ANC459354:ANC459359 AWY459354:AWY459359 BGU459354:BGU459359 BQQ459354:BQQ459359 CAM459354:CAM459359 CKI459354:CKI459359 CUE459354:CUE459359 DEA459354:DEA459359 DNW459354:DNW459359 DXS459354:DXS459359 EHO459354:EHO459359 ERK459354:ERK459359 FBG459354:FBG459359 FLC459354:FLC459359 FUY459354:FUY459359 GEU459354:GEU459359 GOQ459354:GOQ459359 GYM459354:GYM459359 HII459354:HII459359 HSE459354:HSE459359 ICA459354:ICA459359 ILW459354:ILW459359 IVS459354:IVS459359 JFO459354:JFO459359 JPK459354:JPK459359 JZG459354:JZG459359 KJC459354:KJC459359 KSY459354:KSY459359 LCU459354:LCU459359 LMQ459354:LMQ459359 LWM459354:LWM459359 MGI459354:MGI459359 MQE459354:MQE459359 NAA459354:NAA459359 NJW459354:NJW459359 NTS459354:NTS459359 ODO459354:ODO459359 ONK459354:ONK459359 OXG459354:OXG459359 PHC459354:PHC459359 PQY459354:PQY459359 QAU459354:QAU459359 QKQ459354:QKQ459359 QUM459354:QUM459359 REI459354:REI459359 ROE459354:ROE459359 RYA459354:RYA459359 SHW459354:SHW459359 SRS459354:SRS459359 TBO459354:TBO459359 TLK459354:TLK459359 TVG459354:TVG459359 UFC459354:UFC459359 UOY459354:UOY459359 UYU459354:UYU459359 VIQ459354:VIQ459359 VSM459354:VSM459359 WCI459354:WCI459359 WME459354:WME459359 WWA459354:WWA459359 S524890:S524895 JO524890:JO524895 TK524890:TK524895 ADG524890:ADG524895 ANC524890:ANC524895 AWY524890:AWY524895 BGU524890:BGU524895 BQQ524890:BQQ524895 CAM524890:CAM524895 CKI524890:CKI524895 CUE524890:CUE524895 DEA524890:DEA524895 DNW524890:DNW524895 DXS524890:DXS524895 EHO524890:EHO524895 ERK524890:ERK524895 FBG524890:FBG524895 FLC524890:FLC524895 FUY524890:FUY524895 GEU524890:GEU524895 GOQ524890:GOQ524895 GYM524890:GYM524895 HII524890:HII524895 HSE524890:HSE524895 ICA524890:ICA524895 ILW524890:ILW524895 IVS524890:IVS524895 JFO524890:JFO524895 JPK524890:JPK524895 JZG524890:JZG524895 KJC524890:KJC524895 KSY524890:KSY524895 LCU524890:LCU524895 LMQ524890:LMQ524895 LWM524890:LWM524895 MGI524890:MGI524895 MQE524890:MQE524895 NAA524890:NAA524895 NJW524890:NJW524895 NTS524890:NTS524895 ODO524890:ODO524895 ONK524890:ONK524895 OXG524890:OXG524895 PHC524890:PHC524895 PQY524890:PQY524895 QAU524890:QAU524895 QKQ524890:QKQ524895 QUM524890:QUM524895 REI524890:REI524895 ROE524890:ROE524895 RYA524890:RYA524895 SHW524890:SHW524895 SRS524890:SRS524895 TBO524890:TBO524895 TLK524890:TLK524895 TVG524890:TVG524895 UFC524890:UFC524895 UOY524890:UOY524895 UYU524890:UYU524895 VIQ524890:VIQ524895 VSM524890:VSM524895 WCI524890:WCI524895 WME524890:WME524895 WWA524890:WWA524895 S590426:S590431 JO590426:JO590431 TK590426:TK590431 ADG590426:ADG590431 ANC590426:ANC590431 AWY590426:AWY590431 BGU590426:BGU590431 BQQ590426:BQQ590431 CAM590426:CAM590431 CKI590426:CKI590431 CUE590426:CUE590431 DEA590426:DEA590431 DNW590426:DNW590431 DXS590426:DXS590431 EHO590426:EHO590431 ERK590426:ERK590431 FBG590426:FBG590431 FLC590426:FLC590431 FUY590426:FUY590431 GEU590426:GEU590431 GOQ590426:GOQ590431 GYM590426:GYM590431 HII590426:HII590431 HSE590426:HSE590431 ICA590426:ICA590431 ILW590426:ILW590431 IVS590426:IVS590431 JFO590426:JFO590431 JPK590426:JPK590431 JZG590426:JZG590431 KJC590426:KJC590431 KSY590426:KSY590431 LCU590426:LCU590431 LMQ590426:LMQ590431 LWM590426:LWM590431 MGI590426:MGI590431 MQE590426:MQE590431 NAA590426:NAA590431 NJW590426:NJW590431 NTS590426:NTS590431 ODO590426:ODO590431 ONK590426:ONK590431 OXG590426:OXG590431 PHC590426:PHC590431 PQY590426:PQY590431 QAU590426:QAU590431 QKQ590426:QKQ590431 QUM590426:QUM590431 REI590426:REI590431 ROE590426:ROE590431 RYA590426:RYA590431 SHW590426:SHW590431 SRS590426:SRS590431 TBO590426:TBO590431 TLK590426:TLK590431 TVG590426:TVG590431 UFC590426:UFC590431 UOY590426:UOY590431 UYU590426:UYU590431 VIQ590426:VIQ590431 VSM590426:VSM590431 WCI590426:WCI590431 WME590426:WME590431 WWA590426:WWA590431 S655962:S655967 JO655962:JO655967 TK655962:TK655967 ADG655962:ADG655967 ANC655962:ANC655967 AWY655962:AWY655967 BGU655962:BGU655967 BQQ655962:BQQ655967 CAM655962:CAM655967 CKI655962:CKI655967 CUE655962:CUE655967 DEA655962:DEA655967 DNW655962:DNW655967 DXS655962:DXS655967 EHO655962:EHO655967 ERK655962:ERK655967 FBG655962:FBG655967 FLC655962:FLC655967 FUY655962:FUY655967 GEU655962:GEU655967 GOQ655962:GOQ655967 GYM655962:GYM655967 HII655962:HII655967 HSE655962:HSE655967 ICA655962:ICA655967 ILW655962:ILW655967 IVS655962:IVS655967 JFO655962:JFO655967 JPK655962:JPK655967 JZG655962:JZG655967 KJC655962:KJC655967 KSY655962:KSY655967 LCU655962:LCU655967 LMQ655962:LMQ655967 LWM655962:LWM655967 MGI655962:MGI655967 MQE655962:MQE655967 NAA655962:NAA655967 NJW655962:NJW655967 NTS655962:NTS655967 ODO655962:ODO655967 ONK655962:ONK655967 OXG655962:OXG655967 PHC655962:PHC655967 PQY655962:PQY655967 QAU655962:QAU655967 QKQ655962:QKQ655967 QUM655962:QUM655967 REI655962:REI655967 ROE655962:ROE655967 RYA655962:RYA655967 SHW655962:SHW655967 SRS655962:SRS655967 TBO655962:TBO655967 TLK655962:TLK655967 TVG655962:TVG655967 UFC655962:UFC655967 UOY655962:UOY655967 UYU655962:UYU655967 VIQ655962:VIQ655967 VSM655962:VSM655967 WCI655962:WCI655967 WME655962:WME655967 WWA655962:WWA655967 S721498:S721503 JO721498:JO721503 TK721498:TK721503 ADG721498:ADG721503 ANC721498:ANC721503 AWY721498:AWY721503 BGU721498:BGU721503 BQQ721498:BQQ721503 CAM721498:CAM721503 CKI721498:CKI721503 CUE721498:CUE721503 DEA721498:DEA721503 DNW721498:DNW721503 DXS721498:DXS721503 EHO721498:EHO721503 ERK721498:ERK721503 FBG721498:FBG721503 FLC721498:FLC721503 FUY721498:FUY721503 GEU721498:GEU721503 GOQ721498:GOQ721503 GYM721498:GYM721503 HII721498:HII721503 HSE721498:HSE721503 ICA721498:ICA721503 ILW721498:ILW721503 IVS721498:IVS721503 JFO721498:JFO721503 JPK721498:JPK721503 JZG721498:JZG721503 KJC721498:KJC721503 KSY721498:KSY721503 LCU721498:LCU721503 LMQ721498:LMQ721503 LWM721498:LWM721503 MGI721498:MGI721503 MQE721498:MQE721503 NAA721498:NAA721503 NJW721498:NJW721503 NTS721498:NTS721503 ODO721498:ODO721503 ONK721498:ONK721503 OXG721498:OXG721503 PHC721498:PHC721503 PQY721498:PQY721503 QAU721498:QAU721503 QKQ721498:QKQ721503 QUM721498:QUM721503 REI721498:REI721503 ROE721498:ROE721503 RYA721498:RYA721503 SHW721498:SHW721503 SRS721498:SRS721503 TBO721498:TBO721503 TLK721498:TLK721503 TVG721498:TVG721503 UFC721498:UFC721503 UOY721498:UOY721503 UYU721498:UYU721503 VIQ721498:VIQ721503 VSM721498:VSM721503 WCI721498:WCI721503 WME721498:WME721503 WWA721498:WWA721503 S787034:S787039 JO787034:JO787039 TK787034:TK787039 ADG787034:ADG787039 ANC787034:ANC787039 AWY787034:AWY787039 BGU787034:BGU787039 BQQ787034:BQQ787039 CAM787034:CAM787039 CKI787034:CKI787039 CUE787034:CUE787039 DEA787034:DEA787039 DNW787034:DNW787039 DXS787034:DXS787039 EHO787034:EHO787039 ERK787034:ERK787039 FBG787034:FBG787039 FLC787034:FLC787039 FUY787034:FUY787039 GEU787034:GEU787039 GOQ787034:GOQ787039 GYM787034:GYM787039 HII787034:HII787039 HSE787034:HSE787039 ICA787034:ICA787039 ILW787034:ILW787039 IVS787034:IVS787039 JFO787034:JFO787039 JPK787034:JPK787039 JZG787034:JZG787039 KJC787034:KJC787039 KSY787034:KSY787039 LCU787034:LCU787039 LMQ787034:LMQ787039 LWM787034:LWM787039 MGI787034:MGI787039 MQE787034:MQE787039 NAA787034:NAA787039 NJW787034:NJW787039 NTS787034:NTS787039 ODO787034:ODO787039 ONK787034:ONK787039 OXG787034:OXG787039 PHC787034:PHC787039 PQY787034:PQY787039 QAU787034:QAU787039 QKQ787034:QKQ787039 QUM787034:QUM787039 REI787034:REI787039 ROE787034:ROE787039 RYA787034:RYA787039 SHW787034:SHW787039 SRS787034:SRS787039 TBO787034:TBO787039 TLK787034:TLK787039 TVG787034:TVG787039 UFC787034:UFC787039 UOY787034:UOY787039 UYU787034:UYU787039 VIQ787034:VIQ787039 VSM787034:VSM787039 WCI787034:WCI787039 WME787034:WME787039 WWA787034:WWA787039 S852570:S852575 JO852570:JO852575 TK852570:TK852575 ADG852570:ADG852575 ANC852570:ANC852575 AWY852570:AWY852575 BGU852570:BGU852575 BQQ852570:BQQ852575 CAM852570:CAM852575 CKI852570:CKI852575 CUE852570:CUE852575 DEA852570:DEA852575 DNW852570:DNW852575 DXS852570:DXS852575 EHO852570:EHO852575 ERK852570:ERK852575 FBG852570:FBG852575 FLC852570:FLC852575 FUY852570:FUY852575 GEU852570:GEU852575 GOQ852570:GOQ852575 GYM852570:GYM852575 HII852570:HII852575 HSE852570:HSE852575 ICA852570:ICA852575 ILW852570:ILW852575 IVS852570:IVS852575 JFO852570:JFO852575 JPK852570:JPK852575 JZG852570:JZG852575 KJC852570:KJC852575 KSY852570:KSY852575 LCU852570:LCU852575 LMQ852570:LMQ852575 LWM852570:LWM852575 MGI852570:MGI852575 MQE852570:MQE852575 NAA852570:NAA852575 NJW852570:NJW852575 NTS852570:NTS852575 ODO852570:ODO852575 ONK852570:ONK852575 OXG852570:OXG852575 PHC852570:PHC852575 PQY852570:PQY852575 QAU852570:QAU852575 QKQ852570:QKQ852575 QUM852570:QUM852575 REI852570:REI852575 ROE852570:ROE852575 RYA852570:RYA852575 SHW852570:SHW852575 SRS852570:SRS852575 TBO852570:TBO852575 TLK852570:TLK852575 TVG852570:TVG852575 UFC852570:UFC852575 UOY852570:UOY852575 UYU852570:UYU852575 VIQ852570:VIQ852575 VSM852570:VSM852575 WCI852570:WCI852575 WME852570:WME852575 WWA852570:WWA852575 S918106:S918111 JO918106:JO918111 TK918106:TK918111 ADG918106:ADG918111 ANC918106:ANC918111 AWY918106:AWY918111 BGU918106:BGU918111 BQQ918106:BQQ918111 CAM918106:CAM918111 CKI918106:CKI918111 CUE918106:CUE918111 DEA918106:DEA918111 DNW918106:DNW918111 DXS918106:DXS918111 EHO918106:EHO918111 ERK918106:ERK918111 FBG918106:FBG918111 FLC918106:FLC918111 FUY918106:FUY918111 GEU918106:GEU918111 GOQ918106:GOQ918111 GYM918106:GYM918111 HII918106:HII918111 HSE918106:HSE918111 ICA918106:ICA918111 ILW918106:ILW918111 IVS918106:IVS918111 JFO918106:JFO918111 JPK918106:JPK918111 JZG918106:JZG918111 KJC918106:KJC918111 KSY918106:KSY918111 LCU918106:LCU918111 LMQ918106:LMQ918111 LWM918106:LWM918111 MGI918106:MGI918111 MQE918106:MQE918111 NAA918106:NAA918111 NJW918106:NJW918111 NTS918106:NTS918111 ODO918106:ODO918111 ONK918106:ONK918111 OXG918106:OXG918111 PHC918106:PHC918111 PQY918106:PQY918111 QAU918106:QAU918111 QKQ918106:QKQ918111 QUM918106:QUM918111 REI918106:REI918111 ROE918106:ROE918111 RYA918106:RYA918111 SHW918106:SHW918111 SRS918106:SRS918111 TBO918106:TBO918111 TLK918106:TLK918111 TVG918106:TVG918111 UFC918106:UFC918111 UOY918106:UOY918111 UYU918106:UYU918111 VIQ918106:VIQ918111 VSM918106:VSM918111 WCI918106:WCI918111 WME918106:WME918111 WWA918106:WWA918111 S983642:S983647 JO983642:JO983647 TK983642:TK983647 ADG983642:ADG983647 ANC983642:ANC983647 AWY983642:AWY983647 BGU983642:BGU983647 BQQ983642:BQQ983647 CAM983642:CAM983647 CKI983642:CKI983647 CUE983642:CUE983647 DEA983642:DEA983647 DNW983642:DNW983647 DXS983642:DXS983647 EHO983642:EHO983647 ERK983642:ERK983647 FBG983642:FBG983647 FLC983642:FLC983647 FUY983642:FUY983647 GEU983642:GEU983647 GOQ983642:GOQ983647 GYM983642:GYM983647 HII983642:HII983647 HSE983642:HSE983647 ICA983642:ICA983647 ILW983642:ILW983647 IVS983642:IVS983647 JFO983642:JFO983647 JPK983642:JPK983647 JZG983642:JZG983647 KJC983642:KJC983647 KSY983642:KSY983647 LCU983642:LCU983647 LMQ983642:LMQ983647 LWM983642:LWM983647 MGI983642:MGI983647 MQE983642:MQE983647 NAA983642:NAA983647 NJW983642:NJW983647 NTS983642:NTS983647 ODO983642:ODO983647 ONK983642:ONK983647 OXG983642:OXG983647 PHC983642:PHC983647 PQY983642:PQY983647 QAU983642:QAU983647 QKQ983642:QKQ983647 QUM983642:QUM983647 REI983642:REI983647 ROE983642:ROE983647 RYA983642:RYA983647 SHW983642:SHW983647 SRS983642:SRS983647 TBO983642:TBO983647 TLK983642:TLK983647 TVG983642:TVG983647 UFC983642:UFC983647 UOY983642:UOY983647 UYU983642:UYU983647 VIQ983642:VIQ983647 VSM983642:VSM983647 WCI983642:WCI983647 WME983642:WME983647 WWA983642:WWA983647 S377:S379 JO377:JO379 TK377:TK379 ADG377:ADG379 ANC377:ANC379 AWY377:AWY379 BGU377:BGU379 BQQ377:BQQ379 CAM377:CAM379 CKI377:CKI379 CUE377:CUE379 DEA377:DEA379 DNW377:DNW379 DXS377:DXS379 EHO377:EHO379 ERK377:ERK379 FBG377:FBG379 FLC377:FLC379 FUY377:FUY379 GEU377:GEU379 GOQ377:GOQ379 GYM377:GYM379 HII377:HII379 HSE377:HSE379 ICA377:ICA379 ILW377:ILW379 IVS377:IVS379 JFO377:JFO379 JPK377:JPK379 JZG377:JZG379 KJC377:KJC379 KSY377:KSY379 LCU377:LCU379 LMQ377:LMQ379 LWM377:LWM379 MGI377:MGI379 MQE377:MQE379 NAA377:NAA379 NJW377:NJW379 NTS377:NTS379 ODO377:ODO379 ONK377:ONK379 OXG377:OXG379 PHC377:PHC379 PQY377:PQY379 QAU377:QAU379 QKQ377:QKQ379 QUM377:QUM379 REI377:REI379 ROE377:ROE379 RYA377:RYA379 SHW377:SHW379 SRS377:SRS379 TBO377:TBO379 TLK377:TLK379 TVG377:TVG379 UFC377:UFC379 UOY377:UOY379 UYU377:UYU379 VIQ377:VIQ379 VSM377:VSM379 WCI377:WCI379 WME377:WME379 WWA377:WWA379 S65913:S65915 JO65913:JO65915 TK65913:TK65915 ADG65913:ADG65915 ANC65913:ANC65915 AWY65913:AWY65915 BGU65913:BGU65915 BQQ65913:BQQ65915 CAM65913:CAM65915 CKI65913:CKI65915 CUE65913:CUE65915 DEA65913:DEA65915 DNW65913:DNW65915 DXS65913:DXS65915 EHO65913:EHO65915 ERK65913:ERK65915 FBG65913:FBG65915 FLC65913:FLC65915 FUY65913:FUY65915 GEU65913:GEU65915 GOQ65913:GOQ65915 GYM65913:GYM65915 HII65913:HII65915 HSE65913:HSE65915 ICA65913:ICA65915 ILW65913:ILW65915 IVS65913:IVS65915 JFO65913:JFO65915 JPK65913:JPK65915 JZG65913:JZG65915 KJC65913:KJC65915 KSY65913:KSY65915 LCU65913:LCU65915 LMQ65913:LMQ65915 LWM65913:LWM65915 MGI65913:MGI65915 MQE65913:MQE65915 NAA65913:NAA65915 NJW65913:NJW65915 NTS65913:NTS65915 ODO65913:ODO65915 ONK65913:ONK65915 OXG65913:OXG65915 PHC65913:PHC65915 PQY65913:PQY65915 QAU65913:QAU65915 QKQ65913:QKQ65915 QUM65913:QUM65915 REI65913:REI65915 ROE65913:ROE65915 RYA65913:RYA65915 SHW65913:SHW65915 SRS65913:SRS65915 TBO65913:TBO65915 TLK65913:TLK65915 TVG65913:TVG65915 UFC65913:UFC65915 UOY65913:UOY65915 UYU65913:UYU65915 VIQ65913:VIQ65915 VSM65913:VSM65915 WCI65913:WCI65915 WME65913:WME65915 WWA65913:WWA65915 S131449:S131451 JO131449:JO131451 TK131449:TK131451 ADG131449:ADG131451 ANC131449:ANC131451 AWY131449:AWY131451 BGU131449:BGU131451 BQQ131449:BQQ131451 CAM131449:CAM131451 CKI131449:CKI131451 CUE131449:CUE131451 DEA131449:DEA131451 DNW131449:DNW131451 DXS131449:DXS131451 EHO131449:EHO131451 ERK131449:ERK131451 FBG131449:FBG131451 FLC131449:FLC131451 FUY131449:FUY131451 GEU131449:GEU131451 GOQ131449:GOQ131451 GYM131449:GYM131451 HII131449:HII131451 HSE131449:HSE131451 ICA131449:ICA131451 ILW131449:ILW131451 IVS131449:IVS131451 JFO131449:JFO131451 JPK131449:JPK131451 JZG131449:JZG131451 KJC131449:KJC131451 KSY131449:KSY131451 LCU131449:LCU131451 LMQ131449:LMQ131451 LWM131449:LWM131451 MGI131449:MGI131451 MQE131449:MQE131451 NAA131449:NAA131451 NJW131449:NJW131451 NTS131449:NTS131451 ODO131449:ODO131451 ONK131449:ONK131451 OXG131449:OXG131451 PHC131449:PHC131451 PQY131449:PQY131451 QAU131449:QAU131451 QKQ131449:QKQ131451 QUM131449:QUM131451 REI131449:REI131451 ROE131449:ROE131451 RYA131449:RYA131451 SHW131449:SHW131451 SRS131449:SRS131451 TBO131449:TBO131451 TLK131449:TLK131451 TVG131449:TVG131451 UFC131449:UFC131451 UOY131449:UOY131451 UYU131449:UYU131451 VIQ131449:VIQ131451 VSM131449:VSM131451 WCI131449:WCI131451 WME131449:WME131451 WWA131449:WWA131451 S196985:S196987 JO196985:JO196987 TK196985:TK196987 ADG196985:ADG196987 ANC196985:ANC196987 AWY196985:AWY196987 BGU196985:BGU196987 BQQ196985:BQQ196987 CAM196985:CAM196987 CKI196985:CKI196987 CUE196985:CUE196987 DEA196985:DEA196987 DNW196985:DNW196987 DXS196985:DXS196987 EHO196985:EHO196987 ERK196985:ERK196987 FBG196985:FBG196987 FLC196985:FLC196987 FUY196985:FUY196987 GEU196985:GEU196987 GOQ196985:GOQ196987 GYM196985:GYM196987 HII196985:HII196987 HSE196985:HSE196987 ICA196985:ICA196987 ILW196985:ILW196987 IVS196985:IVS196987 JFO196985:JFO196987 JPK196985:JPK196987 JZG196985:JZG196987 KJC196985:KJC196987 KSY196985:KSY196987 LCU196985:LCU196987 LMQ196985:LMQ196987 LWM196985:LWM196987 MGI196985:MGI196987 MQE196985:MQE196987 NAA196985:NAA196987 NJW196985:NJW196987 NTS196985:NTS196987 ODO196985:ODO196987 ONK196985:ONK196987 OXG196985:OXG196987 PHC196985:PHC196987 PQY196985:PQY196987 QAU196985:QAU196987 QKQ196985:QKQ196987 QUM196985:QUM196987 REI196985:REI196987 ROE196985:ROE196987 RYA196985:RYA196987 SHW196985:SHW196987 SRS196985:SRS196987 TBO196985:TBO196987 TLK196985:TLK196987 TVG196985:TVG196987 UFC196985:UFC196987 UOY196985:UOY196987 UYU196985:UYU196987 VIQ196985:VIQ196987 VSM196985:VSM196987 WCI196985:WCI196987 WME196985:WME196987 WWA196985:WWA196987 S262521:S262523 JO262521:JO262523 TK262521:TK262523 ADG262521:ADG262523 ANC262521:ANC262523 AWY262521:AWY262523 BGU262521:BGU262523 BQQ262521:BQQ262523 CAM262521:CAM262523 CKI262521:CKI262523 CUE262521:CUE262523 DEA262521:DEA262523 DNW262521:DNW262523 DXS262521:DXS262523 EHO262521:EHO262523 ERK262521:ERK262523 FBG262521:FBG262523 FLC262521:FLC262523 FUY262521:FUY262523 GEU262521:GEU262523 GOQ262521:GOQ262523 GYM262521:GYM262523 HII262521:HII262523 HSE262521:HSE262523 ICA262521:ICA262523 ILW262521:ILW262523 IVS262521:IVS262523 JFO262521:JFO262523 JPK262521:JPK262523 JZG262521:JZG262523 KJC262521:KJC262523 KSY262521:KSY262523 LCU262521:LCU262523 LMQ262521:LMQ262523 LWM262521:LWM262523 MGI262521:MGI262523 MQE262521:MQE262523 NAA262521:NAA262523 NJW262521:NJW262523 NTS262521:NTS262523 ODO262521:ODO262523 ONK262521:ONK262523 OXG262521:OXG262523 PHC262521:PHC262523 PQY262521:PQY262523 QAU262521:QAU262523 QKQ262521:QKQ262523 QUM262521:QUM262523 REI262521:REI262523 ROE262521:ROE262523 RYA262521:RYA262523 SHW262521:SHW262523 SRS262521:SRS262523 TBO262521:TBO262523 TLK262521:TLK262523 TVG262521:TVG262523 UFC262521:UFC262523 UOY262521:UOY262523 UYU262521:UYU262523 VIQ262521:VIQ262523 VSM262521:VSM262523 WCI262521:WCI262523 WME262521:WME262523 WWA262521:WWA262523 S328057:S328059 JO328057:JO328059 TK328057:TK328059 ADG328057:ADG328059 ANC328057:ANC328059 AWY328057:AWY328059 BGU328057:BGU328059 BQQ328057:BQQ328059 CAM328057:CAM328059 CKI328057:CKI328059 CUE328057:CUE328059 DEA328057:DEA328059 DNW328057:DNW328059 DXS328057:DXS328059 EHO328057:EHO328059 ERK328057:ERK328059 FBG328057:FBG328059 FLC328057:FLC328059 FUY328057:FUY328059 GEU328057:GEU328059 GOQ328057:GOQ328059 GYM328057:GYM328059 HII328057:HII328059 HSE328057:HSE328059 ICA328057:ICA328059 ILW328057:ILW328059 IVS328057:IVS328059 JFO328057:JFO328059 JPK328057:JPK328059 JZG328057:JZG328059 KJC328057:KJC328059 KSY328057:KSY328059 LCU328057:LCU328059 LMQ328057:LMQ328059 LWM328057:LWM328059 MGI328057:MGI328059 MQE328057:MQE328059 NAA328057:NAA328059 NJW328057:NJW328059 NTS328057:NTS328059 ODO328057:ODO328059 ONK328057:ONK328059 OXG328057:OXG328059 PHC328057:PHC328059 PQY328057:PQY328059 QAU328057:QAU328059 QKQ328057:QKQ328059 QUM328057:QUM328059 REI328057:REI328059 ROE328057:ROE328059 RYA328057:RYA328059 SHW328057:SHW328059 SRS328057:SRS328059 TBO328057:TBO328059 TLK328057:TLK328059 TVG328057:TVG328059 UFC328057:UFC328059 UOY328057:UOY328059 UYU328057:UYU328059 VIQ328057:VIQ328059 VSM328057:VSM328059 WCI328057:WCI328059 WME328057:WME328059 WWA328057:WWA328059 S393593:S393595 JO393593:JO393595 TK393593:TK393595 ADG393593:ADG393595 ANC393593:ANC393595 AWY393593:AWY393595 BGU393593:BGU393595 BQQ393593:BQQ393595 CAM393593:CAM393595 CKI393593:CKI393595 CUE393593:CUE393595 DEA393593:DEA393595 DNW393593:DNW393595 DXS393593:DXS393595 EHO393593:EHO393595 ERK393593:ERK393595 FBG393593:FBG393595 FLC393593:FLC393595 FUY393593:FUY393595 GEU393593:GEU393595 GOQ393593:GOQ393595 GYM393593:GYM393595 HII393593:HII393595 HSE393593:HSE393595 ICA393593:ICA393595 ILW393593:ILW393595 IVS393593:IVS393595 JFO393593:JFO393595 JPK393593:JPK393595 JZG393593:JZG393595 KJC393593:KJC393595 KSY393593:KSY393595 LCU393593:LCU393595 LMQ393593:LMQ393595 LWM393593:LWM393595 MGI393593:MGI393595 MQE393593:MQE393595 NAA393593:NAA393595 NJW393593:NJW393595 NTS393593:NTS393595 ODO393593:ODO393595 ONK393593:ONK393595 OXG393593:OXG393595 PHC393593:PHC393595 PQY393593:PQY393595 QAU393593:QAU393595 QKQ393593:QKQ393595 QUM393593:QUM393595 REI393593:REI393595 ROE393593:ROE393595 RYA393593:RYA393595 SHW393593:SHW393595 SRS393593:SRS393595 TBO393593:TBO393595 TLK393593:TLK393595 TVG393593:TVG393595 UFC393593:UFC393595 UOY393593:UOY393595 UYU393593:UYU393595 VIQ393593:VIQ393595 VSM393593:VSM393595 WCI393593:WCI393595 WME393593:WME393595 WWA393593:WWA393595 S459129:S459131 JO459129:JO459131 TK459129:TK459131 ADG459129:ADG459131 ANC459129:ANC459131 AWY459129:AWY459131 BGU459129:BGU459131 BQQ459129:BQQ459131 CAM459129:CAM459131 CKI459129:CKI459131 CUE459129:CUE459131 DEA459129:DEA459131 DNW459129:DNW459131 DXS459129:DXS459131 EHO459129:EHO459131 ERK459129:ERK459131 FBG459129:FBG459131 FLC459129:FLC459131 FUY459129:FUY459131 GEU459129:GEU459131 GOQ459129:GOQ459131 GYM459129:GYM459131 HII459129:HII459131 HSE459129:HSE459131 ICA459129:ICA459131 ILW459129:ILW459131 IVS459129:IVS459131 JFO459129:JFO459131 JPK459129:JPK459131 JZG459129:JZG459131 KJC459129:KJC459131 KSY459129:KSY459131 LCU459129:LCU459131 LMQ459129:LMQ459131 LWM459129:LWM459131 MGI459129:MGI459131 MQE459129:MQE459131 NAA459129:NAA459131 NJW459129:NJW459131 NTS459129:NTS459131 ODO459129:ODO459131 ONK459129:ONK459131 OXG459129:OXG459131 PHC459129:PHC459131 PQY459129:PQY459131 QAU459129:QAU459131 QKQ459129:QKQ459131 QUM459129:QUM459131 REI459129:REI459131 ROE459129:ROE459131 RYA459129:RYA459131 SHW459129:SHW459131 SRS459129:SRS459131 TBO459129:TBO459131 TLK459129:TLK459131 TVG459129:TVG459131 UFC459129:UFC459131 UOY459129:UOY459131 UYU459129:UYU459131 VIQ459129:VIQ459131 VSM459129:VSM459131 WCI459129:WCI459131 WME459129:WME459131 WWA459129:WWA459131 S524665:S524667 JO524665:JO524667 TK524665:TK524667 ADG524665:ADG524667 ANC524665:ANC524667 AWY524665:AWY524667 BGU524665:BGU524667 BQQ524665:BQQ524667 CAM524665:CAM524667 CKI524665:CKI524667 CUE524665:CUE524667 DEA524665:DEA524667 DNW524665:DNW524667 DXS524665:DXS524667 EHO524665:EHO524667 ERK524665:ERK524667 FBG524665:FBG524667 FLC524665:FLC524667 FUY524665:FUY524667 GEU524665:GEU524667 GOQ524665:GOQ524667 GYM524665:GYM524667 HII524665:HII524667 HSE524665:HSE524667 ICA524665:ICA524667 ILW524665:ILW524667 IVS524665:IVS524667 JFO524665:JFO524667 JPK524665:JPK524667 JZG524665:JZG524667 KJC524665:KJC524667 KSY524665:KSY524667 LCU524665:LCU524667 LMQ524665:LMQ524667 LWM524665:LWM524667 MGI524665:MGI524667 MQE524665:MQE524667 NAA524665:NAA524667 NJW524665:NJW524667 NTS524665:NTS524667 ODO524665:ODO524667 ONK524665:ONK524667 OXG524665:OXG524667 PHC524665:PHC524667 PQY524665:PQY524667 QAU524665:QAU524667 QKQ524665:QKQ524667 QUM524665:QUM524667 REI524665:REI524667 ROE524665:ROE524667 RYA524665:RYA524667 SHW524665:SHW524667 SRS524665:SRS524667 TBO524665:TBO524667 TLK524665:TLK524667 TVG524665:TVG524667 UFC524665:UFC524667 UOY524665:UOY524667 UYU524665:UYU524667 VIQ524665:VIQ524667 VSM524665:VSM524667 WCI524665:WCI524667 WME524665:WME524667 WWA524665:WWA524667 S590201:S590203 JO590201:JO590203 TK590201:TK590203 ADG590201:ADG590203 ANC590201:ANC590203 AWY590201:AWY590203 BGU590201:BGU590203 BQQ590201:BQQ590203 CAM590201:CAM590203 CKI590201:CKI590203 CUE590201:CUE590203 DEA590201:DEA590203 DNW590201:DNW590203 DXS590201:DXS590203 EHO590201:EHO590203 ERK590201:ERK590203 FBG590201:FBG590203 FLC590201:FLC590203 FUY590201:FUY590203 GEU590201:GEU590203 GOQ590201:GOQ590203 GYM590201:GYM590203 HII590201:HII590203 HSE590201:HSE590203 ICA590201:ICA590203 ILW590201:ILW590203 IVS590201:IVS590203 JFO590201:JFO590203 JPK590201:JPK590203 JZG590201:JZG590203 KJC590201:KJC590203 KSY590201:KSY590203 LCU590201:LCU590203 LMQ590201:LMQ590203 LWM590201:LWM590203 MGI590201:MGI590203 MQE590201:MQE590203 NAA590201:NAA590203 NJW590201:NJW590203 NTS590201:NTS590203 ODO590201:ODO590203 ONK590201:ONK590203 OXG590201:OXG590203 PHC590201:PHC590203 PQY590201:PQY590203 QAU590201:QAU590203 QKQ590201:QKQ590203 QUM590201:QUM590203 REI590201:REI590203 ROE590201:ROE590203 RYA590201:RYA590203 SHW590201:SHW590203 SRS590201:SRS590203 TBO590201:TBO590203 TLK590201:TLK590203 TVG590201:TVG590203 UFC590201:UFC590203 UOY590201:UOY590203 UYU590201:UYU590203 VIQ590201:VIQ590203 VSM590201:VSM590203 WCI590201:WCI590203 WME590201:WME590203 WWA590201:WWA590203 S655737:S655739 JO655737:JO655739 TK655737:TK655739 ADG655737:ADG655739 ANC655737:ANC655739 AWY655737:AWY655739 BGU655737:BGU655739 BQQ655737:BQQ655739 CAM655737:CAM655739 CKI655737:CKI655739 CUE655737:CUE655739 DEA655737:DEA655739 DNW655737:DNW655739 DXS655737:DXS655739 EHO655737:EHO655739 ERK655737:ERK655739 FBG655737:FBG655739 FLC655737:FLC655739 FUY655737:FUY655739 GEU655737:GEU655739 GOQ655737:GOQ655739 GYM655737:GYM655739 HII655737:HII655739 HSE655737:HSE655739 ICA655737:ICA655739 ILW655737:ILW655739 IVS655737:IVS655739 JFO655737:JFO655739 JPK655737:JPK655739 JZG655737:JZG655739 KJC655737:KJC655739 KSY655737:KSY655739 LCU655737:LCU655739 LMQ655737:LMQ655739 LWM655737:LWM655739 MGI655737:MGI655739 MQE655737:MQE655739 NAA655737:NAA655739 NJW655737:NJW655739 NTS655737:NTS655739 ODO655737:ODO655739 ONK655737:ONK655739 OXG655737:OXG655739 PHC655737:PHC655739 PQY655737:PQY655739 QAU655737:QAU655739 QKQ655737:QKQ655739 QUM655737:QUM655739 REI655737:REI655739 ROE655737:ROE655739 RYA655737:RYA655739 SHW655737:SHW655739 SRS655737:SRS655739 TBO655737:TBO655739 TLK655737:TLK655739 TVG655737:TVG655739 UFC655737:UFC655739 UOY655737:UOY655739 UYU655737:UYU655739 VIQ655737:VIQ655739 VSM655737:VSM655739 WCI655737:WCI655739 WME655737:WME655739 WWA655737:WWA655739 S721273:S721275 JO721273:JO721275 TK721273:TK721275 ADG721273:ADG721275 ANC721273:ANC721275 AWY721273:AWY721275 BGU721273:BGU721275 BQQ721273:BQQ721275 CAM721273:CAM721275 CKI721273:CKI721275 CUE721273:CUE721275 DEA721273:DEA721275 DNW721273:DNW721275 DXS721273:DXS721275 EHO721273:EHO721275 ERK721273:ERK721275 FBG721273:FBG721275 FLC721273:FLC721275 FUY721273:FUY721275 GEU721273:GEU721275 GOQ721273:GOQ721275 GYM721273:GYM721275 HII721273:HII721275 HSE721273:HSE721275 ICA721273:ICA721275 ILW721273:ILW721275 IVS721273:IVS721275 JFO721273:JFO721275 JPK721273:JPK721275 JZG721273:JZG721275 KJC721273:KJC721275 KSY721273:KSY721275 LCU721273:LCU721275 LMQ721273:LMQ721275 LWM721273:LWM721275 MGI721273:MGI721275 MQE721273:MQE721275 NAA721273:NAA721275 NJW721273:NJW721275 NTS721273:NTS721275 ODO721273:ODO721275 ONK721273:ONK721275 OXG721273:OXG721275 PHC721273:PHC721275 PQY721273:PQY721275 QAU721273:QAU721275 QKQ721273:QKQ721275 QUM721273:QUM721275 REI721273:REI721275 ROE721273:ROE721275 RYA721273:RYA721275 SHW721273:SHW721275 SRS721273:SRS721275 TBO721273:TBO721275 TLK721273:TLK721275 TVG721273:TVG721275 UFC721273:UFC721275 UOY721273:UOY721275 UYU721273:UYU721275 VIQ721273:VIQ721275 VSM721273:VSM721275 WCI721273:WCI721275 WME721273:WME721275 WWA721273:WWA721275 S786809:S786811 JO786809:JO786811 TK786809:TK786811 ADG786809:ADG786811 ANC786809:ANC786811 AWY786809:AWY786811 BGU786809:BGU786811 BQQ786809:BQQ786811 CAM786809:CAM786811 CKI786809:CKI786811 CUE786809:CUE786811 DEA786809:DEA786811 DNW786809:DNW786811 DXS786809:DXS786811 EHO786809:EHO786811 ERK786809:ERK786811 FBG786809:FBG786811 FLC786809:FLC786811 FUY786809:FUY786811 GEU786809:GEU786811 GOQ786809:GOQ786811 GYM786809:GYM786811 HII786809:HII786811 HSE786809:HSE786811 ICA786809:ICA786811 ILW786809:ILW786811 IVS786809:IVS786811 JFO786809:JFO786811 JPK786809:JPK786811 JZG786809:JZG786811 KJC786809:KJC786811 KSY786809:KSY786811 LCU786809:LCU786811 LMQ786809:LMQ786811 LWM786809:LWM786811 MGI786809:MGI786811 MQE786809:MQE786811 NAA786809:NAA786811 NJW786809:NJW786811 NTS786809:NTS786811 ODO786809:ODO786811 ONK786809:ONK786811 OXG786809:OXG786811 PHC786809:PHC786811 PQY786809:PQY786811 QAU786809:QAU786811 QKQ786809:QKQ786811 QUM786809:QUM786811 REI786809:REI786811 ROE786809:ROE786811 RYA786809:RYA786811 SHW786809:SHW786811 SRS786809:SRS786811 TBO786809:TBO786811 TLK786809:TLK786811 TVG786809:TVG786811 UFC786809:UFC786811 UOY786809:UOY786811 UYU786809:UYU786811 VIQ786809:VIQ786811 VSM786809:VSM786811 WCI786809:WCI786811 WME786809:WME786811 WWA786809:WWA786811 S852345:S852347 JO852345:JO852347 TK852345:TK852347 ADG852345:ADG852347 ANC852345:ANC852347 AWY852345:AWY852347 BGU852345:BGU852347 BQQ852345:BQQ852347 CAM852345:CAM852347 CKI852345:CKI852347 CUE852345:CUE852347 DEA852345:DEA852347 DNW852345:DNW852347 DXS852345:DXS852347 EHO852345:EHO852347 ERK852345:ERK852347 FBG852345:FBG852347 FLC852345:FLC852347 FUY852345:FUY852347 GEU852345:GEU852347 GOQ852345:GOQ852347 GYM852345:GYM852347 HII852345:HII852347 HSE852345:HSE852347 ICA852345:ICA852347 ILW852345:ILW852347 IVS852345:IVS852347 JFO852345:JFO852347 JPK852345:JPK852347 JZG852345:JZG852347 KJC852345:KJC852347 KSY852345:KSY852347 LCU852345:LCU852347 LMQ852345:LMQ852347 LWM852345:LWM852347 MGI852345:MGI852347 MQE852345:MQE852347 NAA852345:NAA852347 NJW852345:NJW852347 NTS852345:NTS852347 ODO852345:ODO852347 ONK852345:ONK852347 OXG852345:OXG852347 PHC852345:PHC852347 PQY852345:PQY852347 QAU852345:QAU852347 QKQ852345:QKQ852347 QUM852345:QUM852347 REI852345:REI852347 ROE852345:ROE852347 RYA852345:RYA852347 SHW852345:SHW852347 SRS852345:SRS852347 TBO852345:TBO852347 TLK852345:TLK852347 TVG852345:TVG852347 UFC852345:UFC852347 UOY852345:UOY852347 UYU852345:UYU852347 VIQ852345:VIQ852347 VSM852345:VSM852347 WCI852345:WCI852347 WME852345:WME852347 WWA852345:WWA852347 S917881:S917883 JO917881:JO917883 TK917881:TK917883 ADG917881:ADG917883 ANC917881:ANC917883 AWY917881:AWY917883 BGU917881:BGU917883 BQQ917881:BQQ917883 CAM917881:CAM917883 CKI917881:CKI917883 CUE917881:CUE917883 DEA917881:DEA917883 DNW917881:DNW917883 DXS917881:DXS917883 EHO917881:EHO917883 ERK917881:ERK917883 FBG917881:FBG917883 FLC917881:FLC917883 FUY917881:FUY917883 GEU917881:GEU917883 GOQ917881:GOQ917883 GYM917881:GYM917883 HII917881:HII917883 HSE917881:HSE917883 ICA917881:ICA917883 ILW917881:ILW917883 IVS917881:IVS917883 JFO917881:JFO917883 JPK917881:JPK917883 JZG917881:JZG917883 KJC917881:KJC917883 KSY917881:KSY917883 LCU917881:LCU917883 LMQ917881:LMQ917883 LWM917881:LWM917883 MGI917881:MGI917883 MQE917881:MQE917883 NAA917881:NAA917883 NJW917881:NJW917883 NTS917881:NTS917883 ODO917881:ODO917883 ONK917881:ONK917883 OXG917881:OXG917883 PHC917881:PHC917883 PQY917881:PQY917883 QAU917881:QAU917883 QKQ917881:QKQ917883 QUM917881:QUM917883 REI917881:REI917883 ROE917881:ROE917883 RYA917881:RYA917883 SHW917881:SHW917883 SRS917881:SRS917883 TBO917881:TBO917883 TLK917881:TLK917883 TVG917881:TVG917883 UFC917881:UFC917883 UOY917881:UOY917883 UYU917881:UYU917883 VIQ917881:VIQ917883 VSM917881:VSM917883 WCI917881:WCI917883 WME917881:WME917883 WWA917881:WWA917883 S983417:S983419 JO983417:JO983419 TK983417:TK983419 ADG983417:ADG983419 ANC983417:ANC983419 AWY983417:AWY983419 BGU983417:BGU983419 BQQ983417:BQQ983419 CAM983417:CAM983419 CKI983417:CKI983419 CUE983417:CUE983419 DEA983417:DEA983419 DNW983417:DNW983419 DXS983417:DXS983419 EHO983417:EHO983419 ERK983417:ERK983419 FBG983417:FBG983419 FLC983417:FLC983419 FUY983417:FUY983419 GEU983417:GEU983419 GOQ983417:GOQ983419 GYM983417:GYM983419 HII983417:HII983419 HSE983417:HSE983419 ICA983417:ICA983419 ILW983417:ILW983419 IVS983417:IVS983419 JFO983417:JFO983419 JPK983417:JPK983419 JZG983417:JZG983419 KJC983417:KJC983419 KSY983417:KSY983419 LCU983417:LCU983419 LMQ983417:LMQ983419 LWM983417:LWM983419 MGI983417:MGI983419 MQE983417:MQE983419 NAA983417:NAA983419 NJW983417:NJW983419 NTS983417:NTS983419 ODO983417:ODO983419 ONK983417:ONK983419 OXG983417:OXG983419 PHC983417:PHC983419 PQY983417:PQY983419 QAU983417:QAU983419 QKQ983417:QKQ983419 QUM983417:QUM983419 REI983417:REI983419 ROE983417:ROE983419 RYA983417:RYA983419 SHW983417:SHW983419 SRS983417:SRS983419 TBO983417:TBO983419 TLK983417:TLK983419 TVG983417:TVG983419 UFC983417:UFC983419 UOY983417:UOY983419 UYU983417:UYU983419 VIQ983417:VIQ983419 VSM983417:VSM983419 WCI983417:WCI983419 WME983417:WME983419 WWA983417:WWA983419 S124:S137 JO124:JO137 TK124:TK137 ADG124:ADG137 ANC124:ANC137 AWY124:AWY137 BGU124:BGU137 BQQ124:BQQ137 CAM124:CAM137 CKI124:CKI137 CUE124:CUE137 DEA124:DEA137 DNW124:DNW137 DXS124:DXS137 EHO124:EHO137 ERK124:ERK137 FBG124:FBG137 FLC124:FLC137 FUY124:FUY137 GEU124:GEU137 GOQ124:GOQ137 GYM124:GYM137 HII124:HII137 HSE124:HSE137 ICA124:ICA137 ILW124:ILW137 IVS124:IVS137 JFO124:JFO137 JPK124:JPK137 JZG124:JZG137 KJC124:KJC137 KSY124:KSY137 LCU124:LCU137 LMQ124:LMQ137 LWM124:LWM137 MGI124:MGI137 MQE124:MQE137 NAA124:NAA137 NJW124:NJW137 NTS124:NTS137 ODO124:ODO137 ONK124:ONK137 OXG124:OXG137 PHC124:PHC137 PQY124:PQY137 QAU124:QAU137 QKQ124:QKQ137 QUM124:QUM137 REI124:REI137 ROE124:ROE137 RYA124:RYA137 SHW124:SHW137 SRS124:SRS137 TBO124:TBO137 TLK124:TLK137 TVG124:TVG137 UFC124:UFC137 UOY124:UOY137 UYU124:UYU137 VIQ124:VIQ137 VSM124:VSM137 WCI124:WCI137 WME124:WME137 WWA124:WWA137 S65660:S65673 JO65660:JO65673 TK65660:TK65673 ADG65660:ADG65673 ANC65660:ANC65673 AWY65660:AWY65673 BGU65660:BGU65673 BQQ65660:BQQ65673 CAM65660:CAM65673 CKI65660:CKI65673 CUE65660:CUE65673 DEA65660:DEA65673 DNW65660:DNW65673 DXS65660:DXS65673 EHO65660:EHO65673 ERK65660:ERK65673 FBG65660:FBG65673 FLC65660:FLC65673 FUY65660:FUY65673 GEU65660:GEU65673 GOQ65660:GOQ65673 GYM65660:GYM65673 HII65660:HII65673 HSE65660:HSE65673 ICA65660:ICA65673 ILW65660:ILW65673 IVS65660:IVS65673 JFO65660:JFO65673 JPK65660:JPK65673 JZG65660:JZG65673 KJC65660:KJC65673 KSY65660:KSY65673 LCU65660:LCU65673 LMQ65660:LMQ65673 LWM65660:LWM65673 MGI65660:MGI65673 MQE65660:MQE65673 NAA65660:NAA65673 NJW65660:NJW65673 NTS65660:NTS65673 ODO65660:ODO65673 ONK65660:ONK65673 OXG65660:OXG65673 PHC65660:PHC65673 PQY65660:PQY65673 QAU65660:QAU65673 QKQ65660:QKQ65673 QUM65660:QUM65673 REI65660:REI65673 ROE65660:ROE65673 RYA65660:RYA65673 SHW65660:SHW65673 SRS65660:SRS65673 TBO65660:TBO65673 TLK65660:TLK65673 TVG65660:TVG65673 UFC65660:UFC65673 UOY65660:UOY65673 UYU65660:UYU65673 VIQ65660:VIQ65673 VSM65660:VSM65673 WCI65660:WCI65673 WME65660:WME65673 WWA65660:WWA65673 S131196:S131209 JO131196:JO131209 TK131196:TK131209 ADG131196:ADG131209 ANC131196:ANC131209 AWY131196:AWY131209 BGU131196:BGU131209 BQQ131196:BQQ131209 CAM131196:CAM131209 CKI131196:CKI131209 CUE131196:CUE131209 DEA131196:DEA131209 DNW131196:DNW131209 DXS131196:DXS131209 EHO131196:EHO131209 ERK131196:ERK131209 FBG131196:FBG131209 FLC131196:FLC131209 FUY131196:FUY131209 GEU131196:GEU131209 GOQ131196:GOQ131209 GYM131196:GYM131209 HII131196:HII131209 HSE131196:HSE131209 ICA131196:ICA131209 ILW131196:ILW131209 IVS131196:IVS131209 JFO131196:JFO131209 JPK131196:JPK131209 JZG131196:JZG131209 KJC131196:KJC131209 KSY131196:KSY131209 LCU131196:LCU131209 LMQ131196:LMQ131209 LWM131196:LWM131209 MGI131196:MGI131209 MQE131196:MQE131209 NAA131196:NAA131209 NJW131196:NJW131209 NTS131196:NTS131209 ODO131196:ODO131209 ONK131196:ONK131209 OXG131196:OXG131209 PHC131196:PHC131209 PQY131196:PQY131209 QAU131196:QAU131209 QKQ131196:QKQ131209 QUM131196:QUM131209 REI131196:REI131209 ROE131196:ROE131209 RYA131196:RYA131209 SHW131196:SHW131209 SRS131196:SRS131209 TBO131196:TBO131209 TLK131196:TLK131209 TVG131196:TVG131209 UFC131196:UFC131209 UOY131196:UOY131209 UYU131196:UYU131209 VIQ131196:VIQ131209 VSM131196:VSM131209 WCI131196:WCI131209 WME131196:WME131209 WWA131196:WWA131209 S196732:S196745 JO196732:JO196745 TK196732:TK196745 ADG196732:ADG196745 ANC196732:ANC196745 AWY196732:AWY196745 BGU196732:BGU196745 BQQ196732:BQQ196745 CAM196732:CAM196745 CKI196732:CKI196745 CUE196732:CUE196745 DEA196732:DEA196745 DNW196732:DNW196745 DXS196732:DXS196745 EHO196732:EHO196745 ERK196732:ERK196745 FBG196732:FBG196745 FLC196732:FLC196745 FUY196732:FUY196745 GEU196732:GEU196745 GOQ196732:GOQ196745 GYM196732:GYM196745 HII196732:HII196745 HSE196732:HSE196745 ICA196732:ICA196745 ILW196732:ILW196745 IVS196732:IVS196745 JFO196732:JFO196745 JPK196732:JPK196745 JZG196732:JZG196745 KJC196732:KJC196745 KSY196732:KSY196745 LCU196732:LCU196745 LMQ196732:LMQ196745 LWM196732:LWM196745 MGI196732:MGI196745 MQE196732:MQE196745 NAA196732:NAA196745 NJW196732:NJW196745 NTS196732:NTS196745 ODO196732:ODO196745 ONK196732:ONK196745 OXG196732:OXG196745 PHC196732:PHC196745 PQY196732:PQY196745 QAU196732:QAU196745 QKQ196732:QKQ196745 QUM196732:QUM196745 REI196732:REI196745 ROE196732:ROE196745 RYA196732:RYA196745 SHW196732:SHW196745 SRS196732:SRS196745 TBO196732:TBO196745 TLK196732:TLK196745 TVG196732:TVG196745 UFC196732:UFC196745 UOY196732:UOY196745 UYU196732:UYU196745 VIQ196732:VIQ196745 VSM196732:VSM196745 WCI196732:WCI196745 WME196732:WME196745 WWA196732:WWA196745 S262268:S262281 JO262268:JO262281 TK262268:TK262281 ADG262268:ADG262281 ANC262268:ANC262281 AWY262268:AWY262281 BGU262268:BGU262281 BQQ262268:BQQ262281 CAM262268:CAM262281 CKI262268:CKI262281 CUE262268:CUE262281 DEA262268:DEA262281 DNW262268:DNW262281 DXS262268:DXS262281 EHO262268:EHO262281 ERK262268:ERK262281 FBG262268:FBG262281 FLC262268:FLC262281 FUY262268:FUY262281 GEU262268:GEU262281 GOQ262268:GOQ262281 GYM262268:GYM262281 HII262268:HII262281 HSE262268:HSE262281 ICA262268:ICA262281 ILW262268:ILW262281 IVS262268:IVS262281 JFO262268:JFO262281 JPK262268:JPK262281 JZG262268:JZG262281 KJC262268:KJC262281 KSY262268:KSY262281 LCU262268:LCU262281 LMQ262268:LMQ262281 LWM262268:LWM262281 MGI262268:MGI262281 MQE262268:MQE262281 NAA262268:NAA262281 NJW262268:NJW262281 NTS262268:NTS262281 ODO262268:ODO262281 ONK262268:ONK262281 OXG262268:OXG262281 PHC262268:PHC262281 PQY262268:PQY262281 QAU262268:QAU262281 QKQ262268:QKQ262281 QUM262268:QUM262281 REI262268:REI262281 ROE262268:ROE262281 RYA262268:RYA262281 SHW262268:SHW262281 SRS262268:SRS262281 TBO262268:TBO262281 TLK262268:TLK262281 TVG262268:TVG262281 UFC262268:UFC262281 UOY262268:UOY262281 UYU262268:UYU262281 VIQ262268:VIQ262281 VSM262268:VSM262281 WCI262268:WCI262281 WME262268:WME262281 WWA262268:WWA262281 S327804:S327817 JO327804:JO327817 TK327804:TK327817 ADG327804:ADG327817 ANC327804:ANC327817 AWY327804:AWY327817 BGU327804:BGU327817 BQQ327804:BQQ327817 CAM327804:CAM327817 CKI327804:CKI327817 CUE327804:CUE327817 DEA327804:DEA327817 DNW327804:DNW327817 DXS327804:DXS327817 EHO327804:EHO327817 ERK327804:ERK327817 FBG327804:FBG327817 FLC327804:FLC327817 FUY327804:FUY327817 GEU327804:GEU327817 GOQ327804:GOQ327817 GYM327804:GYM327817 HII327804:HII327817 HSE327804:HSE327817 ICA327804:ICA327817 ILW327804:ILW327817 IVS327804:IVS327817 JFO327804:JFO327817 JPK327804:JPK327817 JZG327804:JZG327817 KJC327804:KJC327817 KSY327804:KSY327817 LCU327804:LCU327817 LMQ327804:LMQ327817 LWM327804:LWM327817 MGI327804:MGI327817 MQE327804:MQE327817 NAA327804:NAA327817 NJW327804:NJW327817 NTS327804:NTS327817 ODO327804:ODO327817 ONK327804:ONK327817 OXG327804:OXG327817 PHC327804:PHC327817 PQY327804:PQY327817 QAU327804:QAU327817 QKQ327804:QKQ327817 QUM327804:QUM327817 REI327804:REI327817 ROE327804:ROE327817 RYA327804:RYA327817 SHW327804:SHW327817 SRS327804:SRS327817 TBO327804:TBO327817 TLK327804:TLK327817 TVG327804:TVG327817 UFC327804:UFC327817 UOY327804:UOY327817 UYU327804:UYU327817 VIQ327804:VIQ327817 VSM327804:VSM327817 WCI327804:WCI327817 WME327804:WME327817 WWA327804:WWA327817 S393340:S393353 JO393340:JO393353 TK393340:TK393353 ADG393340:ADG393353 ANC393340:ANC393353 AWY393340:AWY393353 BGU393340:BGU393353 BQQ393340:BQQ393353 CAM393340:CAM393353 CKI393340:CKI393353 CUE393340:CUE393353 DEA393340:DEA393353 DNW393340:DNW393353 DXS393340:DXS393353 EHO393340:EHO393353 ERK393340:ERK393353 FBG393340:FBG393353 FLC393340:FLC393353 FUY393340:FUY393353 GEU393340:GEU393353 GOQ393340:GOQ393353 GYM393340:GYM393353 HII393340:HII393353 HSE393340:HSE393353 ICA393340:ICA393353 ILW393340:ILW393353 IVS393340:IVS393353 JFO393340:JFO393353 JPK393340:JPK393353 JZG393340:JZG393353 KJC393340:KJC393353 KSY393340:KSY393353 LCU393340:LCU393353 LMQ393340:LMQ393353 LWM393340:LWM393353 MGI393340:MGI393353 MQE393340:MQE393353 NAA393340:NAA393353 NJW393340:NJW393353 NTS393340:NTS393353 ODO393340:ODO393353 ONK393340:ONK393353 OXG393340:OXG393353 PHC393340:PHC393353 PQY393340:PQY393353 QAU393340:QAU393353 QKQ393340:QKQ393353 QUM393340:QUM393353 REI393340:REI393353 ROE393340:ROE393353 RYA393340:RYA393353 SHW393340:SHW393353 SRS393340:SRS393353 TBO393340:TBO393353 TLK393340:TLK393353 TVG393340:TVG393353 UFC393340:UFC393353 UOY393340:UOY393353 UYU393340:UYU393353 VIQ393340:VIQ393353 VSM393340:VSM393353 WCI393340:WCI393353 WME393340:WME393353 WWA393340:WWA393353 S458876:S458889 JO458876:JO458889 TK458876:TK458889 ADG458876:ADG458889 ANC458876:ANC458889 AWY458876:AWY458889 BGU458876:BGU458889 BQQ458876:BQQ458889 CAM458876:CAM458889 CKI458876:CKI458889 CUE458876:CUE458889 DEA458876:DEA458889 DNW458876:DNW458889 DXS458876:DXS458889 EHO458876:EHO458889 ERK458876:ERK458889 FBG458876:FBG458889 FLC458876:FLC458889 FUY458876:FUY458889 GEU458876:GEU458889 GOQ458876:GOQ458889 GYM458876:GYM458889 HII458876:HII458889 HSE458876:HSE458889 ICA458876:ICA458889 ILW458876:ILW458889 IVS458876:IVS458889 JFO458876:JFO458889 JPK458876:JPK458889 JZG458876:JZG458889 KJC458876:KJC458889 KSY458876:KSY458889 LCU458876:LCU458889 LMQ458876:LMQ458889 LWM458876:LWM458889 MGI458876:MGI458889 MQE458876:MQE458889 NAA458876:NAA458889 NJW458876:NJW458889 NTS458876:NTS458889 ODO458876:ODO458889 ONK458876:ONK458889 OXG458876:OXG458889 PHC458876:PHC458889 PQY458876:PQY458889 QAU458876:QAU458889 QKQ458876:QKQ458889 QUM458876:QUM458889 REI458876:REI458889 ROE458876:ROE458889 RYA458876:RYA458889 SHW458876:SHW458889 SRS458876:SRS458889 TBO458876:TBO458889 TLK458876:TLK458889 TVG458876:TVG458889 UFC458876:UFC458889 UOY458876:UOY458889 UYU458876:UYU458889 VIQ458876:VIQ458889 VSM458876:VSM458889 WCI458876:WCI458889 WME458876:WME458889 WWA458876:WWA458889 S524412:S524425 JO524412:JO524425 TK524412:TK524425 ADG524412:ADG524425 ANC524412:ANC524425 AWY524412:AWY524425 BGU524412:BGU524425 BQQ524412:BQQ524425 CAM524412:CAM524425 CKI524412:CKI524425 CUE524412:CUE524425 DEA524412:DEA524425 DNW524412:DNW524425 DXS524412:DXS524425 EHO524412:EHO524425 ERK524412:ERK524425 FBG524412:FBG524425 FLC524412:FLC524425 FUY524412:FUY524425 GEU524412:GEU524425 GOQ524412:GOQ524425 GYM524412:GYM524425 HII524412:HII524425 HSE524412:HSE524425 ICA524412:ICA524425 ILW524412:ILW524425 IVS524412:IVS524425 JFO524412:JFO524425 JPK524412:JPK524425 JZG524412:JZG524425 KJC524412:KJC524425 KSY524412:KSY524425 LCU524412:LCU524425 LMQ524412:LMQ524425 LWM524412:LWM524425 MGI524412:MGI524425 MQE524412:MQE524425 NAA524412:NAA524425 NJW524412:NJW524425 NTS524412:NTS524425 ODO524412:ODO524425 ONK524412:ONK524425 OXG524412:OXG524425 PHC524412:PHC524425 PQY524412:PQY524425 QAU524412:QAU524425 QKQ524412:QKQ524425 QUM524412:QUM524425 REI524412:REI524425 ROE524412:ROE524425 RYA524412:RYA524425 SHW524412:SHW524425 SRS524412:SRS524425 TBO524412:TBO524425 TLK524412:TLK524425 TVG524412:TVG524425 UFC524412:UFC524425 UOY524412:UOY524425 UYU524412:UYU524425 VIQ524412:VIQ524425 VSM524412:VSM524425 WCI524412:WCI524425 WME524412:WME524425 WWA524412:WWA524425 S589948:S589961 JO589948:JO589961 TK589948:TK589961 ADG589948:ADG589961 ANC589948:ANC589961 AWY589948:AWY589961 BGU589948:BGU589961 BQQ589948:BQQ589961 CAM589948:CAM589961 CKI589948:CKI589961 CUE589948:CUE589961 DEA589948:DEA589961 DNW589948:DNW589961 DXS589948:DXS589961 EHO589948:EHO589961 ERK589948:ERK589961 FBG589948:FBG589961 FLC589948:FLC589961 FUY589948:FUY589961 GEU589948:GEU589961 GOQ589948:GOQ589961 GYM589948:GYM589961 HII589948:HII589961 HSE589948:HSE589961 ICA589948:ICA589961 ILW589948:ILW589961 IVS589948:IVS589961 JFO589948:JFO589961 JPK589948:JPK589961 JZG589948:JZG589961 KJC589948:KJC589961 KSY589948:KSY589961 LCU589948:LCU589961 LMQ589948:LMQ589961 LWM589948:LWM589961 MGI589948:MGI589961 MQE589948:MQE589961 NAA589948:NAA589961 NJW589948:NJW589961 NTS589948:NTS589961 ODO589948:ODO589961 ONK589948:ONK589961 OXG589948:OXG589961 PHC589948:PHC589961 PQY589948:PQY589961 QAU589948:QAU589961 QKQ589948:QKQ589961 QUM589948:QUM589961 REI589948:REI589961 ROE589948:ROE589961 RYA589948:RYA589961 SHW589948:SHW589961 SRS589948:SRS589961 TBO589948:TBO589961 TLK589948:TLK589961 TVG589948:TVG589961 UFC589948:UFC589961 UOY589948:UOY589961 UYU589948:UYU589961 VIQ589948:VIQ589961 VSM589948:VSM589961 WCI589948:WCI589961 WME589948:WME589961 WWA589948:WWA589961 S655484:S655497 JO655484:JO655497 TK655484:TK655497 ADG655484:ADG655497 ANC655484:ANC655497 AWY655484:AWY655497 BGU655484:BGU655497 BQQ655484:BQQ655497 CAM655484:CAM655497 CKI655484:CKI655497 CUE655484:CUE655497 DEA655484:DEA655497 DNW655484:DNW655497 DXS655484:DXS655497 EHO655484:EHO655497 ERK655484:ERK655497 FBG655484:FBG655497 FLC655484:FLC655497 FUY655484:FUY655497 GEU655484:GEU655497 GOQ655484:GOQ655497 GYM655484:GYM655497 HII655484:HII655497 HSE655484:HSE655497 ICA655484:ICA655497 ILW655484:ILW655497 IVS655484:IVS655497 JFO655484:JFO655497 JPK655484:JPK655497 JZG655484:JZG655497 KJC655484:KJC655497 KSY655484:KSY655497 LCU655484:LCU655497 LMQ655484:LMQ655497 LWM655484:LWM655497 MGI655484:MGI655497 MQE655484:MQE655497 NAA655484:NAA655497 NJW655484:NJW655497 NTS655484:NTS655497 ODO655484:ODO655497 ONK655484:ONK655497 OXG655484:OXG655497 PHC655484:PHC655497 PQY655484:PQY655497 QAU655484:QAU655497 QKQ655484:QKQ655497 QUM655484:QUM655497 REI655484:REI655497 ROE655484:ROE655497 RYA655484:RYA655497 SHW655484:SHW655497 SRS655484:SRS655497 TBO655484:TBO655497 TLK655484:TLK655497 TVG655484:TVG655497 UFC655484:UFC655497 UOY655484:UOY655497 UYU655484:UYU655497 VIQ655484:VIQ655497 VSM655484:VSM655497 WCI655484:WCI655497 WME655484:WME655497 WWA655484:WWA655497 S721020:S721033 JO721020:JO721033 TK721020:TK721033 ADG721020:ADG721033 ANC721020:ANC721033 AWY721020:AWY721033 BGU721020:BGU721033 BQQ721020:BQQ721033 CAM721020:CAM721033 CKI721020:CKI721033 CUE721020:CUE721033 DEA721020:DEA721033 DNW721020:DNW721033 DXS721020:DXS721033 EHO721020:EHO721033 ERK721020:ERK721033 FBG721020:FBG721033 FLC721020:FLC721033 FUY721020:FUY721033 GEU721020:GEU721033 GOQ721020:GOQ721033 GYM721020:GYM721033 HII721020:HII721033 HSE721020:HSE721033 ICA721020:ICA721033 ILW721020:ILW721033 IVS721020:IVS721033 JFO721020:JFO721033 JPK721020:JPK721033 JZG721020:JZG721033 KJC721020:KJC721033 KSY721020:KSY721033 LCU721020:LCU721033 LMQ721020:LMQ721033 LWM721020:LWM721033 MGI721020:MGI721033 MQE721020:MQE721033 NAA721020:NAA721033 NJW721020:NJW721033 NTS721020:NTS721033 ODO721020:ODO721033 ONK721020:ONK721033 OXG721020:OXG721033 PHC721020:PHC721033 PQY721020:PQY721033 QAU721020:QAU721033 QKQ721020:QKQ721033 QUM721020:QUM721033 REI721020:REI721033 ROE721020:ROE721033 RYA721020:RYA721033 SHW721020:SHW721033 SRS721020:SRS721033 TBO721020:TBO721033 TLK721020:TLK721033 TVG721020:TVG721033 UFC721020:UFC721033 UOY721020:UOY721033 UYU721020:UYU721033 VIQ721020:VIQ721033 VSM721020:VSM721033 WCI721020:WCI721033 WME721020:WME721033 WWA721020:WWA721033 S786556:S786569 JO786556:JO786569 TK786556:TK786569 ADG786556:ADG786569 ANC786556:ANC786569 AWY786556:AWY786569 BGU786556:BGU786569 BQQ786556:BQQ786569 CAM786556:CAM786569 CKI786556:CKI786569 CUE786556:CUE786569 DEA786556:DEA786569 DNW786556:DNW786569 DXS786556:DXS786569 EHO786556:EHO786569 ERK786556:ERK786569 FBG786556:FBG786569 FLC786556:FLC786569 FUY786556:FUY786569 GEU786556:GEU786569 GOQ786556:GOQ786569 GYM786556:GYM786569 HII786556:HII786569 HSE786556:HSE786569 ICA786556:ICA786569 ILW786556:ILW786569 IVS786556:IVS786569 JFO786556:JFO786569 JPK786556:JPK786569 JZG786556:JZG786569 KJC786556:KJC786569 KSY786556:KSY786569 LCU786556:LCU786569 LMQ786556:LMQ786569 LWM786556:LWM786569 MGI786556:MGI786569 MQE786556:MQE786569 NAA786556:NAA786569 NJW786556:NJW786569 NTS786556:NTS786569 ODO786556:ODO786569 ONK786556:ONK786569 OXG786556:OXG786569 PHC786556:PHC786569 PQY786556:PQY786569 QAU786556:QAU786569 QKQ786556:QKQ786569 QUM786556:QUM786569 REI786556:REI786569 ROE786556:ROE786569 RYA786556:RYA786569 SHW786556:SHW786569 SRS786556:SRS786569 TBO786556:TBO786569 TLK786556:TLK786569 TVG786556:TVG786569 UFC786556:UFC786569 UOY786556:UOY786569 UYU786556:UYU786569 VIQ786556:VIQ786569 VSM786556:VSM786569 WCI786556:WCI786569 WME786556:WME786569 WWA786556:WWA786569 S852092:S852105 JO852092:JO852105 TK852092:TK852105 ADG852092:ADG852105 ANC852092:ANC852105 AWY852092:AWY852105 BGU852092:BGU852105 BQQ852092:BQQ852105 CAM852092:CAM852105 CKI852092:CKI852105 CUE852092:CUE852105 DEA852092:DEA852105 DNW852092:DNW852105 DXS852092:DXS852105 EHO852092:EHO852105 ERK852092:ERK852105 FBG852092:FBG852105 FLC852092:FLC852105 FUY852092:FUY852105 GEU852092:GEU852105 GOQ852092:GOQ852105 GYM852092:GYM852105 HII852092:HII852105 HSE852092:HSE852105 ICA852092:ICA852105 ILW852092:ILW852105 IVS852092:IVS852105 JFO852092:JFO852105 JPK852092:JPK852105 JZG852092:JZG852105 KJC852092:KJC852105 KSY852092:KSY852105 LCU852092:LCU852105 LMQ852092:LMQ852105 LWM852092:LWM852105 MGI852092:MGI852105 MQE852092:MQE852105 NAA852092:NAA852105 NJW852092:NJW852105 NTS852092:NTS852105 ODO852092:ODO852105 ONK852092:ONK852105 OXG852092:OXG852105 PHC852092:PHC852105 PQY852092:PQY852105 QAU852092:QAU852105 QKQ852092:QKQ852105 QUM852092:QUM852105 REI852092:REI852105 ROE852092:ROE852105 RYA852092:RYA852105 SHW852092:SHW852105 SRS852092:SRS852105 TBO852092:TBO852105 TLK852092:TLK852105 TVG852092:TVG852105 UFC852092:UFC852105 UOY852092:UOY852105 UYU852092:UYU852105 VIQ852092:VIQ852105 VSM852092:VSM852105 WCI852092:WCI852105 WME852092:WME852105 WWA852092:WWA852105 S917628:S917641 JO917628:JO917641 TK917628:TK917641 ADG917628:ADG917641 ANC917628:ANC917641 AWY917628:AWY917641 BGU917628:BGU917641 BQQ917628:BQQ917641 CAM917628:CAM917641 CKI917628:CKI917641 CUE917628:CUE917641 DEA917628:DEA917641 DNW917628:DNW917641 DXS917628:DXS917641 EHO917628:EHO917641 ERK917628:ERK917641 FBG917628:FBG917641 FLC917628:FLC917641 FUY917628:FUY917641 GEU917628:GEU917641 GOQ917628:GOQ917641 GYM917628:GYM917641 HII917628:HII917641 HSE917628:HSE917641 ICA917628:ICA917641 ILW917628:ILW917641 IVS917628:IVS917641 JFO917628:JFO917641 JPK917628:JPK917641 JZG917628:JZG917641 KJC917628:KJC917641 KSY917628:KSY917641 LCU917628:LCU917641 LMQ917628:LMQ917641 LWM917628:LWM917641 MGI917628:MGI917641 MQE917628:MQE917641 NAA917628:NAA917641 NJW917628:NJW917641 NTS917628:NTS917641 ODO917628:ODO917641 ONK917628:ONK917641 OXG917628:OXG917641 PHC917628:PHC917641 PQY917628:PQY917641 QAU917628:QAU917641 QKQ917628:QKQ917641 QUM917628:QUM917641 REI917628:REI917641 ROE917628:ROE917641 RYA917628:RYA917641 SHW917628:SHW917641 SRS917628:SRS917641 TBO917628:TBO917641 TLK917628:TLK917641 TVG917628:TVG917641 UFC917628:UFC917641 UOY917628:UOY917641 UYU917628:UYU917641 VIQ917628:VIQ917641 VSM917628:VSM917641 WCI917628:WCI917641 WME917628:WME917641 WWA917628:WWA917641 S983164:S983177 JO983164:JO983177 TK983164:TK983177 ADG983164:ADG983177 ANC983164:ANC983177 AWY983164:AWY983177 BGU983164:BGU983177 BQQ983164:BQQ983177 CAM983164:CAM983177 CKI983164:CKI983177 CUE983164:CUE983177 DEA983164:DEA983177 DNW983164:DNW983177 DXS983164:DXS983177 EHO983164:EHO983177 ERK983164:ERK983177 FBG983164:FBG983177 FLC983164:FLC983177 FUY983164:FUY983177 GEU983164:GEU983177 GOQ983164:GOQ983177 GYM983164:GYM983177 HII983164:HII983177 HSE983164:HSE983177 ICA983164:ICA983177 ILW983164:ILW983177 IVS983164:IVS983177 JFO983164:JFO983177 JPK983164:JPK983177 JZG983164:JZG983177 KJC983164:KJC983177 KSY983164:KSY983177 LCU983164:LCU983177 LMQ983164:LMQ983177 LWM983164:LWM983177 MGI983164:MGI983177 MQE983164:MQE983177 NAA983164:NAA983177 NJW983164:NJW983177 NTS983164:NTS983177 ODO983164:ODO983177 ONK983164:ONK983177 OXG983164:OXG983177 PHC983164:PHC983177 PQY983164:PQY983177 QAU983164:QAU983177 QKQ983164:QKQ983177 QUM983164:QUM983177 REI983164:REI983177 ROE983164:ROE983177 RYA983164:RYA983177 SHW983164:SHW983177 SRS983164:SRS983177 TBO983164:TBO983177 TLK983164:TLK983177 TVG983164:TVG983177 UFC983164:UFC983177 UOY983164:UOY983177 UYU983164:UYU983177 VIQ983164:VIQ983177 VSM983164:VSM983177 WCI983164:WCI983177 WME983164:WME983177 WWA983164:WWA983177 S146:S147 JO146:JO147 TK146:TK147 ADG146:ADG147 ANC146:ANC147 AWY146:AWY147 BGU146:BGU147 BQQ146:BQQ147 CAM146:CAM147 CKI146:CKI147 CUE146:CUE147 DEA146:DEA147 DNW146:DNW147 DXS146:DXS147 EHO146:EHO147 ERK146:ERK147 FBG146:FBG147 FLC146:FLC147 FUY146:FUY147 GEU146:GEU147 GOQ146:GOQ147 GYM146:GYM147 HII146:HII147 HSE146:HSE147 ICA146:ICA147 ILW146:ILW147 IVS146:IVS147 JFO146:JFO147 JPK146:JPK147 JZG146:JZG147 KJC146:KJC147 KSY146:KSY147 LCU146:LCU147 LMQ146:LMQ147 LWM146:LWM147 MGI146:MGI147 MQE146:MQE147 NAA146:NAA147 NJW146:NJW147 NTS146:NTS147 ODO146:ODO147 ONK146:ONK147 OXG146:OXG147 PHC146:PHC147 PQY146:PQY147 QAU146:QAU147 QKQ146:QKQ147 QUM146:QUM147 REI146:REI147 ROE146:ROE147 RYA146:RYA147 SHW146:SHW147 SRS146:SRS147 TBO146:TBO147 TLK146:TLK147 TVG146:TVG147 UFC146:UFC147 UOY146:UOY147 UYU146:UYU147 VIQ146:VIQ147 VSM146:VSM147 WCI146:WCI147 WME146:WME147 WWA146:WWA147 S65682:S65683 JO65682:JO65683 TK65682:TK65683 ADG65682:ADG65683 ANC65682:ANC65683 AWY65682:AWY65683 BGU65682:BGU65683 BQQ65682:BQQ65683 CAM65682:CAM65683 CKI65682:CKI65683 CUE65682:CUE65683 DEA65682:DEA65683 DNW65682:DNW65683 DXS65682:DXS65683 EHO65682:EHO65683 ERK65682:ERK65683 FBG65682:FBG65683 FLC65682:FLC65683 FUY65682:FUY65683 GEU65682:GEU65683 GOQ65682:GOQ65683 GYM65682:GYM65683 HII65682:HII65683 HSE65682:HSE65683 ICA65682:ICA65683 ILW65682:ILW65683 IVS65682:IVS65683 JFO65682:JFO65683 JPK65682:JPK65683 JZG65682:JZG65683 KJC65682:KJC65683 KSY65682:KSY65683 LCU65682:LCU65683 LMQ65682:LMQ65683 LWM65682:LWM65683 MGI65682:MGI65683 MQE65682:MQE65683 NAA65682:NAA65683 NJW65682:NJW65683 NTS65682:NTS65683 ODO65682:ODO65683 ONK65682:ONK65683 OXG65682:OXG65683 PHC65682:PHC65683 PQY65682:PQY65683 QAU65682:QAU65683 QKQ65682:QKQ65683 QUM65682:QUM65683 REI65682:REI65683 ROE65682:ROE65683 RYA65682:RYA65683 SHW65682:SHW65683 SRS65682:SRS65683 TBO65682:TBO65683 TLK65682:TLK65683 TVG65682:TVG65683 UFC65682:UFC65683 UOY65682:UOY65683 UYU65682:UYU65683 VIQ65682:VIQ65683 VSM65682:VSM65683 WCI65682:WCI65683 WME65682:WME65683 WWA65682:WWA65683 S131218:S131219 JO131218:JO131219 TK131218:TK131219 ADG131218:ADG131219 ANC131218:ANC131219 AWY131218:AWY131219 BGU131218:BGU131219 BQQ131218:BQQ131219 CAM131218:CAM131219 CKI131218:CKI131219 CUE131218:CUE131219 DEA131218:DEA131219 DNW131218:DNW131219 DXS131218:DXS131219 EHO131218:EHO131219 ERK131218:ERK131219 FBG131218:FBG131219 FLC131218:FLC131219 FUY131218:FUY131219 GEU131218:GEU131219 GOQ131218:GOQ131219 GYM131218:GYM131219 HII131218:HII131219 HSE131218:HSE131219 ICA131218:ICA131219 ILW131218:ILW131219 IVS131218:IVS131219 JFO131218:JFO131219 JPK131218:JPK131219 JZG131218:JZG131219 KJC131218:KJC131219 KSY131218:KSY131219 LCU131218:LCU131219 LMQ131218:LMQ131219 LWM131218:LWM131219 MGI131218:MGI131219 MQE131218:MQE131219 NAA131218:NAA131219 NJW131218:NJW131219 NTS131218:NTS131219 ODO131218:ODO131219 ONK131218:ONK131219 OXG131218:OXG131219 PHC131218:PHC131219 PQY131218:PQY131219 QAU131218:QAU131219 QKQ131218:QKQ131219 QUM131218:QUM131219 REI131218:REI131219 ROE131218:ROE131219 RYA131218:RYA131219 SHW131218:SHW131219 SRS131218:SRS131219 TBO131218:TBO131219 TLK131218:TLK131219 TVG131218:TVG131219 UFC131218:UFC131219 UOY131218:UOY131219 UYU131218:UYU131219 VIQ131218:VIQ131219 VSM131218:VSM131219 WCI131218:WCI131219 WME131218:WME131219 WWA131218:WWA131219 S196754:S196755 JO196754:JO196755 TK196754:TK196755 ADG196754:ADG196755 ANC196754:ANC196755 AWY196754:AWY196755 BGU196754:BGU196755 BQQ196754:BQQ196755 CAM196754:CAM196755 CKI196754:CKI196755 CUE196754:CUE196755 DEA196754:DEA196755 DNW196754:DNW196755 DXS196754:DXS196755 EHO196754:EHO196755 ERK196754:ERK196755 FBG196754:FBG196755 FLC196754:FLC196755 FUY196754:FUY196755 GEU196754:GEU196755 GOQ196754:GOQ196755 GYM196754:GYM196755 HII196754:HII196755 HSE196754:HSE196755 ICA196754:ICA196755 ILW196754:ILW196755 IVS196754:IVS196755 JFO196754:JFO196755 JPK196754:JPK196755 JZG196754:JZG196755 KJC196754:KJC196755 KSY196754:KSY196755 LCU196754:LCU196755 LMQ196754:LMQ196755 LWM196754:LWM196755 MGI196754:MGI196755 MQE196754:MQE196755 NAA196754:NAA196755 NJW196754:NJW196755 NTS196754:NTS196755 ODO196754:ODO196755 ONK196754:ONK196755 OXG196754:OXG196755 PHC196754:PHC196755 PQY196754:PQY196755 QAU196754:QAU196755 QKQ196754:QKQ196755 QUM196754:QUM196755 REI196754:REI196755 ROE196754:ROE196755 RYA196754:RYA196755 SHW196754:SHW196755 SRS196754:SRS196755 TBO196754:TBO196755 TLK196754:TLK196755 TVG196754:TVG196755 UFC196754:UFC196755 UOY196754:UOY196755 UYU196754:UYU196755 VIQ196754:VIQ196755 VSM196754:VSM196755 WCI196754:WCI196755 WME196754:WME196755 WWA196754:WWA196755 S262290:S262291 JO262290:JO262291 TK262290:TK262291 ADG262290:ADG262291 ANC262290:ANC262291 AWY262290:AWY262291 BGU262290:BGU262291 BQQ262290:BQQ262291 CAM262290:CAM262291 CKI262290:CKI262291 CUE262290:CUE262291 DEA262290:DEA262291 DNW262290:DNW262291 DXS262290:DXS262291 EHO262290:EHO262291 ERK262290:ERK262291 FBG262290:FBG262291 FLC262290:FLC262291 FUY262290:FUY262291 GEU262290:GEU262291 GOQ262290:GOQ262291 GYM262290:GYM262291 HII262290:HII262291 HSE262290:HSE262291 ICA262290:ICA262291 ILW262290:ILW262291 IVS262290:IVS262291 JFO262290:JFO262291 JPK262290:JPK262291 JZG262290:JZG262291 KJC262290:KJC262291 KSY262290:KSY262291 LCU262290:LCU262291 LMQ262290:LMQ262291 LWM262290:LWM262291 MGI262290:MGI262291 MQE262290:MQE262291 NAA262290:NAA262291 NJW262290:NJW262291 NTS262290:NTS262291 ODO262290:ODO262291 ONK262290:ONK262291 OXG262290:OXG262291 PHC262290:PHC262291 PQY262290:PQY262291 QAU262290:QAU262291 QKQ262290:QKQ262291 QUM262290:QUM262291 REI262290:REI262291 ROE262290:ROE262291 RYA262290:RYA262291 SHW262290:SHW262291 SRS262290:SRS262291 TBO262290:TBO262291 TLK262290:TLK262291 TVG262290:TVG262291 UFC262290:UFC262291 UOY262290:UOY262291 UYU262290:UYU262291 VIQ262290:VIQ262291 VSM262290:VSM262291 WCI262290:WCI262291 WME262290:WME262291 WWA262290:WWA262291 S327826:S327827 JO327826:JO327827 TK327826:TK327827 ADG327826:ADG327827 ANC327826:ANC327827 AWY327826:AWY327827 BGU327826:BGU327827 BQQ327826:BQQ327827 CAM327826:CAM327827 CKI327826:CKI327827 CUE327826:CUE327827 DEA327826:DEA327827 DNW327826:DNW327827 DXS327826:DXS327827 EHO327826:EHO327827 ERK327826:ERK327827 FBG327826:FBG327827 FLC327826:FLC327827 FUY327826:FUY327827 GEU327826:GEU327827 GOQ327826:GOQ327827 GYM327826:GYM327827 HII327826:HII327827 HSE327826:HSE327827 ICA327826:ICA327827 ILW327826:ILW327827 IVS327826:IVS327827 JFO327826:JFO327827 JPK327826:JPK327827 JZG327826:JZG327827 KJC327826:KJC327827 KSY327826:KSY327827 LCU327826:LCU327827 LMQ327826:LMQ327827 LWM327826:LWM327827 MGI327826:MGI327827 MQE327826:MQE327827 NAA327826:NAA327827 NJW327826:NJW327827 NTS327826:NTS327827 ODO327826:ODO327827 ONK327826:ONK327827 OXG327826:OXG327827 PHC327826:PHC327827 PQY327826:PQY327827 QAU327826:QAU327827 QKQ327826:QKQ327827 QUM327826:QUM327827 REI327826:REI327827 ROE327826:ROE327827 RYA327826:RYA327827 SHW327826:SHW327827 SRS327826:SRS327827 TBO327826:TBO327827 TLK327826:TLK327827 TVG327826:TVG327827 UFC327826:UFC327827 UOY327826:UOY327827 UYU327826:UYU327827 VIQ327826:VIQ327827 VSM327826:VSM327827 WCI327826:WCI327827 WME327826:WME327827 WWA327826:WWA327827 S393362:S393363 JO393362:JO393363 TK393362:TK393363 ADG393362:ADG393363 ANC393362:ANC393363 AWY393362:AWY393363 BGU393362:BGU393363 BQQ393362:BQQ393363 CAM393362:CAM393363 CKI393362:CKI393363 CUE393362:CUE393363 DEA393362:DEA393363 DNW393362:DNW393363 DXS393362:DXS393363 EHO393362:EHO393363 ERK393362:ERK393363 FBG393362:FBG393363 FLC393362:FLC393363 FUY393362:FUY393363 GEU393362:GEU393363 GOQ393362:GOQ393363 GYM393362:GYM393363 HII393362:HII393363 HSE393362:HSE393363 ICA393362:ICA393363 ILW393362:ILW393363 IVS393362:IVS393363 JFO393362:JFO393363 JPK393362:JPK393363 JZG393362:JZG393363 KJC393362:KJC393363 KSY393362:KSY393363 LCU393362:LCU393363 LMQ393362:LMQ393363 LWM393362:LWM393363 MGI393362:MGI393363 MQE393362:MQE393363 NAA393362:NAA393363 NJW393362:NJW393363 NTS393362:NTS393363 ODO393362:ODO393363 ONK393362:ONK393363 OXG393362:OXG393363 PHC393362:PHC393363 PQY393362:PQY393363 QAU393362:QAU393363 QKQ393362:QKQ393363 QUM393362:QUM393363 REI393362:REI393363 ROE393362:ROE393363 RYA393362:RYA393363 SHW393362:SHW393363 SRS393362:SRS393363 TBO393362:TBO393363 TLK393362:TLK393363 TVG393362:TVG393363 UFC393362:UFC393363 UOY393362:UOY393363 UYU393362:UYU393363 VIQ393362:VIQ393363 VSM393362:VSM393363 WCI393362:WCI393363 WME393362:WME393363 WWA393362:WWA393363 S458898:S458899 JO458898:JO458899 TK458898:TK458899 ADG458898:ADG458899 ANC458898:ANC458899 AWY458898:AWY458899 BGU458898:BGU458899 BQQ458898:BQQ458899 CAM458898:CAM458899 CKI458898:CKI458899 CUE458898:CUE458899 DEA458898:DEA458899 DNW458898:DNW458899 DXS458898:DXS458899 EHO458898:EHO458899 ERK458898:ERK458899 FBG458898:FBG458899 FLC458898:FLC458899 FUY458898:FUY458899 GEU458898:GEU458899 GOQ458898:GOQ458899 GYM458898:GYM458899 HII458898:HII458899 HSE458898:HSE458899 ICA458898:ICA458899 ILW458898:ILW458899 IVS458898:IVS458899 JFO458898:JFO458899 JPK458898:JPK458899 JZG458898:JZG458899 KJC458898:KJC458899 KSY458898:KSY458899 LCU458898:LCU458899 LMQ458898:LMQ458899 LWM458898:LWM458899 MGI458898:MGI458899 MQE458898:MQE458899 NAA458898:NAA458899 NJW458898:NJW458899 NTS458898:NTS458899 ODO458898:ODO458899 ONK458898:ONK458899 OXG458898:OXG458899 PHC458898:PHC458899 PQY458898:PQY458899 QAU458898:QAU458899 QKQ458898:QKQ458899 QUM458898:QUM458899 REI458898:REI458899 ROE458898:ROE458899 RYA458898:RYA458899 SHW458898:SHW458899 SRS458898:SRS458899 TBO458898:TBO458899 TLK458898:TLK458899 TVG458898:TVG458899 UFC458898:UFC458899 UOY458898:UOY458899 UYU458898:UYU458899 VIQ458898:VIQ458899 VSM458898:VSM458899 WCI458898:WCI458899 WME458898:WME458899 WWA458898:WWA458899 S524434:S524435 JO524434:JO524435 TK524434:TK524435 ADG524434:ADG524435 ANC524434:ANC524435 AWY524434:AWY524435 BGU524434:BGU524435 BQQ524434:BQQ524435 CAM524434:CAM524435 CKI524434:CKI524435 CUE524434:CUE524435 DEA524434:DEA524435 DNW524434:DNW524435 DXS524434:DXS524435 EHO524434:EHO524435 ERK524434:ERK524435 FBG524434:FBG524435 FLC524434:FLC524435 FUY524434:FUY524435 GEU524434:GEU524435 GOQ524434:GOQ524435 GYM524434:GYM524435 HII524434:HII524435 HSE524434:HSE524435 ICA524434:ICA524435 ILW524434:ILW524435 IVS524434:IVS524435 JFO524434:JFO524435 JPK524434:JPK524435 JZG524434:JZG524435 KJC524434:KJC524435 KSY524434:KSY524435 LCU524434:LCU524435 LMQ524434:LMQ524435 LWM524434:LWM524435 MGI524434:MGI524435 MQE524434:MQE524435 NAA524434:NAA524435 NJW524434:NJW524435 NTS524434:NTS524435 ODO524434:ODO524435 ONK524434:ONK524435 OXG524434:OXG524435 PHC524434:PHC524435 PQY524434:PQY524435 QAU524434:QAU524435 QKQ524434:QKQ524435 QUM524434:QUM524435 REI524434:REI524435 ROE524434:ROE524435 RYA524434:RYA524435 SHW524434:SHW524435 SRS524434:SRS524435 TBO524434:TBO524435 TLK524434:TLK524435 TVG524434:TVG524435 UFC524434:UFC524435 UOY524434:UOY524435 UYU524434:UYU524435 VIQ524434:VIQ524435 VSM524434:VSM524435 WCI524434:WCI524435 WME524434:WME524435 WWA524434:WWA524435 S589970:S589971 JO589970:JO589971 TK589970:TK589971 ADG589970:ADG589971 ANC589970:ANC589971 AWY589970:AWY589971 BGU589970:BGU589971 BQQ589970:BQQ589971 CAM589970:CAM589971 CKI589970:CKI589971 CUE589970:CUE589971 DEA589970:DEA589971 DNW589970:DNW589971 DXS589970:DXS589971 EHO589970:EHO589971 ERK589970:ERK589971 FBG589970:FBG589971 FLC589970:FLC589971 FUY589970:FUY589971 GEU589970:GEU589971 GOQ589970:GOQ589971 GYM589970:GYM589971 HII589970:HII589971 HSE589970:HSE589971 ICA589970:ICA589971 ILW589970:ILW589971 IVS589970:IVS589971 JFO589970:JFO589971 JPK589970:JPK589971 JZG589970:JZG589971 KJC589970:KJC589971 KSY589970:KSY589971 LCU589970:LCU589971 LMQ589970:LMQ589971 LWM589970:LWM589971 MGI589970:MGI589971 MQE589970:MQE589971 NAA589970:NAA589971 NJW589970:NJW589971 NTS589970:NTS589971 ODO589970:ODO589971 ONK589970:ONK589971 OXG589970:OXG589971 PHC589970:PHC589971 PQY589970:PQY589971 QAU589970:QAU589971 QKQ589970:QKQ589971 QUM589970:QUM589971 REI589970:REI589971 ROE589970:ROE589971 RYA589970:RYA589971 SHW589970:SHW589971 SRS589970:SRS589971 TBO589970:TBO589971 TLK589970:TLK589971 TVG589970:TVG589971 UFC589970:UFC589971 UOY589970:UOY589971 UYU589970:UYU589971 VIQ589970:VIQ589971 VSM589970:VSM589971 WCI589970:WCI589971 WME589970:WME589971 WWA589970:WWA589971 S655506:S655507 JO655506:JO655507 TK655506:TK655507 ADG655506:ADG655507 ANC655506:ANC655507 AWY655506:AWY655507 BGU655506:BGU655507 BQQ655506:BQQ655507 CAM655506:CAM655507 CKI655506:CKI655507 CUE655506:CUE655507 DEA655506:DEA655507 DNW655506:DNW655507 DXS655506:DXS655507 EHO655506:EHO655507 ERK655506:ERK655507 FBG655506:FBG655507 FLC655506:FLC655507 FUY655506:FUY655507 GEU655506:GEU655507 GOQ655506:GOQ655507 GYM655506:GYM655507 HII655506:HII655507 HSE655506:HSE655507 ICA655506:ICA655507 ILW655506:ILW655507 IVS655506:IVS655507 JFO655506:JFO655507 JPK655506:JPK655507 JZG655506:JZG655507 KJC655506:KJC655507 KSY655506:KSY655507 LCU655506:LCU655507 LMQ655506:LMQ655507 LWM655506:LWM655507 MGI655506:MGI655507 MQE655506:MQE655507 NAA655506:NAA655507 NJW655506:NJW655507 NTS655506:NTS655507 ODO655506:ODO655507 ONK655506:ONK655507 OXG655506:OXG655507 PHC655506:PHC655507 PQY655506:PQY655507 QAU655506:QAU655507 QKQ655506:QKQ655507 QUM655506:QUM655507 REI655506:REI655507 ROE655506:ROE655507 RYA655506:RYA655507 SHW655506:SHW655507 SRS655506:SRS655507 TBO655506:TBO655507 TLK655506:TLK655507 TVG655506:TVG655507 UFC655506:UFC655507 UOY655506:UOY655507 UYU655506:UYU655507 VIQ655506:VIQ655507 VSM655506:VSM655507 WCI655506:WCI655507 WME655506:WME655507 WWA655506:WWA655507 S721042:S721043 JO721042:JO721043 TK721042:TK721043 ADG721042:ADG721043 ANC721042:ANC721043 AWY721042:AWY721043 BGU721042:BGU721043 BQQ721042:BQQ721043 CAM721042:CAM721043 CKI721042:CKI721043 CUE721042:CUE721043 DEA721042:DEA721043 DNW721042:DNW721043 DXS721042:DXS721043 EHO721042:EHO721043 ERK721042:ERK721043 FBG721042:FBG721043 FLC721042:FLC721043 FUY721042:FUY721043 GEU721042:GEU721043 GOQ721042:GOQ721043 GYM721042:GYM721043 HII721042:HII721043 HSE721042:HSE721043 ICA721042:ICA721043 ILW721042:ILW721043 IVS721042:IVS721043 JFO721042:JFO721043 JPK721042:JPK721043 JZG721042:JZG721043 KJC721042:KJC721043 KSY721042:KSY721043 LCU721042:LCU721043 LMQ721042:LMQ721043 LWM721042:LWM721043 MGI721042:MGI721043 MQE721042:MQE721043 NAA721042:NAA721043 NJW721042:NJW721043 NTS721042:NTS721043 ODO721042:ODO721043 ONK721042:ONK721043 OXG721042:OXG721043 PHC721042:PHC721043 PQY721042:PQY721043 QAU721042:QAU721043 QKQ721042:QKQ721043 QUM721042:QUM721043 REI721042:REI721043 ROE721042:ROE721043 RYA721042:RYA721043 SHW721042:SHW721043 SRS721042:SRS721043 TBO721042:TBO721043 TLK721042:TLK721043 TVG721042:TVG721043 UFC721042:UFC721043 UOY721042:UOY721043 UYU721042:UYU721043 VIQ721042:VIQ721043 VSM721042:VSM721043 WCI721042:WCI721043 WME721042:WME721043 WWA721042:WWA721043 S786578:S786579 JO786578:JO786579 TK786578:TK786579 ADG786578:ADG786579 ANC786578:ANC786579 AWY786578:AWY786579 BGU786578:BGU786579 BQQ786578:BQQ786579 CAM786578:CAM786579 CKI786578:CKI786579 CUE786578:CUE786579 DEA786578:DEA786579 DNW786578:DNW786579 DXS786578:DXS786579 EHO786578:EHO786579 ERK786578:ERK786579 FBG786578:FBG786579 FLC786578:FLC786579 FUY786578:FUY786579 GEU786578:GEU786579 GOQ786578:GOQ786579 GYM786578:GYM786579 HII786578:HII786579 HSE786578:HSE786579 ICA786578:ICA786579 ILW786578:ILW786579 IVS786578:IVS786579 JFO786578:JFO786579 JPK786578:JPK786579 JZG786578:JZG786579 KJC786578:KJC786579 KSY786578:KSY786579 LCU786578:LCU786579 LMQ786578:LMQ786579 LWM786578:LWM786579 MGI786578:MGI786579 MQE786578:MQE786579 NAA786578:NAA786579 NJW786578:NJW786579 NTS786578:NTS786579 ODO786578:ODO786579 ONK786578:ONK786579 OXG786578:OXG786579 PHC786578:PHC786579 PQY786578:PQY786579 QAU786578:QAU786579 QKQ786578:QKQ786579 QUM786578:QUM786579 REI786578:REI786579 ROE786578:ROE786579 RYA786578:RYA786579 SHW786578:SHW786579 SRS786578:SRS786579 TBO786578:TBO786579 TLK786578:TLK786579 TVG786578:TVG786579 UFC786578:UFC786579 UOY786578:UOY786579 UYU786578:UYU786579 VIQ786578:VIQ786579 VSM786578:VSM786579 WCI786578:WCI786579 WME786578:WME786579 WWA786578:WWA786579 S852114:S852115 JO852114:JO852115 TK852114:TK852115 ADG852114:ADG852115 ANC852114:ANC852115 AWY852114:AWY852115 BGU852114:BGU852115 BQQ852114:BQQ852115 CAM852114:CAM852115 CKI852114:CKI852115 CUE852114:CUE852115 DEA852114:DEA852115 DNW852114:DNW852115 DXS852114:DXS852115 EHO852114:EHO852115 ERK852114:ERK852115 FBG852114:FBG852115 FLC852114:FLC852115 FUY852114:FUY852115 GEU852114:GEU852115 GOQ852114:GOQ852115 GYM852114:GYM852115 HII852114:HII852115 HSE852114:HSE852115 ICA852114:ICA852115 ILW852114:ILW852115 IVS852114:IVS852115 JFO852114:JFO852115 JPK852114:JPK852115 JZG852114:JZG852115 KJC852114:KJC852115 KSY852114:KSY852115 LCU852114:LCU852115 LMQ852114:LMQ852115 LWM852114:LWM852115 MGI852114:MGI852115 MQE852114:MQE852115 NAA852114:NAA852115 NJW852114:NJW852115 NTS852114:NTS852115 ODO852114:ODO852115 ONK852114:ONK852115 OXG852114:OXG852115 PHC852114:PHC852115 PQY852114:PQY852115 QAU852114:QAU852115 QKQ852114:QKQ852115 QUM852114:QUM852115 REI852114:REI852115 ROE852114:ROE852115 RYA852114:RYA852115 SHW852114:SHW852115 SRS852114:SRS852115 TBO852114:TBO852115 TLK852114:TLK852115 TVG852114:TVG852115 UFC852114:UFC852115 UOY852114:UOY852115 UYU852114:UYU852115 VIQ852114:VIQ852115 VSM852114:VSM852115 WCI852114:WCI852115 WME852114:WME852115 WWA852114:WWA852115 S917650:S917651 JO917650:JO917651 TK917650:TK917651 ADG917650:ADG917651 ANC917650:ANC917651 AWY917650:AWY917651 BGU917650:BGU917651 BQQ917650:BQQ917651 CAM917650:CAM917651 CKI917650:CKI917651 CUE917650:CUE917651 DEA917650:DEA917651 DNW917650:DNW917651 DXS917650:DXS917651 EHO917650:EHO917651 ERK917650:ERK917651 FBG917650:FBG917651 FLC917650:FLC917651 FUY917650:FUY917651 GEU917650:GEU917651 GOQ917650:GOQ917651 GYM917650:GYM917651 HII917650:HII917651 HSE917650:HSE917651 ICA917650:ICA917651 ILW917650:ILW917651 IVS917650:IVS917651 JFO917650:JFO917651 JPK917650:JPK917651 JZG917650:JZG917651 KJC917650:KJC917651 KSY917650:KSY917651 LCU917650:LCU917651 LMQ917650:LMQ917651 LWM917650:LWM917651 MGI917650:MGI917651 MQE917650:MQE917651 NAA917650:NAA917651 NJW917650:NJW917651 NTS917650:NTS917651 ODO917650:ODO917651 ONK917650:ONK917651 OXG917650:OXG917651 PHC917650:PHC917651 PQY917650:PQY917651 QAU917650:QAU917651 QKQ917650:QKQ917651 QUM917650:QUM917651 REI917650:REI917651 ROE917650:ROE917651 RYA917650:RYA917651 SHW917650:SHW917651 SRS917650:SRS917651 TBO917650:TBO917651 TLK917650:TLK917651 TVG917650:TVG917651 UFC917650:UFC917651 UOY917650:UOY917651 UYU917650:UYU917651 VIQ917650:VIQ917651 VSM917650:VSM917651 WCI917650:WCI917651 WME917650:WME917651 WWA917650:WWA917651 S983186:S983187 JO983186:JO983187 TK983186:TK983187 ADG983186:ADG983187 ANC983186:ANC983187 AWY983186:AWY983187 BGU983186:BGU983187 BQQ983186:BQQ983187 CAM983186:CAM983187 CKI983186:CKI983187 CUE983186:CUE983187 DEA983186:DEA983187 DNW983186:DNW983187 DXS983186:DXS983187 EHO983186:EHO983187 ERK983186:ERK983187 FBG983186:FBG983187 FLC983186:FLC983187 FUY983186:FUY983187 GEU983186:GEU983187 GOQ983186:GOQ983187 GYM983186:GYM983187 HII983186:HII983187 HSE983186:HSE983187 ICA983186:ICA983187 ILW983186:ILW983187 IVS983186:IVS983187 JFO983186:JFO983187 JPK983186:JPK983187 JZG983186:JZG983187 KJC983186:KJC983187 KSY983186:KSY983187 LCU983186:LCU983187 LMQ983186:LMQ983187 LWM983186:LWM983187 MGI983186:MGI983187 MQE983186:MQE983187 NAA983186:NAA983187 NJW983186:NJW983187 NTS983186:NTS983187 ODO983186:ODO983187 ONK983186:ONK983187 OXG983186:OXG983187 PHC983186:PHC983187 PQY983186:PQY983187 QAU983186:QAU983187 QKQ983186:QKQ983187 QUM983186:QUM983187 REI983186:REI983187 ROE983186:ROE983187 RYA983186:RYA983187 SHW983186:SHW983187 SRS983186:SRS983187 TBO983186:TBO983187 TLK983186:TLK983187 TVG983186:TVG983187 UFC983186:UFC983187 UOY983186:UOY983187 UYU983186:UYU983187 VIQ983186:VIQ983187 VSM983186:VSM983187 WCI983186:WCI983187 WME983186:WME983187 WWA983186:WWA983187 S156:S161 JO156:JO161 TK156:TK161 ADG156:ADG161 ANC156:ANC161 AWY156:AWY161 BGU156:BGU161 BQQ156:BQQ161 CAM156:CAM161 CKI156:CKI161 CUE156:CUE161 DEA156:DEA161 DNW156:DNW161 DXS156:DXS161 EHO156:EHO161 ERK156:ERK161 FBG156:FBG161 FLC156:FLC161 FUY156:FUY161 GEU156:GEU161 GOQ156:GOQ161 GYM156:GYM161 HII156:HII161 HSE156:HSE161 ICA156:ICA161 ILW156:ILW161 IVS156:IVS161 JFO156:JFO161 JPK156:JPK161 JZG156:JZG161 KJC156:KJC161 KSY156:KSY161 LCU156:LCU161 LMQ156:LMQ161 LWM156:LWM161 MGI156:MGI161 MQE156:MQE161 NAA156:NAA161 NJW156:NJW161 NTS156:NTS161 ODO156:ODO161 ONK156:ONK161 OXG156:OXG161 PHC156:PHC161 PQY156:PQY161 QAU156:QAU161 QKQ156:QKQ161 QUM156:QUM161 REI156:REI161 ROE156:ROE161 RYA156:RYA161 SHW156:SHW161 SRS156:SRS161 TBO156:TBO161 TLK156:TLK161 TVG156:TVG161 UFC156:UFC161 UOY156:UOY161 UYU156:UYU161 VIQ156:VIQ161 VSM156:VSM161 WCI156:WCI161 WME156:WME161 WWA156:WWA161 S65692:S65697 JO65692:JO65697 TK65692:TK65697 ADG65692:ADG65697 ANC65692:ANC65697 AWY65692:AWY65697 BGU65692:BGU65697 BQQ65692:BQQ65697 CAM65692:CAM65697 CKI65692:CKI65697 CUE65692:CUE65697 DEA65692:DEA65697 DNW65692:DNW65697 DXS65692:DXS65697 EHO65692:EHO65697 ERK65692:ERK65697 FBG65692:FBG65697 FLC65692:FLC65697 FUY65692:FUY65697 GEU65692:GEU65697 GOQ65692:GOQ65697 GYM65692:GYM65697 HII65692:HII65697 HSE65692:HSE65697 ICA65692:ICA65697 ILW65692:ILW65697 IVS65692:IVS65697 JFO65692:JFO65697 JPK65692:JPK65697 JZG65692:JZG65697 KJC65692:KJC65697 KSY65692:KSY65697 LCU65692:LCU65697 LMQ65692:LMQ65697 LWM65692:LWM65697 MGI65692:MGI65697 MQE65692:MQE65697 NAA65692:NAA65697 NJW65692:NJW65697 NTS65692:NTS65697 ODO65692:ODO65697 ONK65692:ONK65697 OXG65692:OXG65697 PHC65692:PHC65697 PQY65692:PQY65697 QAU65692:QAU65697 QKQ65692:QKQ65697 QUM65692:QUM65697 REI65692:REI65697 ROE65692:ROE65697 RYA65692:RYA65697 SHW65692:SHW65697 SRS65692:SRS65697 TBO65692:TBO65697 TLK65692:TLK65697 TVG65692:TVG65697 UFC65692:UFC65697 UOY65692:UOY65697 UYU65692:UYU65697 VIQ65692:VIQ65697 VSM65692:VSM65697 WCI65692:WCI65697 WME65692:WME65697 WWA65692:WWA65697 S131228:S131233 JO131228:JO131233 TK131228:TK131233 ADG131228:ADG131233 ANC131228:ANC131233 AWY131228:AWY131233 BGU131228:BGU131233 BQQ131228:BQQ131233 CAM131228:CAM131233 CKI131228:CKI131233 CUE131228:CUE131233 DEA131228:DEA131233 DNW131228:DNW131233 DXS131228:DXS131233 EHO131228:EHO131233 ERK131228:ERK131233 FBG131228:FBG131233 FLC131228:FLC131233 FUY131228:FUY131233 GEU131228:GEU131233 GOQ131228:GOQ131233 GYM131228:GYM131233 HII131228:HII131233 HSE131228:HSE131233 ICA131228:ICA131233 ILW131228:ILW131233 IVS131228:IVS131233 JFO131228:JFO131233 JPK131228:JPK131233 JZG131228:JZG131233 KJC131228:KJC131233 KSY131228:KSY131233 LCU131228:LCU131233 LMQ131228:LMQ131233 LWM131228:LWM131233 MGI131228:MGI131233 MQE131228:MQE131233 NAA131228:NAA131233 NJW131228:NJW131233 NTS131228:NTS131233 ODO131228:ODO131233 ONK131228:ONK131233 OXG131228:OXG131233 PHC131228:PHC131233 PQY131228:PQY131233 QAU131228:QAU131233 QKQ131228:QKQ131233 QUM131228:QUM131233 REI131228:REI131233 ROE131228:ROE131233 RYA131228:RYA131233 SHW131228:SHW131233 SRS131228:SRS131233 TBO131228:TBO131233 TLK131228:TLK131233 TVG131228:TVG131233 UFC131228:UFC131233 UOY131228:UOY131233 UYU131228:UYU131233 VIQ131228:VIQ131233 VSM131228:VSM131233 WCI131228:WCI131233 WME131228:WME131233 WWA131228:WWA131233 S196764:S196769 JO196764:JO196769 TK196764:TK196769 ADG196764:ADG196769 ANC196764:ANC196769 AWY196764:AWY196769 BGU196764:BGU196769 BQQ196764:BQQ196769 CAM196764:CAM196769 CKI196764:CKI196769 CUE196764:CUE196769 DEA196764:DEA196769 DNW196764:DNW196769 DXS196764:DXS196769 EHO196764:EHO196769 ERK196764:ERK196769 FBG196764:FBG196769 FLC196764:FLC196769 FUY196764:FUY196769 GEU196764:GEU196769 GOQ196764:GOQ196769 GYM196764:GYM196769 HII196764:HII196769 HSE196764:HSE196769 ICA196764:ICA196769 ILW196764:ILW196769 IVS196764:IVS196769 JFO196764:JFO196769 JPK196764:JPK196769 JZG196764:JZG196769 KJC196764:KJC196769 KSY196764:KSY196769 LCU196764:LCU196769 LMQ196764:LMQ196769 LWM196764:LWM196769 MGI196764:MGI196769 MQE196764:MQE196769 NAA196764:NAA196769 NJW196764:NJW196769 NTS196764:NTS196769 ODO196764:ODO196769 ONK196764:ONK196769 OXG196764:OXG196769 PHC196764:PHC196769 PQY196764:PQY196769 QAU196764:QAU196769 QKQ196764:QKQ196769 QUM196764:QUM196769 REI196764:REI196769 ROE196764:ROE196769 RYA196764:RYA196769 SHW196764:SHW196769 SRS196764:SRS196769 TBO196764:TBO196769 TLK196764:TLK196769 TVG196764:TVG196769 UFC196764:UFC196769 UOY196764:UOY196769 UYU196764:UYU196769 VIQ196764:VIQ196769 VSM196764:VSM196769 WCI196764:WCI196769 WME196764:WME196769 WWA196764:WWA196769 S262300:S262305 JO262300:JO262305 TK262300:TK262305 ADG262300:ADG262305 ANC262300:ANC262305 AWY262300:AWY262305 BGU262300:BGU262305 BQQ262300:BQQ262305 CAM262300:CAM262305 CKI262300:CKI262305 CUE262300:CUE262305 DEA262300:DEA262305 DNW262300:DNW262305 DXS262300:DXS262305 EHO262300:EHO262305 ERK262300:ERK262305 FBG262300:FBG262305 FLC262300:FLC262305 FUY262300:FUY262305 GEU262300:GEU262305 GOQ262300:GOQ262305 GYM262300:GYM262305 HII262300:HII262305 HSE262300:HSE262305 ICA262300:ICA262305 ILW262300:ILW262305 IVS262300:IVS262305 JFO262300:JFO262305 JPK262300:JPK262305 JZG262300:JZG262305 KJC262300:KJC262305 KSY262300:KSY262305 LCU262300:LCU262305 LMQ262300:LMQ262305 LWM262300:LWM262305 MGI262300:MGI262305 MQE262300:MQE262305 NAA262300:NAA262305 NJW262300:NJW262305 NTS262300:NTS262305 ODO262300:ODO262305 ONK262300:ONK262305 OXG262300:OXG262305 PHC262300:PHC262305 PQY262300:PQY262305 QAU262300:QAU262305 QKQ262300:QKQ262305 QUM262300:QUM262305 REI262300:REI262305 ROE262300:ROE262305 RYA262300:RYA262305 SHW262300:SHW262305 SRS262300:SRS262305 TBO262300:TBO262305 TLK262300:TLK262305 TVG262300:TVG262305 UFC262300:UFC262305 UOY262300:UOY262305 UYU262300:UYU262305 VIQ262300:VIQ262305 VSM262300:VSM262305 WCI262300:WCI262305 WME262300:WME262305 WWA262300:WWA262305 S327836:S327841 JO327836:JO327841 TK327836:TK327841 ADG327836:ADG327841 ANC327836:ANC327841 AWY327836:AWY327841 BGU327836:BGU327841 BQQ327836:BQQ327841 CAM327836:CAM327841 CKI327836:CKI327841 CUE327836:CUE327841 DEA327836:DEA327841 DNW327836:DNW327841 DXS327836:DXS327841 EHO327836:EHO327841 ERK327836:ERK327841 FBG327836:FBG327841 FLC327836:FLC327841 FUY327836:FUY327841 GEU327836:GEU327841 GOQ327836:GOQ327841 GYM327836:GYM327841 HII327836:HII327841 HSE327836:HSE327841 ICA327836:ICA327841 ILW327836:ILW327841 IVS327836:IVS327841 JFO327836:JFO327841 JPK327836:JPK327841 JZG327836:JZG327841 KJC327836:KJC327841 KSY327836:KSY327841 LCU327836:LCU327841 LMQ327836:LMQ327841 LWM327836:LWM327841 MGI327836:MGI327841 MQE327836:MQE327841 NAA327836:NAA327841 NJW327836:NJW327841 NTS327836:NTS327841 ODO327836:ODO327841 ONK327836:ONK327841 OXG327836:OXG327841 PHC327836:PHC327841 PQY327836:PQY327841 QAU327836:QAU327841 QKQ327836:QKQ327841 QUM327836:QUM327841 REI327836:REI327841 ROE327836:ROE327841 RYA327836:RYA327841 SHW327836:SHW327841 SRS327836:SRS327841 TBO327836:TBO327841 TLK327836:TLK327841 TVG327836:TVG327841 UFC327836:UFC327841 UOY327836:UOY327841 UYU327836:UYU327841 VIQ327836:VIQ327841 VSM327836:VSM327841 WCI327836:WCI327841 WME327836:WME327841 WWA327836:WWA327841 S393372:S393377 JO393372:JO393377 TK393372:TK393377 ADG393372:ADG393377 ANC393372:ANC393377 AWY393372:AWY393377 BGU393372:BGU393377 BQQ393372:BQQ393377 CAM393372:CAM393377 CKI393372:CKI393377 CUE393372:CUE393377 DEA393372:DEA393377 DNW393372:DNW393377 DXS393372:DXS393377 EHO393372:EHO393377 ERK393372:ERK393377 FBG393372:FBG393377 FLC393372:FLC393377 FUY393372:FUY393377 GEU393372:GEU393377 GOQ393372:GOQ393377 GYM393372:GYM393377 HII393372:HII393377 HSE393372:HSE393377 ICA393372:ICA393377 ILW393372:ILW393377 IVS393372:IVS393377 JFO393372:JFO393377 JPK393372:JPK393377 JZG393372:JZG393377 KJC393372:KJC393377 KSY393372:KSY393377 LCU393372:LCU393377 LMQ393372:LMQ393377 LWM393372:LWM393377 MGI393372:MGI393377 MQE393372:MQE393377 NAA393372:NAA393377 NJW393372:NJW393377 NTS393372:NTS393377 ODO393372:ODO393377 ONK393372:ONK393377 OXG393372:OXG393377 PHC393372:PHC393377 PQY393372:PQY393377 QAU393372:QAU393377 QKQ393372:QKQ393377 QUM393372:QUM393377 REI393372:REI393377 ROE393372:ROE393377 RYA393372:RYA393377 SHW393372:SHW393377 SRS393372:SRS393377 TBO393372:TBO393377 TLK393372:TLK393377 TVG393372:TVG393377 UFC393372:UFC393377 UOY393372:UOY393377 UYU393372:UYU393377 VIQ393372:VIQ393377 VSM393372:VSM393377 WCI393372:WCI393377 WME393372:WME393377 WWA393372:WWA393377 S458908:S458913 JO458908:JO458913 TK458908:TK458913 ADG458908:ADG458913 ANC458908:ANC458913 AWY458908:AWY458913 BGU458908:BGU458913 BQQ458908:BQQ458913 CAM458908:CAM458913 CKI458908:CKI458913 CUE458908:CUE458913 DEA458908:DEA458913 DNW458908:DNW458913 DXS458908:DXS458913 EHO458908:EHO458913 ERK458908:ERK458913 FBG458908:FBG458913 FLC458908:FLC458913 FUY458908:FUY458913 GEU458908:GEU458913 GOQ458908:GOQ458913 GYM458908:GYM458913 HII458908:HII458913 HSE458908:HSE458913 ICA458908:ICA458913 ILW458908:ILW458913 IVS458908:IVS458913 JFO458908:JFO458913 JPK458908:JPK458913 JZG458908:JZG458913 KJC458908:KJC458913 KSY458908:KSY458913 LCU458908:LCU458913 LMQ458908:LMQ458913 LWM458908:LWM458913 MGI458908:MGI458913 MQE458908:MQE458913 NAA458908:NAA458913 NJW458908:NJW458913 NTS458908:NTS458913 ODO458908:ODO458913 ONK458908:ONK458913 OXG458908:OXG458913 PHC458908:PHC458913 PQY458908:PQY458913 QAU458908:QAU458913 QKQ458908:QKQ458913 QUM458908:QUM458913 REI458908:REI458913 ROE458908:ROE458913 RYA458908:RYA458913 SHW458908:SHW458913 SRS458908:SRS458913 TBO458908:TBO458913 TLK458908:TLK458913 TVG458908:TVG458913 UFC458908:UFC458913 UOY458908:UOY458913 UYU458908:UYU458913 VIQ458908:VIQ458913 VSM458908:VSM458913 WCI458908:WCI458913 WME458908:WME458913 WWA458908:WWA458913 S524444:S524449 JO524444:JO524449 TK524444:TK524449 ADG524444:ADG524449 ANC524444:ANC524449 AWY524444:AWY524449 BGU524444:BGU524449 BQQ524444:BQQ524449 CAM524444:CAM524449 CKI524444:CKI524449 CUE524444:CUE524449 DEA524444:DEA524449 DNW524444:DNW524449 DXS524444:DXS524449 EHO524444:EHO524449 ERK524444:ERK524449 FBG524444:FBG524449 FLC524444:FLC524449 FUY524444:FUY524449 GEU524444:GEU524449 GOQ524444:GOQ524449 GYM524444:GYM524449 HII524444:HII524449 HSE524444:HSE524449 ICA524444:ICA524449 ILW524444:ILW524449 IVS524444:IVS524449 JFO524444:JFO524449 JPK524444:JPK524449 JZG524444:JZG524449 KJC524444:KJC524449 KSY524444:KSY524449 LCU524444:LCU524449 LMQ524444:LMQ524449 LWM524444:LWM524449 MGI524444:MGI524449 MQE524444:MQE524449 NAA524444:NAA524449 NJW524444:NJW524449 NTS524444:NTS524449 ODO524444:ODO524449 ONK524444:ONK524449 OXG524444:OXG524449 PHC524444:PHC524449 PQY524444:PQY524449 QAU524444:QAU524449 QKQ524444:QKQ524449 QUM524444:QUM524449 REI524444:REI524449 ROE524444:ROE524449 RYA524444:RYA524449 SHW524444:SHW524449 SRS524444:SRS524449 TBO524444:TBO524449 TLK524444:TLK524449 TVG524444:TVG524449 UFC524444:UFC524449 UOY524444:UOY524449 UYU524444:UYU524449 VIQ524444:VIQ524449 VSM524444:VSM524449 WCI524444:WCI524449 WME524444:WME524449 WWA524444:WWA524449 S589980:S589985 JO589980:JO589985 TK589980:TK589985 ADG589980:ADG589985 ANC589980:ANC589985 AWY589980:AWY589985 BGU589980:BGU589985 BQQ589980:BQQ589985 CAM589980:CAM589985 CKI589980:CKI589985 CUE589980:CUE589985 DEA589980:DEA589985 DNW589980:DNW589985 DXS589980:DXS589985 EHO589980:EHO589985 ERK589980:ERK589985 FBG589980:FBG589985 FLC589980:FLC589985 FUY589980:FUY589985 GEU589980:GEU589985 GOQ589980:GOQ589985 GYM589980:GYM589985 HII589980:HII589985 HSE589980:HSE589985 ICA589980:ICA589985 ILW589980:ILW589985 IVS589980:IVS589985 JFO589980:JFO589985 JPK589980:JPK589985 JZG589980:JZG589985 KJC589980:KJC589985 KSY589980:KSY589985 LCU589980:LCU589985 LMQ589980:LMQ589985 LWM589980:LWM589985 MGI589980:MGI589985 MQE589980:MQE589985 NAA589980:NAA589985 NJW589980:NJW589985 NTS589980:NTS589985 ODO589980:ODO589985 ONK589980:ONK589985 OXG589980:OXG589985 PHC589980:PHC589985 PQY589980:PQY589985 QAU589980:QAU589985 QKQ589980:QKQ589985 QUM589980:QUM589985 REI589980:REI589985 ROE589980:ROE589985 RYA589980:RYA589985 SHW589980:SHW589985 SRS589980:SRS589985 TBO589980:TBO589985 TLK589980:TLK589985 TVG589980:TVG589985 UFC589980:UFC589985 UOY589980:UOY589985 UYU589980:UYU589985 VIQ589980:VIQ589985 VSM589980:VSM589985 WCI589980:WCI589985 WME589980:WME589985 WWA589980:WWA589985 S655516:S655521 JO655516:JO655521 TK655516:TK655521 ADG655516:ADG655521 ANC655516:ANC655521 AWY655516:AWY655521 BGU655516:BGU655521 BQQ655516:BQQ655521 CAM655516:CAM655521 CKI655516:CKI655521 CUE655516:CUE655521 DEA655516:DEA655521 DNW655516:DNW655521 DXS655516:DXS655521 EHO655516:EHO655521 ERK655516:ERK655521 FBG655516:FBG655521 FLC655516:FLC655521 FUY655516:FUY655521 GEU655516:GEU655521 GOQ655516:GOQ655521 GYM655516:GYM655521 HII655516:HII655521 HSE655516:HSE655521 ICA655516:ICA655521 ILW655516:ILW655521 IVS655516:IVS655521 JFO655516:JFO655521 JPK655516:JPK655521 JZG655516:JZG655521 KJC655516:KJC655521 KSY655516:KSY655521 LCU655516:LCU655521 LMQ655516:LMQ655521 LWM655516:LWM655521 MGI655516:MGI655521 MQE655516:MQE655521 NAA655516:NAA655521 NJW655516:NJW655521 NTS655516:NTS655521 ODO655516:ODO655521 ONK655516:ONK655521 OXG655516:OXG655521 PHC655516:PHC655521 PQY655516:PQY655521 QAU655516:QAU655521 QKQ655516:QKQ655521 QUM655516:QUM655521 REI655516:REI655521 ROE655516:ROE655521 RYA655516:RYA655521 SHW655516:SHW655521 SRS655516:SRS655521 TBO655516:TBO655521 TLK655516:TLK655521 TVG655516:TVG655521 UFC655516:UFC655521 UOY655516:UOY655521 UYU655516:UYU655521 VIQ655516:VIQ655521 VSM655516:VSM655521 WCI655516:WCI655521 WME655516:WME655521 WWA655516:WWA655521 S721052:S721057 JO721052:JO721057 TK721052:TK721057 ADG721052:ADG721057 ANC721052:ANC721057 AWY721052:AWY721057 BGU721052:BGU721057 BQQ721052:BQQ721057 CAM721052:CAM721057 CKI721052:CKI721057 CUE721052:CUE721057 DEA721052:DEA721057 DNW721052:DNW721057 DXS721052:DXS721057 EHO721052:EHO721057 ERK721052:ERK721057 FBG721052:FBG721057 FLC721052:FLC721057 FUY721052:FUY721057 GEU721052:GEU721057 GOQ721052:GOQ721057 GYM721052:GYM721057 HII721052:HII721057 HSE721052:HSE721057 ICA721052:ICA721057 ILW721052:ILW721057 IVS721052:IVS721057 JFO721052:JFO721057 JPK721052:JPK721057 JZG721052:JZG721057 KJC721052:KJC721057 KSY721052:KSY721057 LCU721052:LCU721057 LMQ721052:LMQ721057 LWM721052:LWM721057 MGI721052:MGI721057 MQE721052:MQE721057 NAA721052:NAA721057 NJW721052:NJW721057 NTS721052:NTS721057 ODO721052:ODO721057 ONK721052:ONK721057 OXG721052:OXG721057 PHC721052:PHC721057 PQY721052:PQY721057 QAU721052:QAU721057 QKQ721052:QKQ721057 QUM721052:QUM721057 REI721052:REI721057 ROE721052:ROE721057 RYA721052:RYA721057 SHW721052:SHW721057 SRS721052:SRS721057 TBO721052:TBO721057 TLK721052:TLK721057 TVG721052:TVG721057 UFC721052:UFC721057 UOY721052:UOY721057 UYU721052:UYU721057 VIQ721052:VIQ721057 VSM721052:VSM721057 WCI721052:WCI721057 WME721052:WME721057 WWA721052:WWA721057 S786588:S786593 JO786588:JO786593 TK786588:TK786593 ADG786588:ADG786593 ANC786588:ANC786593 AWY786588:AWY786593 BGU786588:BGU786593 BQQ786588:BQQ786593 CAM786588:CAM786593 CKI786588:CKI786593 CUE786588:CUE786593 DEA786588:DEA786593 DNW786588:DNW786593 DXS786588:DXS786593 EHO786588:EHO786593 ERK786588:ERK786593 FBG786588:FBG786593 FLC786588:FLC786593 FUY786588:FUY786593 GEU786588:GEU786593 GOQ786588:GOQ786593 GYM786588:GYM786593 HII786588:HII786593 HSE786588:HSE786593 ICA786588:ICA786593 ILW786588:ILW786593 IVS786588:IVS786593 JFO786588:JFO786593 JPK786588:JPK786593 JZG786588:JZG786593 KJC786588:KJC786593 KSY786588:KSY786593 LCU786588:LCU786593 LMQ786588:LMQ786593 LWM786588:LWM786593 MGI786588:MGI786593 MQE786588:MQE786593 NAA786588:NAA786593 NJW786588:NJW786593 NTS786588:NTS786593 ODO786588:ODO786593 ONK786588:ONK786593 OXG786588:OXG786593 PHC786588:PHC786593 PQY786588:PQY786593 QAU786588:QAU786593 QKQ786588:QKQ786593 QUM786588:QUM786593 REI786588:REI786593 ROE786588:ROE786593 RYA786588:RYA786593 SHW786588:SHW786593 SRS786588:SRS786593 TBO786588:TBO786593 TLK786588:TLK786593 TVG786588:TVG786593 UFC786588:UFC786593 UOY786588:UOY786593 UYU786588:UYU786593 VIQ786588:VIQ786593 VSM786588:VSM786593 WCI786588:WCI786593 WME786588:WME786593 WWA786588:WWA786593 S852124:S852129 JO852124:JO852129 TK852124:TK852129 ADG852124:ADG852129 ANC852124:ANC852129 AWY852124:AWY852129 BGU852124:BGU852129 BQQ852124:BQQ852129 CAM852124:CAM852129 CKI852124:CKI852129 CUE852124:CUE852129 DEA852124:DEA852129 DNW852124:DNW852129 DXS852124:DXS852129 EHO852124:EHO852129 ERK852124:ERK852129 FBG852124:FBG852129 FLC852124:FLC852129 FUY852124:FUY852129 GEU852124:GEU852129 GOQ852124:GOQ852129 GYM852124:GYM852129 HII852124:HII852129 HSE852124:HSE852129 ICA852124:ICA852129 ILW852124:ILW852129 IVS852124:IVS852129 JFO852124:JFO852129 JPK852124:JPK852129 JZG852124:JZG852129 KJC852124:KJC852129 KSY852124:KSY852129 LCU852124:LCU852129 LMQ852124:LMQ852129 LWM852124:LWM852129 MGI852124:MGI852129 MQE852124:MQE852129 NAA852124:NAA852129 NJW852124:NJW852129 NTS852124:NTS852129 ODO852124:ODO852129 ONK852124:ONK852129 OXG852124:OXG852129 PHC852124:PHC852129 PQY852124:PQY852129 QAU852124:QAU852129 QKQ852124:QKQ852129 QUM852124:QUM852129 REI852124:REI852129 ROE852124:ROE852129 RYA852124:RYA852129 SHW852124:SHW852129 SRS852124:SRS852129 TBO852124:TBO852129 TLK852124:TLK852129 TVG852124:TVG852129 UFC852124:UFC852129 UOY852124:UOY852129 UYU852124:UYU852129 VIQ852124:VIQ852129 VSM852124:VSM852129 WCI852124:WCI852129 WME852124:WME852129 WWA852124:WWA852129 S917660:S917665 JO917660:JO917665 TK917660:TK917665 ADG917660:ADG917665 ANC917660:ANC917665 AWY917660:AWY917665 BGU917660:BGU917665 BQQ917660:BQQ917665 CAM917660:CAM917665 CKI917660:CKI917665 CUE917660:CUE917665 DEA917660:DEA917665 DNW917660:DNW917665 DXS917660:DXS917665 EHO917660:EHO917665 ERK917660:ERK917665 FBG917660:FBG917665 FLC917660:FLC917665 FUY917660:FUY917665 GEU917660:GEU917665 GOQ917660:GOQ917665 GYM917660:GYM917665 HII917660:HII917665 HSE917660:HSE917665 ICA917660:ICA917665 ILW917660:ILW917665 IVS917660:IVS917665 JFO917660:JFO917665 JPK917660:JPK917665 JZG917660:JZG917665 KJC917660:KJC917665 KSY917660:KSY917665 LCU917660:LCU917665 LMQ917660:LMQ917665 LWM917660:LWM917665 MGI917660:MGI917665 MQE917660:MQE917665 NAA917660:NAA917665 NJW917660:NJW917665 NTS917660:NTS917665 ODO917660:ODO917665 ONK917660:ONK917665 OXG917660:OXG917665 PHC917660:PHC917665 PQY917660:PQY917665 QAU917660:QAU917665 QKQ917660:QKQ917665 QUM917660:QUM917665 REI917660:REI917665 ROE917660:ROE917665 RYA917660:RYA917665 SHW917660:SHW917665 SRS917660:SRS917665 TBO917660:TBO917665 TLK917660:TLK917665 TVG917660:TVG917665 UFC917660:UFC917665 UOY917660:UOY917665 UYU917660:UYU917665 VIQ917660:VIQ917665 VSM917660:VSM917665 WCI917660:WCI917665 WME917660:WME917665 WWA917660:WWA917665 S983196:S983201 JO983196:JO983201 TK983196:TK983201 ADG983196:ADG983201 ANC983196:ANC983201 AWY983196:AWY983201 BGU983196:BGU983201 BQQ983196:BQQ983201 CAM983196:CAM983201 CKI983196:CKI983201 CUE983196:CUE983201 DEA983196:DEA983201 DNW983196:DNW983201 DXS983196:DXS983201 EHO983196:EHO983201 ERK983196:ERK983201 FBG983196:FBG983201 FLC983196:FLC983201 FUY983196:FUY983201 GEU983196:GEU983201 GOQ983196:GOQ983201 GYM983196:GYM983201 HII983196:HII983201 HSE983196:HSE983201 ICA983196:ICA983201 ILW983196:ILW983201 IVS983196:IVS983201 JFO983196:JFO983201 JPK983196:JPK983201 JZG983196:JZG983201 KJC983196:KJC983201 KSY983196:KSY983201 LCU983196:LCU983201 LMQ983196:LMQ983201 LWM983196:LWM983201 MGI983196:MGI983201 MQE983196:MQE983201 NAA983196:NAA983201 NJW983196:NJW983201 NTS983196:NTS983201 ODO983196:ODO983201 ONK983196:ONK983201 OXG983196:OXG983201 PHC983196:PHC983201 PQY983196:PQY983201 QAU983196:QAU983201 QKQ983196:QKQ983201 QUM983196:QUM983201 REI983196:REI983201 ROE983196:ROE983201 RYA983196:RYA983201 SHW983196:SHW983201 SRS983196:SRS983201 TBO983196:TBO983201 TLK983196:TLK983201 TVG983196:TVG983201 UFC983196:UFC983201 UOY983196:UOY983201 UYU983196:UYU983201 VIQ983196:VIQ983201 VSM983196:VSM983201 WCI983196:WCI983201 WME983196:WME983201 WWA983196:WWA983201 S207:S208 JO207:JO208 TK207:TK208 ADG207:ADG208 ANC207:ANC208 AWY207:AWY208 BGU207:BGU208 BQQ207:BQQ208 CAM207:CAM208 CKI207:CKI208 CUE207:CUE208 DEA207:DEA208 DNW207:DNW208 DXS207:DXS208 EHO207:EHO208 ERK207:ERK208 FBG207:FBG208 FLC207:FLC208 FUY207:FUY208 GEU207:GEU208 GOQ207:GOQ208 GYM207:GYM208 HII207:HII208 HSE207:HSE208 ICA207:ICA208 ILW207:ILW208 IVS207:IVS208 JFO207:JFO208 JPK207:JPK208 JZG207:JZG208 KJC207:KJC208 KSY207:KSY208 LCU207:LCU208 LMQ207:LMQ208 LWM207:LWM208 MGI207:MGI208 MQE207:MQE208 NAA207:NAA208 NJW207:NJW208 NTS207:NTS208 ODO207:ODO208 ONK207:ONK208 OXG207:OXG208 PHC207:PHC208 PQY207:PQY208 QAU207:QAU208 QKQ207:QKQ208 QUM207:QUM208 REI207:REI208 ROE207:ROE208 RYA207:RYA208 SHW207:SHW208 SRS207:SRS208 TBO207:TBO208 TLK207:TLK208 TVG207:TVG208 UFC207:UFC208 UOY207:UOY208 UYU207:UYU208 VIQ207:VIQ208 VSM207:VSM208 WCI207:WCI208 WME207:WME208 WWA207:WWA208 S65743:S65744 JO65743:JO65744 TK65743:TK65744 ADG65743:ADG65744 ANC65743:ANC65744 AWY65743:AWY65744 BGU65743:BGU65744 BQQ65743:BQQ65744 CAM65743:CAM65744 CKI65743:CKI65744 CUE65743:CUE65744 DEA65743:DEA65744 DNW65743:DNW65744 DXS65743:DXS65744 EHO65743:EHO65744 ERK65743:ERK65744 FBG65743:FBG65744 FLC65743:FLC65744 FUY65743:FUY65744 GEU65743:GEU65744 GOQ65743:GOQ65744 GYM65743:GYM65744 HII65743:HII65744 HSE65743:HSE65744 ICA65743:ICA65744 ILW65743:ILW65744 IVS65743:IVS65744 JFO65743:JFO65744 JPK65743:JPK65744 JZG65743:JZG65744 KJC65743:KJC65744 KSY65743:KSY65744 LCU65743:LCU65744 LMQ65743:LMQ65744 LWM65743:LWM65744 MGI65743:MGI65744 MQE65743:MQE65744 NAA65743:NAA65744 NJW65743:NJW65744 NTS65743:NTS65744 ODO65743:ODO65744 ONK65743:ONK65744 OXG65743:OXG65744 PHC65743:PHC65744 PQY65743:PQY65744 QAU65743:QAU65744 QKQ65743:QKQ65744 QUM65743:QUM65744 REI65743:REI65744 ROE65743:ROE65744 RYA65743:RYA65744 SHW65743:SHW65744 SRS65743:SRS65744 TBO65743:TBO65744 TLK65743:TLK65744 TVG65743:TVG65744 UFC65743:UFC65744 UOY65743:UOY65744 UYU65743:UYU65744 VIQ65743:VIQ65744 VSM65743:VSM65744 WCI65743:WCI65744 WME65743:WME65744 WWA65743:WWA65744 S131279:S131280 JO131279:JO131280 TK131279:TK131280 ADG131279:ADG131280 ANC131279:ANC131280 AWY131279:AWY131280 BGU131279:BGU131280 BQQ131279:BQQ131280 CAM131279:CAM131280 CKI131279:CKI131280 CUE131279:CUE131280 DEA131279:DEA131280 DNW131279:DNW131280 DXS131279:DXS131280 EHO131279:EHO131280 ERK131279:ERK131280 FBG131279:FBG131280 FLC131279:FLC131280 FUY131279:FUY131280 GEU131279:GEU131280 GOQ131279:GOQ131280 GYM131279:GYM131280 HII131279:HII131280 HSE131279:HSE131280 ICA131279:ICA131280 ILW131279:ILW131280 IVS131279:IVS131280 JFO131279:JFO131280 JPK131279:JPK131280 JZG131279:JZG131280 KJC131279:KJC131280 KSY131279:KSY131280 LCU131279:LCU131280 LMQ131279:LMQ131280 LWM131279:LWM131280 MGI131279:MGI131280 MQE131279:MQE131280 NAA131279:NAA131280 NJW131279:NJW131280 NTS131279:NTS131280 ODO131279:ODO131280 ONK131279:ONK131280 OXG131279:OXG131280 PHC131279:PHC131280 PQY131279:PQY131280 QAU131279:QAU131280 QKQ131279:QKQ131280 QUM131279:QUM131280 REI131279:REI131280 ROE131279:ROE131280 RYA131279:RYA131280 SHW131279:SHW131280 SRS131279:SRS131280 TBO131279:TBO131280 TLK131279:TLK131280 TVG131279:TVG131280 UFC131279:UFC131280 UOY131279:UOY131280 UYU131279:UYU131280 VIQ131279:VIQ131280 VSM131279:VSM131280 WCI131279:WCI131280 WME131279:WME131280 WWA131279:WWA131280 S196815:S196816 JO196815:JO196816 TK196815:TK196816 ADG196815:ADG196816 ANC196815:ANC196816 AWY196815:AWY196816 BGU196815:BGU196816 BQQ196815:BQQ196816 CAM196815:CAM196816 CKI196815:CKI196816 CUE196815:CUE196816 DEA196815:DEA196816 DNW196815:DNW196816 DXS196815:DXS196816 EHO196815:EHO196816 ERK196815:ERK196816 FBG196815:FBG196816 FLC196815:FLC196816 FUY196815:FUY196816 GEU196815:GEU196816 GOQ196815:GOQ196816 GYM196815:GYM196816 HII196815:HII196816 HSE196815:HSE196816 ICA196815:ICA196816 ILW196815:ILW196816 IVS196815:IVS196816 JFO196815:JFO196816 JPK196815:JPK196816 JZG196815:JZG196816 KJC196815:KJC196816 KSY196815:KSY196816 LCU196815:LCU196816 LMQ196815:LMQ196816 LWM196815:LWM196816 MGI196815:MGI196816 MQE196815:MQE196816 NAA196815:NAA196816 NJW196815:NJW196816 NTS196815:NTS196816 ODO196815:ODO196816 ONK196815:ONK196816 OXG196815:OXG196816 PHC196815:PHC196816 PQY196815:PQY196816 QAU196815:QAU196816 QKQ196815:QKQ196816 QUM196815:QUM196816 REI196815:REI196816 ROE196815:ROE196816 RYA196815:RYA196816 SHW196815:SHW196816 SRS196815:SRS196816 TBO196815:TBO196816 TLK196815:TLK196816 TVG196815:TVG196816 UFC196815:UFC196816 UOY196815:UOY196816 UYU196815:UYU196816 VIQ196815:VIQ196816 VSM196815:VSM196816 WCI196815:WCI196816 WME196815:WME196816 WWA196815:WWA196816 S262351:S262352 JO262351:JO262352 TK262351:TK262352 ADG262351:ADG262352 ANC262351:ANC262352 AWY262351:AWY262352 BGU262351:BGU262352 BQQ262351:BQQ262352 CAM262351:CAM262352 CKI262351:CKI262352 CUE262351:CUE262352 DEA262351:DEA262352 DNW262351:DNW262352 DXS262351:DXS262352 EHO262351:EHO262352 ERK262351:ERK262352 FBG262351:FBG262352 FLC262351:FLC262352 FUY262351:FUY262352 GEU262351:GEU262352 GOQ262351:GOQ262352 GYM262351:GYM262352 HII262351:HII262352 HSE262351:HSE262352 ICA262351:ICA262352 ILW262351:ILW262352 IVS262351:IVS262352 JFO262351:JFO262352 JPK262351:JPK262352 JZG262351:JZG262352 KJC262351:KJC262352 KSY262351:KSY262352 LCU262351:LCU262352 LMQ262351:LMQ262352 LWM262351:LWM262352 MGI262351:MGI262352 MQE262351:MQE262352 NAA262351:NAA262352 NJW262351:NJW262352 NTS262351:NTS262352 ODO262351:ODO262352 ONK262351:ONK262352 OXG262351:OXG262352 PHC262351:PHC262352 PQY262351:PQY262352 QAU262351:QAU262352 QKQ262351:QKQ262352 QUM262351:QUM262352 REI262351:REI262352 ROE262351:ROE262352 RYA262351:RYA262352 SHW262351:SHW262352 SRS262351:SRS262352 TBO262351:TBO262352 TLK262351:TLK262352 TVG262351:TVG262352 UFC262351:UFC262352 UOY262351:UOY262352 UYU262351:UYU262352 VIQ262351:VIQ262352 VSM262351:VSM262352 WCI262351:WCI262352 WME262351:WME262352 WWA262351:WWA262352 S327887:S327888 JO327887:JO327888 TK327887:TK327888 ADG327887:ADG327888 ANC327887:ANC327888 AWY327887:AWY327888 BGU327887:BGU327888 BQQ327887:BQQ327888 CAM327887:CAM327888 CKI327887:CKI327888 CUE327887:CUE327888 DEA327887:DEA327888 DNW327887:DNW327888 DXS327887:DXS327888 EHO327887:EHO327888 ERK327887:ERK327888 FBG327887:FBG327888 FLC327887:FLC327888 FUY327887:FUY327888 GEU327887:GEU327888 GOQ327887:GOQ327888 GYM327887:GYM327888 HII327887:HII327888 HSE327887:HSE327888 ICA327887:ICA327888 ILW327887:ILW327888 IVS327887:IVS327888 JFO327887:JFO327888 JPK327887:JPK327888 JZG327887:JZG327888 KJC327887:KJC327888 KSY327887:KSY327888 LCU327887:LCU327888 LMQ327887:LMQ327888 LWM327887:LWM327888 MGI327887:MGI327888 MQE327887:MQE327888 NAA327887:NAA327888 NJW327887:NJW327888 NTS327887:NTS327888 ODO327887:ODO327888 ONK327887:ONK327888 OXG327887:OXG327888 PHC327887:PHC327888 PQY327887:PQY327888 QAU327887:QAU327888 QKQ327887:QKQ327888 QUM327887:QUM327888 REI327887:REI327888 ROE327887:ROE327888 RYA327887:RYA327888 SHW327887:SHW327888 SRS327887:SRS327888 TBO327887:TBO327888 TLK327887:TLK327888 TVG327887:TVG327888 UFC327887:UFC327888 UOY327887:UOY327888 UYU327887:UYU327888 VIQ327887:VIQ327888 VSM327887:VSM327888 WCI327887:WCI327888 WME327887:WME327888 WWA327887:WWA327888 S393423:S393424 JO393423:JO393424 TK393423:TK393424 ADG393423:ADG393424 ANC393423:ANC393424 AWY393423:AWY393424 BGU393423:BGU393424 BQQ393423:BQQ393424 CAM393423:CAM393424 CKI393423:CKI393424 CUE393423:CUE393424 DEA393423:DEA393424 DNW393423:DNW393424 DXS393423:DXS393424 EHO393423:EHO393424 ERK393423:ERK393424 FBG393423:FBG393424 FLC393423:FLC393424 FUY393423:FUY393424 GEU393423:GEU393424 GOQ393423:GOQ393424 GYM393423:GYM393424 HII393423:HII393424 HSE393423:HSE393424 ICA393423:ICA393424 ILW393423:ILW393424 IVS393423:IVS393424 JFO393423:JFO393424 JPK393423:JPK393424 JZG393423:JZG393424 KJC393423:KJC393424 KSY393423:KSY393424 LCU393423:LCU393424 LMQ393423:LMQ393424 LWM393423:LWM393424 MGI393423:MGI393424 MQE393423:MQE393424 NAA393423:NAA393424 NJW393423:NJW393424 NTS393423:NTS393424 ODO393423:ODO393424 ONK393423:ONK393424 OXG393423:OXG393424 PHC393423:PHC393424 PQY393423:PQY393424 QAU393423:QAU393424 QKQ393423:QKQ393424 QUM393423:QUM393424 REI393423:REI393424 ROE393423:ROE393424 RYA393423:RYA393424 SHW393423:SHW393424 SRS393423:SRS393424 TBO393423:TBO393424 TLK393423:TLK393424 TVG393423:TVG393424 UFC393423:UFC393424 UOY393423:UOY393424 UYU393423:UYU393424 VIQ393423:VIQ393424 VSM393423:VSM393424 WCI393423:WCI393424 WME393423:WME393424 WWA393423:WWA393424 S458959:S458960 JO458959:JO458960 TK458959:TK458960 ADG458959:ADG458960 ANC458959:ANC458960 AWY458959:AWY458960 BGU458959:BGU458960 BQQ458959:BQQ458960 CAM458959:CAM458960 CKI458959:CKI458960 CUE458959:CUE458960 DEA458959:DEA458960 DNW458959:DNW458960 DXS458959:DXS458960 EHO458959:EHO458960 ERK458959:ERK458960 FBG458959:FBG458960 FLC458959:FLC458960 FUY458959:FUY458960 GEU458959:GEU458960 GOQ458959:GOQ458960 GYM458959:GYM458960 HII458959:HII458960 HSE458959:HSE458960 ICA458959:ICA458960 ILW458959:ILW458960 IVS458959:IVS458960 JFO458959:JFO458960 JPK458959:JPK458960 JZG458959:JZG458960 KJC458959:KJC458960 KSY458959:KSY458960 LCU458959:LCU458960 LMQ458959:LMQ458960 LWM458959:LWM458960 MGI458959:MGI458960 MQE458959:MQE458960 NAA458959:NAA458960 NJW458959:NJW458960 NTS458959:NTS458960 ODO458959:ODO458960 ONK458959:ONK458960 OXG458959:OXG458960 PHC458959:PHC458960 PQY458959:PQY458960 QAU458959:QAU458960 QKQ458959:QKQ458960 QUM458959:QUM458960 REI458959:REI458960 ROE458959:ROE458960 RYA458959:RYA458960 SHW458959:SHW458960 SRS458959:SRS458960 TBO458959:TBO458960 TLK458959:TLK458960 TVG458959:TVG458960 UFC458959:UFC458960 UOY458959:UOY458960 UYU458959:UYU458960 VIQ458959:VIQ458960 VSM458959:VSM458960 WCI458959:WCI458960 WME458959:WME458960 WWA458959:WWA458960 S524495:S524496 JO524495:JO524496 TK524495:TK524496 ADG524495:ADG524496 ANC524495:ANC524496 AWY524495:AWY524496 BGU524495:BGU524496 BQQ524495:BQQ524496 CAM524495:CAM524496 CKI524495:CKI524496 CUE524495:CUE524496 DEA524495:DEA524496 DNW524495:DNW524496 DXS524495:DXS524496 EHO524495:EHO524496 ERK524495:ERK524496 FBG524495:FBG524496 FLC524495:FLC524496 FUY524495:FUY524496 GEU524495:GEU524496 GOQ524495:GOQ524496 GYM524495:GYM524496 HII524495:HII524496 HSE524495:HSE524496 ICA524495:ICA524496 ILW524495:ILW524496 IVS524495:IVS524496 JFO524495:JFO524496 JPK524495:JPK524496 JZG524495:JZG524496 KJC524495:KJC524496 KSY524495:KSY524496 LCU524495:LCU524496 LMQ524495:LMQ524496 LWM524495:LWM524496 MGI524495:MGI524496 MQE524495:MQE524496 NAA524495:NAA524496 NJW524495:NJW524496 NTS524495:NTS524496 ODO524495:ODO524496 ONK524495:ONK524496 OXG524495:OXG524496 PHC524495:PHC524496 PQY524495:PQY524496 QAU524495:QAU524496 QKQ524495:QKQ524496 QUM524495:QUM524496 REI524495:REI524496 ROE524495:ROE524496 RYA524495:RYA524496 SHW524495:SHW524496 SRS524495:SRS524496 TBO524495:TBO524496 TLK524495:TLK524496 TVG524495:TVG524496 UFC524495:UFC524496 UOY524495:UOY524496 UYU524495:UYU524496 VIQ524495:VIQ524496 VSM524495:VSM524496 WCI524495:WCI524496 WME524495:WME524496 WWA524495:WWA524496 S590031:S590032 JO590031:JO590032 TK590031:TK590032 ADG590031:ADG590032 ANC590031:ANC590032 AWY590031:AWY590032 BGU590031:BGU590032 BQQ590031:BQQ590032 CAM590031:CAM590032 CKI590031:CKI590032 CUE590031:CUE590032 DEA590031:DEA590032 DNW590031:DNW590032 DXS590031:DXS590032 EHO590031:EHO590032 ERK590031:ERK590032 FBG590031:FBG590032 FLC590031:FLC590032 FUY590031:FUY590032 GEU590031:GEU590032 GOQ590031:GOQ590032 GYM590031:GYM590032 HII590031:HII590032 HSE590031:HSE590032 ICA590031:ICA590032 ILW590031:ILW590032 IVS590031:IVS590032 JFO590031:JFO590032 JPK590031:JPK590032 JZG590031:JZG590032 KJC590031:KJC590032 KSY590031:KSY590032 LCU590031:LCU590032 LMQ590031:LMQ590032 LWM590031:LWM590032 MGI590031:MGI590032 MQE590031:MQE590032 NAA590031:NAA590032 NJW590031:NJW590032 NTS590031:NTS590032 ODO590031:ODO590032 ONK590031:ONK590032 OXG590031:OXG590032 PHC590031:PHC590032 PQY590031:PQY590032 QAU590031:QAU590032 QKQ590031:QKQ590032 QUM590031:QUM590032 REI590031:REI590032 ROE590031:ROE590032 RYA590031:RYA590032 SHW590031:SHW590032 SRS590031:SRS590032 TBO590031:TBO590032 TLK590031:TLK590032 TVG590031:TVG590032 UFC590031:UFC590032 UOY590031:UOY590032 UYU590031:UYU590032 VIQ590031:VIQ590032 VSM590031:VSM590032 WCI590031:WCI590032 WME590031:WME590032 WWA590031:WWA590032 S655567:S655568 JO655567:JO655568 TK655567:TK655568 ADG655567:ADG655568 ANC655567:ANC655568 AWY655567:AWY655568 BGU655567:BGU655568 BQQ655567:BQQ655568 CAM655567:CAM655568 CKI655567:CKI655568 CUE655567:CUE655568 DEA655567:DEA655568 DNW655567:DNW655568 DXS655567:DXS655568 EHO655567:EHO655568 ERK655567:ERK655568 FBG655567:FBG655568 FLC655567:FLC655568 FUY655567:FUY655568 GEU655567:GEU655568 GOQ655567:GOQ655568 GYM655567:GYM655568 HII655567:HII655568 HSE655567:HSE655568 ICA655567:ICA655568 ILW655567:ILW655568 IVS655567:IVS655568 JFO655567:JFO655568 JPK655567:JPK655568 JZG655567:JZG655568 KJC655567:KJC655568 KSY655567:KSY655568 LCU655567:LCU655568 LMQ655567:LMQ655568 LWM655567:LWM655568 MGI655567:MGI655568 MQE655567:MQE655568 NAA655567:NAA655568 NJW655567:NJW655568 NTS655567:NTS655568 ODO655567:ODO655568 ONK655567:ONK655568 OXG655567:OXG655568 PHC655567:PHC655568 PQY655567:PQY655568 QAU655567:QAU655568 QKQ655567:QKQ655568 QUM655567:QUM655568 REI655567:REI655568 ROE655567:ROE655568 RYA655567:RYA655568 SHW655567:SHW655568 SRS655567:SRS655568 TBO655567:TBO655568 TLK655567:TLK655568 TVG655567:TVG655568 UFC655567:UFC655568 UOY655567:UOY655568 UYU655567:UYU655568 VIQ655567:VIQ655568 VSM655567:VSM655568 WCI655567:WCI655568 WME655567:WME655568 WWA655567:WWA655568 S721103:S721104 JO721103:JO721104 TK721103:TK721104 ADG721103:ADG721104 ANC721103:ANC721104 AWY721103:AWY721104 BGU721103:BGU721104 BQQ721103:BQQ721104 CAM721103:CAM721104 CKI721103:CKI721104 CUE721103:CUE721104 DEA721103:DEA721104 DNW721103:DNW721104 DXS721103:DXS721104 EHO721103:EHO721104 ERK721103:ERK721104 FBG721103:FBG721104 FLC721103:FLC721104 FUY721103:FUY721104 GEU721103:GEU721104 GOQ721103:GOQ721104 GYM721103:GYM721104 HII721103:HII721104 HSE721103:HSE721104 ICA721103:ICA721104 ILW721103:ILW721104 IVS721103:IVS721104 JFO721103:JFO721104 JPK721103:JPK721104 JZG721103:JZG721104 KJC721103:KJC721104 KSY721103:KSY721104 LCU721103:LCU721104 LMQ721103:LMQ721104 LWM721103:LWM721104 MGI721103:MGI721104 MQE721103:MQE721104 NAA721103:NAA721104 NJW721103:NJW721104 NTS721103:NTS721104 ODO721103:ODO721104 ONK721103:ONK721104 OXG721103:OXG721104 PHC721103:PHC721104 PQY721103:PQY721104 QAU721103:QAU721104 QKQ721103:QKQ721104 QUM721103:QUM721104 REI721103:REI721104 ROE721103:ROE721104 RYA721103:RYA721104 SHW721103:SHW721104 SRS721103:SRS721104 TBO721103:TBO721104 TLK721103:TLK721104 TVG721103:TVG721104 UFC721103:UFC721104 UOY721103:UOY721104 UYU721103:UYU721104 VIQ721103:VIQ721104 VSM721103:VSM721104 WCI721103:WCI721104 WME721103:WME721104 WWA721103:WWA721104 S786639:S786640 JO786639:JO786640 TK786639:TK786640 ADG786639:ADG786640 ANC786639:ANC786640 AWY786639:AWY786640 BGU786639:BGU786640 BQQ786639:BQQ786640 CAM786639:CAM786640 CKI786639:CKI786640 CUE786639:CUE786640 DEA786639:DEA786640 DNW786639:DNW786640 DXS786639:DXS786640 EHO786639:EHO786640 ERK786639:ERK786640 FBG786639:FBG786640 FLC786639:FLC786640 FUY786639:FUY786640 GEU786639:GEU786640 GOQ786639:GOQ786640 GYM786639:GYM786640 HII786639:HII786640 HSE786639:HSE786640 ICA786639:ICA786640 ILW786639:ILW786640 IVS786639:IVS786640 JFO786639:JFO786640 JPK786639:JPK786640 JZG786639:JZG786640 KJC786639:KJC786640 KSY786639:KSY786640 LCU786639:LCU786640 LMQ786639:LMQ786640 LWM786639:LWM786640 MGI786639:MGI786640 MQE786639:MQE786640 NAA786639:NAA786640 NJW786639:NJW786640 NTS786639:NTS786640 ODO786639:ODO786640 ONK786639:ONK786640 OXG786639:OXG786640 PHC786639:PHC786640 PQY786639:PQY786640 QAU786639:QAU786640 QKQ786639:QKQ786640 QUM786639:QUM786640 REI786639:REI786640 ROE786639:ROE786640 RYA786639:RYA786640 SHW786639:SHW786640 SRS786639:SRS786640 TBO786639:TBO786640 TLK786639:TLK786640 TVG786639:TVG786640 UFC786639:UFC786640 UOY786639:UOY786640 UYU786639:UYU786640 VIQ786639:VIQ786640 VSM786639:VSM786640 WCI786639:WCI786640 WME786639:WME786640 WWA786639:WWA786640 S852175:S852176 JO852175:JO852176 TK852175:TK852176 ADG852175:ADG852176 ANC852175:ANC852176 AWY852175:AWY852176 BGU852175:BGU852176 BQQ852175:BQQ852176 CAM852175:CAM852176 CKI852175:CKI852176 CUE852175:CUE852176 DEA852175:DEA852176 DNW852175:DNW852176 DXS852175:DXS852176 EHO852175:EHO852176 ERK852175:ERK852176 FBG852175:FBG852176 FLC852175:FLC852176 FUY852175:FUY852176 GEU852175:GEU852176 GOQ852175:GOQ852176 GYM852175:GYM852176 HII852175:HII852176 HSE852175:HSE852176 ICA852175:ICA852176 ILW852175:ILW852176 IVS852175:IVS852176 JFO852175:JFO852176 JPK852175:JPK852176 JZG852175:JZG852176 KJC852175:KJC852176 KSY852175:KSY852176 LCU852175:LCU852176 LMQ852175:LMQ852176 LWM852175:LWM852176 MGI852175:MGI852176 MQE852175:MQE852176 NAA852175:NAA852176 NJW852175:NJW852176 NTS852175:NTS852176 ODO852175:ODO852176 ONK852175:ONK852176 OXG852175:OXG852176 PHC852175:PHC852176 PQY852175:PQY852176 QAU852175:QAU852176 QKQ852175:QKQ852176 QUM852175:QUM852176 REI852175:REI852176 ROE852175:ROE852176 RYA852175:RYA852176 SHW852175:SHW852176 SRS852175:SRS852176 TBO852175:TBO852176 TLK852175:TLK852176 TVG852175:TVG852176 UFC852175:UFC852176 UOY852175:UOY852176 UYU852175:UYU852176 VIQ852175:VIQ852176 VSM852175:VSM852176 WCI852175:WCI852176 WME852175:WME852176 WWA852175:WWA852176 S917711:S917712 JO917711:JO917712 TK917711:TK917712 ADG917711:ADG917712 ANC917711:ANC917712 AWY917711:AWY917712 BGU917711:BGU917712 BQQ917711:BQQ917712 CAM917711:CAM917712 CKI917711:CKI917712 CUE917711:CUE917712 DEA917711:DEA917712 DNW917711:DNW917712 DXS917711:DXS917712 EHO917711:EHO917712 ERK917711:ERK917712 FBG917711:FBG917712 FLC917711:FLC917712 FUY917711:FUY917712 GEU917711:GEU917712 GOQ917711:GOQ917712 GYM917711:GYM917712 HII917711:HII917712 HSE917711:HSE917712 ICA917711:ICA917712 ILW917711:ILW917712 IVS917711:IVS917712 JFO917711:JFO917712 JPK917711:JPK917712 JZG917711:JZG917712 KJC917711:KJC917712 KSY917711:KSY917712 LCU917711:LCU917712 LMQ917711:LMQ917712 LWM917711:LWM917712 MGI917711:MGI917712 MQE917711:MQE917712 NAA917711:NAA917712 NJW917711:NJW917712 NTS917711:NTS917712 ODO917711:ODO917712 ONK917711:ONK917712 OXG917711:OXG917712 PHC917711:PHC917712 PQY917711:PQY917712 QAU917711:QAU917712 QKQ917711:QKQ917712 QUM917711:QUM917712 REI917711:REI917712 ROE917711:ROE917712 RYA917711:RYA917712 SHW917711:SHW917712 SRS917711:SRS917712 TBO917711:TBO917712 TLK917711:TLK917712 TVG917711:TVG917712 UFC917711:UFC917712 UOY917711:UOY917712 UYU917711:UYU917712 VIQ917711:VIQ917712 VSM917711:VSM917712 WCI917711:WCI917712 WME917711:WME917712 WWA917711:WWA917712 S983247:S983248 JO983247:JO983248 TK983247:TK983248 ADG983247:ADG983248 ANC983247:ANC983248 AWY983247:AWY983248 BGU983247:BGU983248 BQQ983247:BQQ983248 CAM983247:CAM983248 CKI983247:CKI983248 CUE983247:CUE983248 DEA983247:DEA983248 DNW983247:DNW983248 DXS983247:DXS983248 EHO983247:EHO983248 ERK983247:ERK983248 FBG983247:FBG983248 FLC983247:FLC983248 FUY983247:FUY983248 GEU983247:GEU983248 GOQ983247:GOQ983248 GYM983247:GYM983248 HII983247:HII983248 HSE983247:HSE983248 ICA983247:ICA983248 ILW983247:ILW983248 IVS983247:IVS983248 JFO983247:JFO983248 JPK983247:JPK983248 JZG983247:JZG983248 KJC983247:KJC983248 KSY983247:KSY983248 LCU983247:LCU983248 LMQ983247:LMQ983248 LWM983247:LWM983248 MGI983247:MGI983248 MQE983247:MQE983248 NAA983247:NAA983248 NJW983247:NJW983248 NTS983247:NTS983248 ODO983247:ODO983248 ONK983247:ONK983248 OXG983247:OXG983248 PHC983247:PHC983248 PQY983247:PQY983248 QAU983247:QAU983248 QKQ983247:QKQ983248 QUM983247:QUM983248 REI983247:REI983248 ROE983247:ROE983248 RYA983247:RYA983248 SHW983247:SHW983248 SRS983247:SRS983248 TBO983247:TBO983248 TLK983247:TLK983248 TVG983247:TVG983248 UFC983247:UFC983248 UOY983247:UOY983248 UYU983247:UYU983248 VIQ983247:VIQ983248 VSM983247:VSM983248 WCI983247:WCI983248 WME983247:WME983248 WWA983247:WWA983248 S250 JO250 TK250 ADG250 ANC250 AWY250 BGU250 BQQ250 CAM250 CKI250 CUE250 DEA250 DNW250 DXS250 EHO250 ERK250 FBG250 FLC250 FUY250 GEU250 GOQ250 GYM250 HII250 HSE250 ICA250 ILW250 IVS250 JFO250 JPK250 JZG250 KJC250 KSY250 LCU250 LMQ250 LWM250 MGI250 MQE250 NAA250 NJW250 NTS250 ODO250 ONK250 OXG250 PHC250 PQY250 QAU250 QKQ250 QUM250 REI250 ROE250 RYA250 SHW250 SRS250 TBO250 TLK250 TVG250 UFC250 UOY250 UYU250 VIQ250 VSM250 WCI250 WME250 WWA250 S65786 JO65786 TK65786 ADG65786 ANC65786 AWY65786 BGU65786 BQQ65786 CAM65786 CKI65786 CUE65786 DEA65786 DNW65786 DXS65786 EHO65786 ERK65786 FBG65786 FLC65786 FUY65786 GEU65786 GOQ65786 GYM65786 HII65786 HSE65786 ICA65786 ILW65786 IVS65786 JFO65786 JPK65786 JZG65786 KJC65786 KSY65786 LCU65786 LMQ65786 LWM65786 MGI65786 MQE65786 NAA65786 NJW65786 NTS65786 ODO65786 ONK65786 OXG65786 PHC65786 PQY65786 QAU65786 QKQ65786 QUM65786 REI65786 ROE65786 RYA65786 SHW65786 SRS65786 TBO65786 TLK65786 TVG65786 UFC65786 UOY65786 UYU65786 VIQ65786 VSM65786 WCI65786 WME65786 WWA65786 S131322 JO131322 TK131322 ADG131322 ANC131322 AWY131322 BGU131322 BQQ131322 CAM131322 CKI131322 CUE131322 DEA131322 DNW131322 DXS131322 EHO131322 ERK131322 FBG131322 FLC131322 FUY131322 GEU131322 GOQ131322 GYM131322 HII131322 HSE131322 ICA131322 ILW131322 IVS131322 JFO131322 JPK131322 JZG131322 KJC131322 KSY131322 LCU131322 LMQ131322 LWM131322 MGI131322 MQE131322 NAA131322 NJW131322 NTS131322 ODO131322 ONK131322 OXG131322 PHC131322 PQY131322 QAU131322 QKQ131322 QUM131322 REI131322 ROE131322 RYA131322 SHW131322 SRS131322 TBO131322 TLK131322 TVG131322 UFC131322 UOY131322 UYU131322 VIQ131322 VSM131322 WCI131322 WME131322 WWA131322 S196858 JO196858 TK196858 ADG196858 ANC196858 AWY196858 BGU196858 BQQ196858 CAM196858 CKI196858 CUE196858 DEA196858 DNW196858 DXS196858 EHO196858 ERK196858 FBG196858 FLC196858 FUY196858 GEU196858 GOQ196858 GYM196858 HII196858 HSE196858 ICA196858 ILW196858 IVS196858 JFO196858 JPK196858 JZG196858 KJC196858 KSY196858 LCU196858 LMQ196858 LWM196858 MGI196858 MQE196858 NAA196858 NJW196858 NTS196858 ODO196858 ONK196858 OXG196858 PHC196858 PQY196858 QAU196858 QKQ196858 QUM196858 REI196858 ROE196858 RYA196858 SHW196858 SRS196858 TBO196858 TLK196858 TVG196858 UFC196858 UOY196858 UYU196858 VIQ196858 VSM196858 WCI196858 WME196858 WWA196858 S262394 JO262394 TK262394 ADG262394 ANC262394 AWY262394 BGU262394 BQQ262394 CAM262394 CKI262394 CUE262394 DEA262394 DNW262394 DXS262394 EHO262394 ERK262394 FBG262394 FLC262394 FUY262394 GEU262394 GOQ262394 GYM262394 HII262394 HSE262394 ICA262394 ILW262394 IVS262394 JFO262394 JPK262394 JZG262394 KJC262394 KSY262394 LCU262394 LMQ262394 LWM262394 MGI262394 MQE262394 NAA262394 NJW262394 NTS262394 ODO262394 ONK262394 OXG262394 PHC262394 PQY262394 QAU262394 QKQ262394 QUM262394 REI262394 ROE262394 RYA262394 SHW262394 SRS262394 TBO262394 TLK262394 TVG262394 UFC262394 UOY262394 UYU262394 VIQ262394 VSM262394 WCI262394 WME262394 WWA262394 S327930 JO327930 TK327930 ADG327930 ANC327930 AWY327930 BGU327930 BQQ327930 CAM327930 CKI327930 CUE327930 DEA327930 DNW327930 DXS327930 EHO327930 ERK327930 FBG327930 FLC327930 FUY327930 GEU327930 GOQ327930 GYM327930 HII327930 HSE327930 ICA327930 ILW327930 IVS327930 JFO327930 JPK327930 JZG327930 KJC327930 KSY327930 LCU327930 LMQ327930 LWM327930 MGI327930 MQE327930 NAA327930 NJW327930 NTS327930 ODO327930 ONK327930 OXG327930 PHC327930 PQY327930 QAU327930 QKQ327930 QUM327930 REI327930 ROE327930 RYA327930 SHW327930 SRS327930 TBO327930 TLK327930 TVG327930 UFC327930 UOY327930 UYU327930 VIQ327930 VSM327930 WCI327930 WME327930 WWA327930 S393466 JO393466 TK393466 ADG393466 ANC393466 AWY393466 BGU393466 BQQ393466 CAM393466 CKI393466 CUE393466 DEA393466 DNW393466 DXS393466 EHO393466 ERK393466 FBG393466 FLC393466 FUY393466 GEU393466 GOQ393466 GYM393466 HII393466 HSE393466 ICA393466 ILW393466 IVS393466 JFO393466 JPK393466 JZG393466 KJC393466 KSY393466 LCU393466 LMQ393466 LWM393466 MGI393466 MQE393466 NAA393466 NJW393466 NTS393466 ODO393466 ONK393466 OXG393466 PHC393466 PQY393466 QAU393466 QKQ393466 QUM393466 REI393466 ROE393466 RYA393466 SHW393466 SRS393466 TBO393466 TLK393466 TVG393466 UFC393466 UOY393466 UYU393466 VIQ393466 VSM393466 WCI393466 WME393466 WWA393466 S459002 JO459002 TK459002 ADG459002 ANC459002 AWY459002 BGU459002 BQQ459002 CAM459002 CKI459002 CUE459002 DEA459002 DNW459002 DXS459002 EHO459002 ERK459002 FBG459002 FLC459002 FUY459002 GEU459002 GOQ459002 GYM459002 HII459002 HSE459002 ICA459002 ILW459002 IVS459002 JFO459002 JPK459002 JZG459002 KJC459002 KSY459002 LCU459002 LMQ459002 LWM459002 MGI459002 MQE459002 NAA459002 NJW459002 NTS459002 ODO459002 ONK459002 OXG459002 PHC459002 PQY459002 QAU459002 QKQ459002 QUM459002 REI459002 ROE459002 RYA459002 SHW459002 SRS459002 TBO459002 TLK459002 TVG459002 UFC459002 UOY459002 UYU459002 VIQ459002 VSM459002 WCI459002 WME459002 WWA459002 S524538 JO524538 TK524538 ADG524538 ANC524538 AWY524538 BGU524538 BQQ524538 CAM524538 CKI524538 CUE524538 DEA524538 DNW524538 DXS524538 EHO524538 ERK524538 FBG524538 FLC524538 FUY524538 GEU524538 GOQ524538 GYM524538 HII524538 HSE524538 ICA524538 ILW524538 IVS524538 JFO524538 JPK524538 JZG524538 KJC524538 KSY524538 LCU524538 LMQ524538 LWM524538 MGI524538 MQE524538 NAA524538 NJW524538 NTS524538 ODO524538 ONK524538 OXG524538 PHC524538 PQY524538 QAU524538 QKQ524538 QUM524538 REI524538 ROE524538 RYA524538 SHW524538 SRS524538 TBO524538 TLK524538 TVG524538 UFC524538 UOY524538 UYU524538 VIQ524538 VSM524538 WCI524538 WME524538 WWA524538 S590074 JO590074 TK590074 ADG590074 ANC590074 AWY590074 BGU590074 BQQ590074 CAM590074 CKI590074 CUE590074 DEA590074 DNW590074 DXS590074 EHO590074 ERK590074 FBG590074 FLC590074 FUY590074 GEU590074 GOQ590074 GYM590074 HII590074 HSE590074 ICA590074 ILW590074 IVS590074 JFO590074 JPK590074 JZG590074 KJC590074 KSY590074 LCU590074 LMQ590074 LWM590074 MGI590074 MQE590074 NAA590074 NJW590074 NTS590074 ODO590074 ONK590074 OXG590074 PHC590074 PQY590074 QAU590074 QKQ590074 QUM590074 REI590074 ROE590074 RYA590074 SHW590074 SRS590074 TBO590074 TLK590074 TVG590074 UFC590074 UOY590074 UYU590074 VIQ590074 VSM590074 WCI590074 WME590074 WWA590074 S655610 JO655610 TK655610 ADG655610 ANC655610 AWY655610 BGU655610 BQQ655610 CAM655610 CKI655610 CUE655610 DEA655610 DNW655610 DXS655610 EHO655610 ERK655610 FBG655610 FLC655610 FUY655610 GEU655610 GOQ655610 GYM655610 HII655610 HSE655610 ICA655610 ILW655610 IVS655610 JFO655610 JPK655610 JZG655610 KJC655610 KSY655610 LCU655610 LMQ655610 LWM655610 MGI655610 MQE655610 NAA655610 NJW655610 NTS655610 ODO655610 ONK655610 OXG655610 PHC655610 PQY655610 QAU655610 QKQ655610 QUM655610 REI655610 ROE655610 RYA655610 SHW655610 SRS655610 TBO655610 TLK655610 TVG655610 UFC655610 UOY655610 UYU655610 VIQ655610 VSM655610 WCI655610 WME655610 WWA655610 S721146 JO721146 TK721146 ADG721146 ANC721146 AWY721146 BGU721146 BQQ721146 CAM721146 CKI721146 CUE721146 DEA721146 DNW721146 DXS721146 EHO721146 ERK721146 FBG721146 FLC721146 FUY721146 GEU721146 GOQ721146 GYM721146 HII721146 HSE721146 ICA721146 ILW721146 IVS721146 JFO721146 JPK721146 JZG721146 KJC721146 KSY721146 LCU721146 LMQ721146 LWM721146 MGI721146 MQE721146 NAA721146 NJW721146 NTS721146 ODO721146 ONK721146 OXG721146 PHC721146 PQY721146 QAU721146 QKQ721146 QUM721146 REI721146 ROE721146 RYA721146 SHW721146 SRS721146 TBO721146 TLK721146 TVG721146 UFC721146 UOY721146 UYU721146 VIQ721146 VSM721146 WCI721146 WME721146 WWA721146 S786682 JO786682 TK786682 ADG786682 ANC786682 AWY786682 BGU786682 BQQ786682 CAM786682 CKI786682 CUE786682 DEA786682 DNW786682 DXS786682 EHO786682 ERK786682 FBG786682 FLC786682 FUY786682 GEU786682 GOQ786682 GYM786682 HII786682 HSE786682 ICA786682 ILW786682 IVS786682 JFO786682 JPK786682 JZG786682 KJC786682 KSY786682 LCU786682 LMQ786682 LWM786682 MGI786682 MQE786682 NAA786682 NJW786682 NTS786682 ODO786682 ONK786682 OXG786682 PHC786682 PQY786682 QAU786682 QKQ786682 QUM786682 REI786682 ROE786682 RYA786682 SHW786682 SRS786682 TBO786682 TLK786682 TVG786682 UFC786682 UOY786682 UYU786682 VIQ786682 VSM786682 WCI786682 WME786682 WWA786682 S852218 JO852218 TK852218 ADG852218 ANC852218 AWY852218 BGU852218 BQQ852218 CAM852218 CKI852218 CUE852218 DEA852218 DNW852218 DXS852218 EHO852218 ERK852218 FBG852218 FLC852218 FUY852218 GEU852218 GOQ852218 GYM852218 HII852218 HSE852218 ICA852218 ILW852218 IVS852218 JFO852218 JPK852218 JZG852218 KJC852218 KSY852218 LCU852218 LMQ852218 LWM852218 MGI852218 MQE852218 NAA852218 NJW852218 NTS852218 ODO852218 ONK852218 OXG852218 PHC852218 PQY852218 QAU852218 QKQ852218 QUM852218 REI852218 ROE852218 RYA852218 SHW852218 SRS852218 TBO852218 TLK852218 TVG852218 UFC852218 UOY852218 UYU852218 VIQ852218 VSM852218 WCI852218 WME852218 WWA852218 S917754 JO917754 TK917754 ADG917754 ANC917754 AWY917754 BGU917754 BQQ917754 CAM917754 CKI917754 CUE917754 DEA917754 DNW917754 DXS917754 EHO917754 ERK917754 FBG917754 FLC917754 FUY917754 GEU917754 GOQ917754 GYM917754 HII917754 HSE917754 ICA917754 ILW917754 IVS917754 JFO917754 JPK917754 JZG917754 KJC917754 KSY917754 LCU917754 LMQ917754 LWM917754 MGI917754 MQE917754 NAA917754 NJW917754 NTS917754 ODO917754 ONK917754 OXG917754 PHC917754 PQY917754 QAU917754 QKQ917754 QUM917754 REI917754 ROE917754 RYA917754 SHW917754 SRS917754 TBO917754 TLK917754 TVG917754 UFC917754 UOY917754 UYU917754 VIQ917754 VSM917754 WCI917754 WME917754 WWA917754 S983290 JO983290 TK983290 ADG983290 ANC983290 AWY983290 BGU983290 BQQ983290 CAM983290 CKI983290 CUE983290 DEA983290 DNW983290 DXS983290 EHO983290 ERK983290 FBG983290 FLC983290 FUY983290 GEU983290 GOQ983290 GYM983290 HII983290 HSE983290 ICA983290 ILW983290 IVS983290 JFO983290 JPK983290 JZG983290 KJC983290 KSY983290 LCU983290 LMQ983290 LWM983290 MGI983290 MQE983290 NAA983290 NJW983290 NTS983290 ODO983290 ONK983290 OXG983290 PHC983290 PQY983290 QAU983290 QKQ983290 QUM983290 REI983290 ROE983290 RYA983290 SHW983290 SRS983290 TBO983290 TLK983290 TVG983290 UFC983290 UOY983290 UYU983290 VIQ983290 VSM983290 WCI983290 WME983290 WWA983290 S318:S331 JO318:JO331 TK318:TK331 ADG318:ADG331 ANC318:ANC331 AWY318:AWY331 BGU318:BGU331 BQQ318:BQQ331 CAM318:CAM331 CKI318:CKI331 CUE318:CUE331 DEA318:DEA331 DNW318:DNW331 DXS318:DXS331 EHO318:EHO331 ERK318:ERK331 FBG318:FBG331 FLC318:FLC331 FUY318:FUY331 GEU318:GEU331 GOQ318:GOQ331 GYM318:GYM331 HII318:HII331 HSE318:HSE331 ICA318:ICA331 ILW318:ILW331 IVS318:IVS331 JFO318:JFO331 JPK318:JPK331 JZG318:JZG331 KJC318:KJC331 KSY318:KSY331 LCU318:LCU331 LMQ318:LMQ331 LWM318:LWM331 MGI318:MGI331 MQE318:MQE331 NAA318:NAA331 NJW318:NJW331 NTS318:NTS331 ODO318:ODO331 ONK318:ONK331 OXG318:OXG331 PHC318:PHC331 PQY318:PQY331 QAU318:QAU331 QKQ318:QKQ331 QUM318:QUM331 REI318:REI331 ROE318:ROE331 RYA318:RYA331 SHW318:SHW331 SRS318:SRS331 TBO318:TBO331 TLK318:TLK331 TVG318:TVG331 UFC318:UFC331 UOY318:UOY331 UYU318:UYU331 VIQ318:VIQ331 VSM318:VSM331 WCI318:WCI331 WME318:WME331 WWA318:WWA331 S65854:S65867 JO65854:JO65867 TK65854:TK65867 ADG65854:ADG65867 ANC65854:ANC65867 AWY65854:AWY65867 BGU65854:BGU65867 BQQ65854:BQQ65867 CAM65854:CAM65867 CKI65854:CKI65867 CUE65854:CUE65867 DEA65854:DEA65867 DNW65854:DNW65867 DXS65854:DXS65867 EHO65854:EHO65867 ERK65854:ERK65867 FBG65854:FBG65867 FLC65854:FLC65867 FUY65854:FUY65867 GEU65854:GEU65867 GOQ65854:GOQ65867 GYM65854:GYM65867 HII65854:HII65867 HSE65854:HSE65867 ICA65854:ICA65867 ILW65854:ILW65867 IVS65854:IVS65867 JFO65854:JFO65867 JPK65854:JPK65867 JZG65854:JZG65867 KJC65854:KJC65867 KSY65854:KSY65867 LCU65854:LCU65867 LMQ65854:LMQ65867 LWM65854:LWM65867 MGI65854:MGI65867 MQE65854:MQE65867 NAA65854:NAA65867 NJW65854:NJW65867 NTS65854:NTS65867 ODO65854:ODO65867 ONK65854:ONK65867 OXG65854:OXG65867 PHC65854:PHC65867 PQY65854:PQY65867 QAU65854:QAU65867 QKQ65854:QKQ65867 QUM65854:QUM65867 REI65854:REI65867 ROE65854:ROE65867 RYA65854:RYA65867 SHW65854:SHW65867 SRS65854:SRS65867 TBO65854:TBO65867 TLK65854:TLK65867 TVG65854:TVG65867 UFC65854:UFC65867 UOY65854:UOY65867 UYU65854:UYU65867 VIQ65854:VIQ65867 VSM65854:VSM65867 WCI65854:WCI65867 WME65854:WME65867 WWA65854:WWA65867 S131390:S131403 JO131390:JO131403 TK131390:TK131403 ADG131390:ADG131403 ANC131390:ANC131403 AWY131390:AWY131403 BGU131390:BGU131403 BQQ131390:BQQ131403 CAM131390:CAM131403 CKI131390:CKI131403 CUE131390:CUE131403 DEA131390:DEA131403 DNW131390:DNW131403 DXS131390:DXS131403 EHO131390:EHO131403 ERK131390:ERK131403 FBG131390:FBG131403 FLC131390:FLC131403 FUY131390:FUY131403 GEU131390:GEU131403 GOQ131390:GOQ131403 GYM131390:GYM131403 HII131390:HII131403 HSE131390:HSE131403 ICA131390:ICA131403 ILW131390:ILW131403 IVS131390:IVS131403 JFO131390:JFO131403 JPK131390:JPK131403 JZG131390:JZG131403 KJC131390:KJC131403 KSY131390:KSY131403 LCU131390:LCU131403 LMQ131390:LMQ131403 LWM131390:LWM131403 MGI131390:MGI131403 MQE131390:MQE131403 NAA131390:NAA131403 NJW131390:NJW131403 NTS131390:NTS131403 ODO131390:ODO131403 ONK131390:ONK131403 OXG131390:OXG131403 PHC131390:PHC131403 PQY131390:PQY131403 QAU131390:QAU131403 QKQ131390:QKQ131403 QUM131390:QUM131403 REI131390:REI131403 ROE131390:ROE131403 RYA131390:RYA131403 SHW131390:SHW131403 SRS131390:SRS131403 TBO131390:TBO131403 TLK131390:TLK131403 TVG131390:TVG131403 UFC131390:UFC131403 UOY131390:UOY131403 UYU131390:UYU131403 VIQ131390:VIQ131403 VSM131390:VSM131403 WCI131390:WCI131403 WME131390:WME131403 WWA131390:WWA131403 S196926:S196939 JO196926:JO196939 TK196926:TK196939 ADG196926:ADG196939 ANC196926:ANC196939 AWY196926:AWY196939 BGU196926:BGU196939 BQQ196926:BQQ196939 CAM196926:CAM196939 CKI196926:CKI196939 CUE196926:CUE196939 DEA196926:DEA196939 DNW196926:DNW196939 DXS196926:DXS196939 EHO196926:EHO196939 ERK196926:ERK196939 FBG196926:FBG196939 FLC196926:FLC196939 FUY196926:FUY196939 GEU196926:GEU196939 GOQ196926:GOQ196939 GYM196926:GYM196939 HII196926:HII196939 HSE196926:HSE196939 ICA196926:ICA196939 ILW196926:ILW196939 IVS196926:IVS196939 JFO196926:JFO196939 JPK196926:JPK196939 JZG196926:JZG196939 KJC196926:KJC196939 KSY196926:KSY196939 LCU196926:LCU196939 LMQ196926:LMQ196939 LWM196926:LWM196939 MGI196926:MGI196939 MQE196926:MQE196939 NAA196926:NAA196939 NJW196926:NJW196939 NTS196926:NTS196939 ODO196926:ODO196939 ONK196926:ONK196939 OXG196926:OXG196939 PHC196926:PHC196939 PQY196926:PQY196939 QAU196926:QAU196939 QKQ196926:QKQ196939 QUM196926:QUM196939 REI196926:REI196939 ROE196926:ROE196939 RYA196926:RYA196939 SHW196926:SHW196939 SRS196926:SRS196939 TBO196926:TBO196939 TLK196926:TLK196939 TVG196926:TVG196939 UFC196926:UFC196939 UOY196926:UOY196939 UYU196926:UYU196939 VIQ196926:VIQ196939 VSM196926:VSM196939 WCI196926:WCI196939 WME196926:WME196939 WWA196926:WWA196939 S262462:S262475 JO262462:JO262475 TK262462:TK262475 ADG262462:ADG262475 ANC262462:ANC262475 AWY262462:AWY262475 BGU262462:BGU262475 BQQ262462:BQQ262475 CAM262462:CAM262475 CKI262462:CKI262475 CUE262462:CUE262475 DEA262462:DEA262475 DNW262462:DNW262475 DXS262462:DXS262475 EHO262462:EHO262475 ERK262462:ERK262475 FBG262462:FBG262475 FLC262462:FLC262475 FUY262462:FUY262475 GEU262462:GEU262475 GOQ262462:GOQ262475 GYM262462:GYM262475 HII262462:HII262475 HSE262462:HSE262475 ICA262462:ICA262475 ILW262462:ILW262475 IVS262462:IVS262475 JFO262462:JFO262475 JPK262462:JPK262475 JZG262462:JZG262475 KJC262462:KJC262475 KSY262462:KSY262475 LCU262462:LCU262475 LMQ262462:LMQ262475 LWM262462:LWM262475 MGI262462:MGI262475 MQE262462:MQE262475 NAA262462:NAA262475 NJW262462:NJW262475 NTS262462:NTS262475 ODO262462:ODO262475 ONK262462:ONK262475 OXG262462:OXG262475 PHC262462:PHC262475 PQY262462:PQY262475 QAU262462:QAU262475 QKQ262462:QKQ262475 QUM262462:QUM262475 REI262462:REI262475 ROE262462:ROE262475 RYA262462:RYA262475 SHW262462:SHW262475 SRS262462:SRS262475 TBO262462:TBO262475 TLK262462:TLK262475 TVG262462:TVG262475 UFC262462:UFC262475 UOY262462:UOY262475 UYU262462:UYU262475 VIQ262462:VIQ262475 VSM262462:VSM262475 WCI262462:WCI262475 WME262462:WME262475 WWA262462:WWA262475 S327998:S328011 JO327998:JO328011 TK327998:TK328011 ADG327998:ADG328011 ANC327998:ANC328011 AWY327998:AWY328011 BGU327998:BGU328011 BQQ327998:BQQ328011 CAM327998:CAM328011 CKI327998:CKI328011 CUE327998:CUE328011 DEA327998:DEA328011 DNW327998:DNW328011 DXS327998:DXS328011 EHO327998:EHO328011 ERK327998:ERK328011 FBG327998:FBG328011 FLC327998:FLC328011 FUY327998:FUY328011 GEU327998:GEU328011 GOQ327998:GOQ328011 GYM327998:GYM328011 HII327998:HII328011 HSE327998:HSE328011 ICA327998:ICA328011 ILW327998:ILW328011 IVS327998:IVS328011 JFO327998:JFO328011 JPK327998:JPK328011 JZG327998:JZG328011 KJC327998:KJC328011 KSY327998:KSY328011 LCU327998:LCU328011 LMQ327998:LMQ328011 LWM327998:LWM328011 MGI327998:MGI328011 MQE327998:MQE328011 NAA327998:NAA328011 NJW327998:NJW328011 NTS327998:NTS328011 ODO327998:ODO328011 ONK327998:ONK328011 OXG327998:OXG328011 PHC327998:PHC328011 PQY327998:PQY328011 QAU327998:QAU328011 QKQ327998:QKQ328011 QUM327998:QUM328011 REI327998:REI328011 ROE327998:ROE328011 RYA327998:RYA328011 SHW327998:SHW328011 SRS327998:SRS328011 TBO327998:TBO328011 TLK327998:TLK328011 TVG327998:TVG328011 UFC327998:UFC328011 UOY327998:UOY328011 UYU327998:UYU328011 VIQ327998:VIQ328011 VSM327998:VSM328011 WCI327998:WCI328011 WME327998:WME328011 WWA327998:WWA328011 S393534:S393547 JO393534:JO393547 TK393534:TK393547 ADG393534:ADG393547 ANC393534:ANC393547 AWY393534:AWY393547 BGU393534:BGU393547 BQQ393534:BQQ393547 CAM393534:CAM393547 CKI393534:CKI393547 CUE393534:CUE393547 DEA393534:DEA393547 DNW393534:DNW393547 DXS393534:DXS393547 EHO393534:EHO393547 ERK393534:ERK393547 FBG393534:FBG393547 FLC393534:FLC393547 FUY393534:FUY393547 GEU393534:GEU393547 GOQ393534:GOQ393547 GYM393534:GYM393547 HII393534:HII393547 HSE393534:HSE393547 ICA393534:ICA393547 ILW393534:ILW393547 IVS393534:IVS393547 JFO393534:JFO393547 JPK393534:JPK393547 JZG393534:JZG393547 KJC393534:KJC393547 KSY393534:KSY393547 LCU393534:LCU393547 LMQ393534:LMQ393547 LWM393534:LWM393547 MGI393534:MGI393547 MQE393534:MQE393547 NAA393534:NAA393547 NJW393534:NJW393547 NTS393534:NTS393547 ODO393534:ODO393547 ONK393534:ONK393547 OXG393534:OXG393547 PHC393534:PHC393547 PQY393534:PQY393547 QAU393534:QAU393547 QKQ393534:QKQ393547 QUM393534:QUM393547 REI393534:REI393547 ROE393534:ROE393547 RYA393534:RYA393547 SHW393534:SHW393547 SRS393534:SRS393547 TBO393534:TBO393547 TLK393534:TLK393547 TVG393534:TVG393547 UFC393534:UFC393547 UOY393534:UOY393547 UYU393534:UYU393547 VIQ393534:VIQ393547 VSM393534:VSM393547 WCI393534:WCI393547 WME393534:WME393547 WWA393534:WWA393547 S459070:S459083 JO459070:JO459083 TK459070:TK459083 ADG459070:ADG459083 ANC459070:ANC459083 AWY459070:AWY459083 BGU459070:BGU459083 BQQ459070:BQQ459083 CAM459070:CAM459083 CKI459070:CKI459083 CUE459070:CUE459083 DEA459070:DEA459083 DNW459070:DNW459083 DXS459070:DXS459083 EHO459070:EHO459083 ERK459070:ERK459083 FBG459070:FBG459083 FLC459070:FLC459083 FUY459070:FUY459083 GEU459070:GEU459083 GOQ459070:GOQ459083 GYM459070:GYM459083 HII459070:HII459083 HSE459070:HSE459083 ICA459070:ICA459083 ILW459070:ILW459083 IVS459070:IVS459083 JFO459070:JFO459083 JPK459070:JPK459083 JZG459070:JZG459083 KJC459070:KJC459083 KSY459070:KSY459083 LCU459070:LCU459083 LMQ459070:LMQ459083 LWM459070:LWM459083 MGI459070:MGI459083 MQE459070:MQE459083 NAA459070:NAA459083 NJW459070:NJW459083 NTS459070:NTS459083 ODO459070:ODO459083 ONK459070:ONK459083 OXG459070:OXG459083 PHC459070:PHC459083 PQY459070:PQY459083 QAU459070:QAU459083 QKQ459070:QKQ459083 QUM459070:QUM459083 REI459070:REI459083 ROE459070:ROE459083 RYA459070:RYA459083 SHW459070:SHW459083 SRS459070:SRS459083 TBO459070:TBO459083 TLK459070:TLK459083 TVG459070:TVG459083 UFC459070:UFC459083 UOY459070:UOY459083 UYU459070:UYU459083 VIQ459070:VIQ459083 VSM459070:VSM459083 WCI459070:WCI459083 WME459070:WME459083 WWA459070:WWA459083 S524606:S524619 JO524606:JO524619 TK524606:TK524619 ADG524606:ADG524619 ANC524606:ANC524619 AWY524606:AWY524619 BGU524606:BGU524619 BQQ524606:BQQ524619 CAM524606:CAM524619 CKI524606:CKI524619 CUE524606:CUE524619 DEA524606:DEA524619 DNW524606:DNW524619 DXS524606:DXS524619 EHO524606:EHO524619 ERK524606:ERK524619 FBG524606:FBG524619 FLC524606:FLC524619 FUY524606:FUY524619 GEU524606:GEU524619 GOQ524606:GOQ524619 GYM524606:GYM524619 HII524606:HII524619 HSE524606:HSE524619 ICA524606:ICA524619 ILW524606:ILW524619 IVS524606:IVS524619 JFO524606:JFO524619 JPK524606:JPK524619 JZG524606:JZG524619 KJC524606:KJC524619 KSY524606:KSY524619 LCU524606:LCU524619 LMQ524606:LMQ524619 LWM524606:LWM524619 MGI524606:MGI524619 MQE524606:MQE524619 NAA524606:NAA524619 NJW524606:NJW524619 NTS524606:NTS524619 ODO524606:ODO524619 ONK524606:ONK524619 OXG524606:OXG524619 PHC524606:PHC524619 PQY524606:PQY524619 QAU524606:QAU524619 QKQ524606:QKQ524619 QUM524606:QUM524619 REI524606:REI524619 ROE524606:ROE524619 RYA524606:RYA524619 SHW524606:SHW524619 SRS524606:SRS524619 TBO524606:TBO524619 TLK524606:TLK524619 TVG524606:TVG524619 UFC524606:UFC524619 UOY524606:UOY524619 UYU524606:UYU524619 VIQ524606:VIQ524619 VSM524606:VSM524619 WCI524606:WCI524619 WME524606:WME524619 WWA524606:WWA524619 S590142:S590155 JO590142:JO590155 TK590142:TK590155 ADG590142:ADG590155 ANC590142:ANC590155 AWY590142:AWY590155 BGU590142:BGU590155 BQQ590142:BQQ590155 CAM590142:CAM590155 CKI590142:CKI590155 CUE590142:CUE590155 DEA590142:DEA590155 DNW590142:DNW590155 DXS590142:DXS590155 EHO590142:EHO590155 ERK590142:ERK590155 FBG590142:FBG590155 FLC590142:FLC590155 FUY590142:FUY590155 GEU590142:GEU590155 GOQ590142:GOQ590155 GYM590142:GYM590155 HII590142:HII590155 HSE590142:HSE590155 ICA590142:ICA590155 ILW590142:ILW590155 IVS590142:IVS590155 JFO590142:JFO590155 JPK590142:JPK590155 JZG590142:JZG590155 KJC590142:KJC590155 KSY590142:KSY590155 LCU590142:LCU590155 LMQ590142:LMQ590155 LWM590142:LWM590155 MGI590142:MGI590155 MQE590142:MQE590155 NAA590142:NAA590155 NJW590142:NJW590155 NTS590142:NTS590155 ODO590142:ODO590155 ONK590142:ONK590155 OXG590142:OXG590155 PHC590142:PHC590155 PQY590142:PQY590155 QAU590142:QAU590155 QKQ590142:QKQ590155 QUM590142:QUM590155 REI590142:REI590155 ROE590142:ROE590155 RYA590142:RYA590155 SHW590142:SHW590155 SRS590142:SRS590155 TBO590142:TBO590155 TLK590142:TLK590155 TVG590142:TVG590155 UFC590142:UFC590155 UOY590142:UOY590155 UYU590142:UYU590155 VIQ590142:VIQ590155 VSM590142:VSM590155 WCI590142:WCI590155 WME590142:WME590155 WWA590142:WWA590155 S655678:S655691 JO655678:JO655691 TK655678:TK655691 ADG655678:ADG655691 ANC655678:ANC655691 AWY655678:AWY655691 BGU655678:BGU655691 BQQ655678:BQQ655691 CAM655678:CAM655691 CKI655678:CKI655691 CUE655678:CUE655691 DEA655678:DEA655691 DNW655678:DNW655691 DXS655678:DXS655691 EHO655678:EHO655691 ERK655678:ERK655691 FBG655678:FBG655691 FLC655678:FLC655691 FUY655678:FUY655691 GEU655678:GEU655691 GOQ655678:GOQ655691 GYM655678:GYM655691 HII655678:HII655691 HSE655678:HSE655691 ICA655678:ICA655691 ILW655678:ILW655691 IVS655678:IVS655691 JFO655678:JFO655691 JPK655678:JPK655691 JZG655678:JZG655691 KJC655678:KJC655691 KSY655678:KSY655691 LCU655678:LCU655691 LMQ655678:LMQ655691 LWM655678:LWM655691 MGI655678:MGI655691 MQE655678:MQE655691 NAA655678:NAA655691 NJW655678:NJW655691 NTS655678:NTS655691 ODO655678:ODO655691 ONK655678:ONK655691 OXG655678:OXG655691 PHC655678:PHC655691 PQY655678:PQY655691 QAU655678:QAU655691 QKQ655678:QKQ655691 QUM655678:QUM655691 REI655678:REI655691 ROE655678:ROE655691 RYA655678:RYA655691 SHW655678:SHW655691 SRS655678:SRS655691 TBO655678:TBO655691 TLK655678:TLK655691 TVG655678:TVG655691 UFC655678:UFC655691 UOY655678:UOY655691 UYU655678:UYU655691 VIQ655678:VIQ655691 VSM655678:VSM655691 WCI655678:WCI655691 WME655678:WME655691 WWA655678:WWA655691 S721214:S721227 JO721214:JO721227 TK721214:TK721227 ADG721214:ADG721227 ANC721214:ANC721227 AWY721214:AWY721227 BGU721214:BGU721227 BQQ721214:BQQ721227 CAM721214:CAM721227 CKI721214:CKI721227 CUE721214:CUE721227 DEA721214:DEA721227 DNW721214:DNW721227 DXS721214:DXS721227 EHO721214:EHO721227 ERK721214:ERK721227 FBG721214:FBG721227 FLC721214:FLC721227 FUY721214:FUY721227 GEU721214:GEU721227 GOQ721214:GOQ721227 GYM721214:GYM721227 HII721214:HII721227 HSE721214:HSE721227 ICA721214:ICA721227 ILW721214:ILW721227 IVS721214:IVS721227 JFO721214:JFO721227 JPK721214:JPK721227 JZG721214:JZG721227 KJC721214:KJC721227 KSY721214:KSY721227 LCU721214:LCU721227 LMQ721214:LMQ721227 LWM721214:LWM721227 MGI721214:MGI721227 MQE721214:MQE721227 NAA721214:NAA721227 NJW721214:NJW721227 NTS721214:NTS721227 ODO721214:ODO721227 ONK721214:ONK721227 OXG721214:OXG721227 PHC721214:PHC721227 PQY721214:PQY721227 QAU721214:QAU721227 QKQ721214:QKQ721227 QUM721214:QUM721227 REI721214:REI721227 ROE721214:ROE721227 RYA721214:RYA721227 SHW721214:SHW721227 SRS721214:SRS721227 TBO721214:TBO721227 TLK721214:TLK721227 TVG721214:TVG721227 UFC721214:UFC721227 UOY721214:UOY721227 UYU721214:UYU721227 VIQ721214:VIQ721227 VSM721214:VSM721227 WCI721214:WCI721227 WME721214:WME721227 WWA721214:WWA721227 S786750:S786763 JO786750:JO786763 TK786750:TK786763 ADG786750:ADG786763 ANC786750:ANC786763 AWY786750:AWY786763 BGU786750:BGU786763 BQQ786750:BQQ786763 CAM786750:CAM786763 CKI786750:CKI786763 CUE786750:CUE786763 DEA786750:DEA786763 DNW786750:DNW786763 DXS786750:DXS786763 EHO786750:EHO786763 ERK786750:ERK786763 FBG786750:FBG786763 FLC786750:FLC786763 FUY786750:FUY786763 GEU786750:GEU786763 GOQ786750:GOQ786763 GYM786750:GYM786763 HII786750:HII786763 HSE786750:HSE786763 ICA786750:ICA786763 ILW786750:ILW786763 IVS786750:IVS786763 JFO786750:JFO786763 JPK786750:JPK786763 JZG786750:JZG786763 KJC786750:KJC786763 KSY786750:KSY786763 LCU786750:LCU786763 LMQ786750:LMQ786763 LWM786750:LWM786763 MGI786750:MGI786763 MQE786750:MQE786763 NAA786750:NAA786763 NJW786750:NJW786763 NTS786750:NTS786763 ODO786750:ODO786763 ONK786750:ONK786763 OXG786750:OXG786763 PHC786750:PHC786763 PQY786750:PQY786763 QAU786750:QAU786763 QKQ786750:QKQ786763 QUM786750:QUM786763 REI786750:REI786763 ROE786750:ROE786763 RYA786750:RYA786763 SHW786750:SHW786763 SRS786750:SRS786763 TBO786750:TBO786763 TLK786750:TLK786763 TVG786750:TVG786763 UFC786750:UFC786763 UOY786750:UOY786763 UYU786750:UYU786763 VIQ786750:VIQ786763 VSM786750:VSM786763 WCI786750:WCI786763 WME786750:WME786763 WWA786750:WWA786763 S852286:S852299 JO852286:JO852299 TK852286:TK852299 ADG852286:ADG852299 ANC852286:ANC852299 AWY852286:AWY852299 BGU852286:BGU852299 BQQ852286:BQQ852299 CAM852286:CAM852299 CKI852286:CKI852299 CUE852286:CUE852299 DEA852286:DEA852299 DNW852286:DNW852299 DXS852286:DXS852299 EHO852286:EHO852299 ERK852286:ERK852299 FBG852286:FBG852299 FLC852286:FLC852299 FUY852286:FUY852299 GEU852286:GEU852299 GOQ852286:GOQ852299 GYM852286:GYM852299 HII852286:HII852299 HSE852286:HSE852299 ICA852286:ICA852299 ILW852286:ILW852299 IVS852286:IVS852299 JFO852286:JFO852299 JPK852286:JPK852299 JZG852286:JZG852299 KJC852286:KJC852299 KSY852286:KSY852299 LCU852286:LCU852299 LMQ852286:LMQ852299 LWM852286:LWM852299 MGI852286:MGI852299 MQE852286:MQE852299 NAA852286:NAA852299 NJW852286:NJW852299 NTS852286:NTS852299 ODO852286:ODO852299 ONK852286:ONK852299 OXG852286:OXG852299 PHC852286:PHC852299 PQY852286:PQY852299 QAU852286:QAU852299 QKQ852286:QKQ852299 QUM852286:QUM852299 REI852286:REI852299 ROE852286:ROE852299 RYA852286:RYA852299 SHW852286:SHW852299 SRS852286:SRS852299 TBO852286:TBO852299 TLK852286:TLK852299 TVG852286:TVG852299 UFC852286:UFC852299 UOY852286:UOY852299 UYU852286:UYU852299 VIQ852286:VIQ852299 VSM852286:VSM852299 WCI852286:WCI852299 WME852286:WME852299 WWA852286:WWA852299 S917822:S917835 JO917822:JO917835 TK917822:TK917835 ADG917822:ADG917835 ANC917822:ANC917835 AWY917822:AWY917835 BGU917822:BGU917835 BQQ917822:BQQ917835 CAM917822:CAM917835 CKI917822:CKI917835 CUE917822:CUE917835 DEA917822:DEA917835 DNW917822:DNW917835 DXS917822:DXS917835 EHO917822:EHO917835 ERK917822:ERK917835 FBG917822:FBG917835 FLC917822:FLC917835 FUY917822:FUY917835 GEU917822:GEU917835 GOQ917822:GOQ917835 GYM917822:GYM917835 HII917822:HII917835 HSE917822:HSE917835 ICA917822:ICA917835 ILW917822:ILW917835 IVS917822:IVS917835 JFO917822:JFO917835 JPK917822:JPK917835 JZG917822:JZG917835 KJC917822:KJC917835 KSY917822:KSY917835 LCU917822:LCU917835 LMQ917822:LMQ917835 LWM917822:LWM917835 MGI917822:MGI917835 MQE917822:MQE917835 NAA917822:NAA917835 NJW917822:NJW917835 NTS917822:NTS917835 ODO917822:ODO917835 ONK917822:ONK917835 OXG917822:OXG917835 PHC917822:PHC917835 PQY917822:PQY917835 QAU917822:QAU917835 QKQ917822:QKQ917835 QUM917822:QUM917835 REI917822:REI917835 ROE917822:ROE917835 RYA917822:RYA917835 SHW917822:SHW917835 SRS917822:SRS917835 TBO917822:TBO917835 TLK917822:TLK917835 TVG917822:TVG917835 UFC917822:UFC917835 UOY917822:UOY917835 UYU917822:UYU917835 VIQ917822:VIQ917835 VSM917822:VSM917835 WCI917822:WCI917835 WME917822:WME917835 WWA917822:WWA917835 S983358:S983371 JO983358:JO983371 TK983358:TK983371 ADG983358:ADG983371 ANC983358:ANC983371 AWY983358:AWY983371 BGU983358:BGU983371 BQQ983358:BQQ983371 CAM983358:CAM983371 CKI983358:CKI983371 CUE983358:CUE983371 DEA983358:DEA983371 DNW983358:DNW983371 DXS983358:DXS983371 EHO983358:EHO983371 ERK983358:ERK983371 FBG983358:FBG983371 FLC983358:FLC983371 FUY983358:FUY983371 GEU983358:GEU983371 GOQ983358:GOQ983371 GYM983358:GYM983371 HII983358:HII983371 HSE983358:HSE983371 ICA983358:ICA983371 ILW983358:ILW983371 IVS983358:IVS983371 JFO983358:JFO983371 JPK983358:JPK983371 JZG983358:JZG983371 KJC983358:KJC983371 KSY983358:KSY983371 LCU983358:LCU983371 LMQ983358:LMQ983371 LWM983358:LWM983371 MGI983358:MGI983371 MQE983358:MQE983371 NAA983358:NAA983371 NJW983358:NJW983371 NTS983358:NTS983371 ODO983358:ODO983371 ONK983358:ONK983371 OXG983358:OXG983371 PHC983358:PHC983371 PQY983358:PQY983371 QAU983358:QAU983371 QKQ983358:QKQ983371 QUM983358:QUM983371 REI983358:REI983371 ROE983358:ROE983371 RYA983358:RYA983371 SHW983358:SHW983371 SRS983358:SRS983371 TBO983358:TBO983371 TLK983358:TLK983371 TVG983358:TVG983371 UFC983358:UFC983371 UOY983358:UOY983371 UYU983358:UYU983371 VIQ983358:VIQ983371 VSM983358:VSM983371 WCI983358:WCI983371 WME983358:WME983371 WWA983358:WWA983371 S274:S275 JO274:JO275 TK274:TK275 ADG274:ADG275 ANC274:ANC275 AWY274:AWY275 BGU274:BGU275 BQQ274:BQQ275 CAM274:CAM275 CKI274:CKI275 CUE274:CUE275 DEA274:DEA275 DNW274:DNW275 DXS274:DXS275 EHO274:EHO275 ERK274:ERK275 FBG274:FBG275 FLC274:FLC275 FUY274:FUY275 GEU274:GEU275 GOQ274:GOQ275 GYM274:GYM275 HII274:HII275 HSE274:HSE275 ICA274:ICA275 ILW274:ILW275 IVS274:IVS275 JFO274:JFO275 JPK274:JPK275 JZG274:JZG275 KJC274:KJC275 KSY274:KSY275 LCU274:LCU275 LMQ274:LMQ275 LWM274:LWM275 MGI274:MGI275 MQE274:MQE275 NAA274:NAA275 NJW274:NJW275 NTS274:NTS275 ODO274:ODO275 ONK274:ONK275 OXG274:OXG275 PHC274:PHC275 PQY274:PQY275 QAU274:QAU275 QKQ274:QKQ275 QUM274:QUM275 REI274:REI275 ROE274:ROE275 RYA274:RYA275 SHW274:SHW275 SRS274:SRS275 TBO274:TBO275 TLK274:TLK275 TVG274:TVG275 UFC274:UFC275 UOY274:UOY275 UYU274:UYU275 VIQ274:VIQ275 VSM274:VSM275 WCI274:WCI275 WME274:WME275 WWA274:WWA275 S65810:S65811 JO65810:JO65811 TK65810:TK65811 ADG65810:ADG65811 ANC65810:ANC65811 AWY65810:AWY65811 BGU65810:BGU65811 BQQ65810:BQQ65811 CAM65810:CAM65811 CKI65810:CKI65811 CUE65810:CUE65811 DEA65810:DEA65811 DNW65810:DNW65811 DXS65810:DXS65811 EHO65810:EHO65811 ERK65810:ERK65811 FBG65810:FBG65811 FLC65810:FLC65811 FUY65810:FUY65811 GEU65810:GEU65811 GOQ65810:GOQ65811 GYM65810:GYM65811 HII65810:HII65811 HSE65810:HSE65811 ICA65810:ICA65811 ILW65810:ILW65811 IVS65810:IVS65811 JFO65810:JFO65811 JPK65810:JPK65811 JZG65810:JZG65811 KJC65810:KJC65811 KSY65810:KSY65811 LCU65810:LCU65811 LMQ65810:LMQ65811 LWM65810:LWM65811 MGI65810:MGI65811 MQE65810:MQE65811 NAA65810:NAA65811 NJW65810:NJW65811 NTS65810:NTS65811 ODO65810:ODO65811 ONK65810:ONK65811 OXG65810:OXG65811 PHC65810:PHC65811 PQY65810:PQY65811 QAU65810:QAU65811 QKQ65810:QKQ65811 QUM65810:QUM65811 REI65810:REI65811 ROE65810:ROE65811 RYA65810:RYA65811 SHW65810:SHW65811 SRS65810:SRS65811 TBO65810:TBO65811 TLK65810:TLK65811 TVG65810:TVG65811 UFC65810:UFC65811 UOY65810:UOY65811 UYU65810:UYU65811 VIQ65810:VIQ65811 VSM65810:VSM65811 WCI65810:WCI65811 WME65810:WME65811 WWA65810:WWA65811 S131346:S131347 JO131346:JO131347 TK131346:TK131347 ADG131346:ADG131347 ANC131346:ANC131347 AWY131346:AWY131347 BGU131346:BGU131347 BQQ131346:BQQ131347 CAM131346:CAM131347 CKI131346:CKI131347 CUE131346:CUE131347 DEA131346:DEA131347 DNW131346:DNW131347 DXS131346:DXS131347 EHO131346:EHO131347 ERK131346:ERK131347 FBG131346:FBG131347 FLC131346:FLC131347 FUY131346:FUY131347 GEU131346:GEU131347 GOQ131346:GOQ131347 GYM131346:GYM131347 HII131346:HII131347 HSE131346:HSE131347 ICA131346:ICA131347 ILW131346:ILW131347 IVS131346:IVS131347 JFO131346:JFO131347 JPK131346:JPK131347 JZG131346:JZG131347 KJC131346:KJC131347 KSY131346:KSY131347 LCU131346:LCU131347 LMQ131346:LMQ131347 LWM131346:LWM131347 MGI131346:MGI131347 MQE131346:MQE131347 NAA131346:NAA131347 NJW131346:NJW131347 NTS131346:NTS131347 ODO131346:ODO131347 ONK131346:ONK131347 OXG131346:OXG131347 PHC131346:PHC131347 PQY131346:PQY131347 QAU131346:QAU131347 QKQ131346:QKQ131347 QUM131346:QUM131347 REI131346:REI131347 ROE131346:ROE131347 RYA131346:RYA131347 SHW131346:SHW131347 SRS131346:SRS131347 TBO131346:TBO131347 TLK131346:TLK131347 TVG131346:TVG131347 UFC131346:UFC131347 UOY131346:UOY131347 UYU131346:UYU131347 VIQ131346:VIQ131347 VSM131346:VSM131347 WCI131346:WCI131347 WME131346:WME131347 WWA131346:WWA131347 S196882:S196883 JO196882:JO196883 TK196882:TK196883 ADG196882:ADG196883 ANC196882:ANC196883 AWY196882:AWY196883 BGU196882:BGU196883 BQQ196882:BQQ196883 CAM196882:CAM196883 CKI196882:CKI196883 CUE196882:CUE196883 DEA196882:DEA196883 DNW196882:DNW196883 DXS196882:DXS196883 EHO196882:EHO196883 ERK196882:ERK196883 FBG196882:FBG196883 FLC196882:FLC196883 FUY196882:FUY196883 GEU196882:GEU196883 GOQ196882:GOQ196883 GYM196882:GYM196883 HII196882:HII196883 HSE196882:HSE196883 ICA196882:ICA196883 ILW196882:ILW196883 IVS196882:IVS196883 JFO196882:JFO196883 JPK196882:JPK196883 JZG196882:JZG196883 KJC196882:KJC196883 KSY196882:KSY196883 LCU196882:LCU196883 LMQ196882:LMQ196883 LWM196882:LWM196883 MGI196882:MGI196883 MQE196882:MQE196883 NAA196882:NAA196883 NJW196882:NJW196883 NTS196882:NTS196883 ODO196882:ODO196883 ONK196882:ONK196883 OXG196882:OXG196883 PHC196882:PHC196883 PQY196882:PQY196883 QAU196882:QAU196883 QKQ196882:QKQ196883 QUM196882:QUM196883 REI196882:REI196883 ROE196882:ROE196883 RYA196882:RYA196883 SHW196882:SHW196883 SRS196882:SRS196883 TBO196882:TBO196883 TLK196882:TLK196883 TVG196882:TVG196883 UFC196882:UFC196883 UOY196882:UOY196883 UYU196882:UYU196883 VIQ196882:VIQ196883 VSM196882:VSM196883 WCI196882:WCI196883 WME196882:WME196883 WWA196882:WWA196883 S262418:S262419 JO262418:JO262419 TK262418:TK262419 ADG262418:ADG262419 ANC262418:ANC262419 AWY262418:AWY262419 BGU262418:BGU262419 BQQ262418:BQQ262419 CAM262418:CAM262419 CKI262418:CKI262419 CUE262418:CUE262419 DEA262418:DEA262419 DNW262418:DNW262419 DXS262418:DXS262419 EHO262418:EHO262419 ERK262418:ERK262419 FBG262418:FBG262419 FLC262418:FLC262419 FUY262418:FUY262419 GEU262418:GEU262419 GOQ262418:GOQ262419 GYM262418:GYM262419 HII262418:HII262419 HSE262418:HSE262419 ICA262418:ICA262419 ILW262418:ILW262419 IVS262418:IVS262419 JFO262418:JFO262419 JPK262418:JPK262419 JZG262418:JZG262419 KJC262418:KJC262419 KSY262418:KSY262419 LCU262418:LCU262419 LMQ262418:LMQ262419 LWM262418:LWM262419 MGI262418:MGI262419 MQE262418:MQE262419 NAA262418:NAA262419 NJW262418:NJW262419 NTS262418:NTS262419 ODO262418:ODO262419 ONK262418:ONK262419 OXG262418:OXG262419 PHC262418:PHC262419 PQY262418:PQY262419 QAU262418:QAU262419 QKQ262418:QKQ262419 QUM262418:QUM262419 REI262418:REI262419 ROE262418:ROE262419 RYA262418:RYA262419 SHW262418:SHW262419 SRS262418:SRS262419 TBO262418:TBO262419 TLK262418:TLK262419 TVG262418:TVG262419 UFC262418:UFC262419 UOY262418:UOY262419 UYU262418:UYU262419 VIQ262418:VIQ262419 VSM262418:VSM262419 WCI262418:WCI262419 WME262418:WME262419 WWA262418:WWA262419 S327954:S327955 JO327954:JO327955 TK327954:TK327955 ADG327954:ADG327955 ANC327954:ANC327955 AWY327954:AWY327955 BGU327954:BGU327955 BQQ327954:BQQ327955 CAM327954:CAM327955 CKI327954:CKI327955 CUE327954:CUE327955 DEA327954:DEA327955 DNW327954:DNW327955 DXS327954:DXS327955 EHO327954:EHO327955 ERK327954:ERK327955 FBG327954:FBG327955 FLC327954:FLC327955 FUY327954:FUY327955 GEU327954:GEU327955 GOQ327954:GOQ327955 GYM327954:GYM327955 HII327954:HII327955 HSE327954:HSE327955 ICA327954:ICA327955 ILW327954:ILW327955 IVS327954:IVS327955 JFO327954:JFO327955 JPK327954:JPK327955 JZG327954:JZG327955 KJC327954:KJC327955 KSY327954:KSY327955 LCU327954:LCU327955 LMQ327954:LMQ327955 LWM327954:LWM327955 MGI327954:MGI327955 MQE327954:MQE327955 NAA327954:NAA327955 NJW327954:NJW327955 NTS327954:NTS327955 ODO327954:ODO327955 ONK327954:ONK327955 OXG327954:OXG327955 PHC327954:PHC327955 PQY327954:PQY327955 QAU327954:QAU327955 QKQ327954:QKQ327955 QUM327954:QUM327955 REI327954:REI327955 ROE327954:ROE327955 RYA327954:RYA327955 SHW327954:SHW327955 SRS327954:SRS327955 TBO327954:TBO327955 TLK327954:TLK327955 TVG327954:TVG327955 UFC327954:UFC327955 UOY327954:UOY327955 UYU327954:UYU327955 VIQ327954:VIQ327955 VSM327954:VSM327955 WCI327954:WCI327955 WME327954:WME327955 WWA327954:WWA327955 S393490:S393491 JO393490:JO393491 TK393490:TK393491 ADG393490:ADG393491 ANC393490:ANC393491 AWY393490:AWY393491 BGU393490:BGU393491 BQQ393490:BQQ393491 CAM393490:CAM393491 CKI393490:CKI393491 CUE393490:CUE393491 DEA393490:DEA393491 DNW393490:DNW393491 DXS393490:DXS393491 EHO393490:EHO393491 ERK393490:ERK393491 FBG393490:FBG393491 FLC393490:FLC393491 FUY393490:FUY393491 GEU393490:GEU393491 GOQ393490:GOQ393491 GYM393490:GYM393491 HII393490:HII393491 HSE393490:HSE393491 ICA393490:ICA393491 ILW393490:ILW393491 IVS393490:IVS393491 JFO393490:JFO393491 JPK393490:JPK393491 JZG393490:JZG393491 KJC393490:KJC393491 KSY393490:KSY393491 LCU393490:LCU393491 LMQ393490:LMQ393491 LWM393490:LWM393491 MGI393490:MGI393491 MQE393490:MQE393491 NAA393490:NAA393491 NJW393490:NJW393491 NTS393490:NTS393491 ODO393490:ODO393491 ONK393490:ONK393491 OXG393490:OXG393491 PHC393490:PHC393491 PQY393490:PQY393491 QAU393490:QAU393491 QKQ393490:QKQ393491 QUM393490:QUM393491 REI393490:REI393491 ROE393490:ROE393491 RYA393490:RYA393491 SHW393490:SHW393491 SRS393490:SRS393491 TBO393490:TBO393491 TLK393490:TLK393491 TVG393490:TVG393491 UFC393490:UFC393491 UOY393490:UOY393491 UYU393490:UYU393491 VIQ393490:VIQ393491 VSM393490:VSM393491 WCI393490:WCI393491 WME393490:WME393491 WWA393490:WWA393491 S459026:S459027 JO459026:JO459027 TK459026:TK459027 ADG459026:ADG459027 ANC459026:ANC459027 AWY459026:AWY459027 BGU459026:BGU459027 BQQ459026:BQQ459027 CAM459026:CAM459027 CKI459026:CKI459027 CUE459026:CUE459027 DEA459026:DEA459027 DNW459026:DNW459027 DXS459026:DXS459027 EHO459026:EHO459027 ERK459026:ERK459027 FBG459026:FBG459027 FLC459026:FLC459027 FUY459026:FUY459027 GEU459026:GEU459027 GOQ459026:GOQ459027 GYM459026:GYM459027 HII459026:HII459027 HSE459026:HSE459027 ICA459026:ICA459027 ILW459026:ILW459027 IVS459026:IVS459027 JFO459026:JFO459027 JPK459026:JPK459027 JZG459026:JZG459027 KJC459026:KJC459027 KSY459026:KSY459027 LCU459026:LCU459027 LMQ459026:LMQ459027 LWM459026:LWM459027 MGI459026:MGI459027 MQE459026:MQE459027 NAA459026:NAA459027 NJW459026:NJW459027 NTS459026:NTS459027 ODO459026:ODO459027 ONK459026:ONK459027 OXG459026:OXG459027 PHC459026:PHC459027 PQY459026:PQY459027 QAU459026:QAU459027 QKQ459026:QKQ459027 QUM459026:QUM459027 REI459026:REI459027 ROE459026:ROE459027 RYA459026:RYA459027 SHW459026:SHW459027 SRS459026:SRS459027 TBO459026:TBO459027 TLK459026:TLK459027 TVG459026:TVG459027 UFC459026:UFC459027 UOY459026:UOY459027 UYU459026:UYU459027 VIQ459026:VIQ459027 VSM459026:VSM459027 WCI459026:WCI459027 WME459026:WME459027 WWA459026:WWA459027 S524562:S524563 JO524562:JO524563 TK524562:TK524563 ADG524562:ADG524563 ANC524562:ANC524563 AWY524562:AWY524563 BGU524562:BGU524563 BQQ524562:BQQ524563 CAM524562:CAM524563 CKI524562:CKI524563 CUE524562:CUE524563 DEA524562:DEA524563 DNW524562:DNW524563 DXS524562:DXS524563 EHO524562:EHO524563 ERK524562:ERK524563 FBG524562:FBG524563 FLC524562:FLC524563 FUY524562:FUY524563 GEU524562:GEU524563 GOQ524562:GOQ524563 GYM524562:GYM524563 HII524562:HII524563 HSE524562:HSE524563 ICA524562:ICA524563 ILW524562:ILW524563 IVS524562:IVS524563 JFO524562:JFO524563 JPK524562:JPK524563 JZG524562:JZG524563 KJC524562:KJC524563 KSY524562:KSY524563 LCU524562:LCU524563 LMQ524562:LMQ524563 LWM524562:LWM524563 MGI524562:MGI524563 MQE524562:MQE524563 NAA524562:NAA524563 NJW524562:NJW524563 NTS524562:NTS524563 ODO524562:ODO524563 ONK524562:ONK524563 OXG524562:OXG524563 PHC524562:PHC524563 PQY524562:PQY524563 QAU524562:QAU524563 QKQ524562:QKQ524563 QUM524562:QUM524563 REI524562:REI524563 ROE524562:ROE524563 RYA524562:RYA524563 SHW524562:SHW524563 SRS524562:SRS524563 TBO524562:TBO524563 TLK524562:TLK524563 TVG524562:TVG524563 UFC524562:UFC524563 UOY524562:UOY524563 UYU524562:UYU524563 VIQ524562:VIQ524563 VSM524562:VSM524563 WCI524562:WCI524563 WME524562:WME524563 WWA524562:WWA524563 S590098:S590099 JO590098:JO590099 TK590098:TK590099 ADG590098:ADG590099 ANC590098:ANC590099 AWY590098:AWY590099 BGU590098:BGU590099 BQQ590098:BQQ590099 CAM590098:CAM590099 CKI590098:CKI590099 CUE590098:CUE590099 DEA590098:DEA590099 DNW590098:DNW590099 DXS590098:DXS590099 EHO590098:EHO590099 ERK590098:ERK590099 FBG590098:FBG590099 FLC590098:FLC590099 FUY590098:FUY590099 GEU590098:GEU590099 GOQ590098:GOQ590099 GYM590098:GYM590099 HII590098:HII590099 HSE590098:HSE590099 ICA590098:ICA590099 ILW590098:ILW590099 IVS590098:IVS590099 JFO590098:JFO590099 JPK590098:JPK590099 JZG590098:JZG590099 KJC590098:KJC590099 KSY590098:KSY590099 LCU590098:LCU590099 LMQ590098:LMQ590099 LWM590098:LWM590099 MGI590098:MGI590099 MQE590098:MQE590099 NAA590098:NAA590099 NJW590098:NJW590099 NTS590098:NTS590099 ODO590098:ODO590099 ONK590098:ONK590099 OXG590098:OXG590099 PHC590098:PHC590099 PQY590098:PQY590099 QAU590098:QAU590099 QKQ590098:QKQ590099 QUM590098:QUM590099 REI590098:REI590099 ROE590098:ROE590099 RYA590098:RYA590099 SHW590098:SHW590099 SRS590098:SRS590099 TBO590098:TBO590099 TLK590098:TLK590099 TVG590098:TVG590099 UFC590098:UFC590099 UOY590098:UOY590099 UYU590098:UYU590099 VIQ590098:VIQ590099 VSM590098:VSM590099 WCI590098:WCI590099 WME590098:WME590099 WWA590098:WWA590099 S655634:S655635 JO655634:JO655635 TK655634:TK655635 ADG655634:ADG655635 ANC655634:ANC655635 AWY655634:AWY655635 BGU655634:BGU655635 BQQ655634:BQQ655635 CAM655634:CAM655635 CKI655634:CKI655635 CUE655634:CUE655635 DEA655634:DEA655635 DNW655634:DNW655635 DXS655634:DXS655635 EHO655634:EHO655635 ERK655634:ERK655635 FBG655634:FBG655635 FLC655634:FLC655635 FUY655634:FUY655635 GEU655634:GEU655635 GOQ655634:GOQ655635 GYM655634:GYM655635 HII655634:HII655635 HSE655634:HSE655635 ICA655634:ICA655635 ILW655634:ILW655635 IVS655634:IVS655635 JFO655634:JFO655635 JPK655634:JPK655635 JZG655634:JZG655635 KJC655634:KJC655635 KSY655634:KSY655635 LCU655634:LCU655635 LMQ655634:LMQ655635 LWM655634:LWM655635 MGI655634:MGI655635 MQE655634:MQE655635 NAA655634:NAA655635 NJW655634:NJW655635 NTS655634:NTS655635 ODO655634:ODO655635 ONK655634:ONK655635 OXG655634:OXG655635 PHC655634:PHC655635 PQY655634:PQY655635 QAU655634:QAU655635 QKQ655634:QKQ655635 QUM655634:QUM655635 REI655634:REI655635 ROE655634:ROE655635 RYA655634:RYA655635 SHW655634:SHW655635 SRS655634:SRS655635 TBO655634:TBO655635 TLK655634:TLK655635 TVG655634:TVG655635 UFC655634:UFC655635 UOY655634:UOY655635 UYU655634:UYU655635 VIQ655634:VIQ655635 VSM655634:VSM655635 WCI655634:WCI655635 WME655634:WME655635 WWA655634:WWA655635 S721170:S721171 JO721170:JO721171 TK721170:TK721171 ADG721170:ADG721171 ANC721170:ANC721171 AWY721170:AWY721171 BGU721170:BGU721171 BQQ721170:BQQ721171 CAM721170:CAM721171 CKI721170:CKI721171 CUE721170:CUE721171 DEA721170:DEA721171 DNW721170:DNW721171 DXS721170:DXS721171 EHO721170:EHO721171 ERK721170:ERK721171 FBG721170:FBG721171 FLC721170:FLC721171 FUY721170:FUY721171 GEU721170:GEU721171 GOQ721170:GOQ721171 GYM721170:GYM721171 HII721170:HII721171 HSE721170:HSE721171 ICA721170:ICA721171 ILW721170:ILW721171 IVS721170:IVS721171 JFO721170:JFO721171 JPK721170:JPK721171 JZG721170:JZG721171 KJC721170:KJC721171 KSY721170:KSY721171 LCU721170:LCU721171 LMQ721170:LMQ721171 LWM721170:LWM721171 MGI721170:MGI721171 MQE721170:MQE721171 NAA721170:NAA721171 NJW721170:NJW721171 NTS721170:NTS721171 ODO721170:ODO721171 ONK721170:ONK721171 OXG721170:OXG721171 PHC721170:PHC721171 PQY721170:PQY721171 QAU721170:QAU721171 QKQ721170:QKQ721171 QUM721170:QUM721171 REI721170:REI721171 ROE721170:ROE721171 RYA721170:RYA721171 SHW721170:SHW721171 SRS721170:SRS721171 TBO721170:TBO721171 TLK721170:TLK721171 TVG721170:TVG721171 UFC721170:UFC721171 UOY721170:UOY721171 UYU721170:UYU721171 VIQ721170:VIQ721171 VSM721170:VSM721171 WCI721170:WCI721171 WME721170:WME721171 WWA721170:WWA721171 S786706:S786707 JO786706:JO786707 TK786706:TK786707 ADG786706:ADG786707 ANC786706:ANC786707 AWY786706:AWY786707 BGU786706:BGU786707 BQQ786706:BQQ786707 CAM786706:CAM786707 CKI786706:CKI786707 CUE786706:CUE786707 DEA786706:DEA786707 DNW786706:DNW786707 DXS786706:DXS786707 EHO786706:EHO786707 ERK786706:ERK786707 FBG786706:FBG786707 FLC786706:FLC786707 FUY786706:FUY786707 GEU786706:GEU786707 GOQ786706:GOQ786707 GYM786706:GYM786707 HII786706:HII786707 HSE786706:HSE786707 ICA786706:ICA786707 ILW786706:ILW786707 IVS786706:IVS786707 JFO786706:JFO786707 JPK786706:JPK786707 JZG786706:JZG786707 KJC786706:KJC786707 KSY786706:KSY786707 LCU786706:LCU786707 LMQ786706:LMQ786707 LWM786706:LWM786707 MGI786706:MGI786707 MQE786706:MQE786707 NAA786706:NAA786707 NJW786706:NJW786707 NTS786706:NTS786707 ODO786706:ODO786707 ONK786706:ONK786707 OXG786706:OXG786707 PHC786706:PHC786707 PQY786706:PQY786707 QAU786706:QAU786707 QKQ786706:QKQ786707 QUM786706:QUM786707 REI786706:REI786707 ROE786706:ROE786707 RYA786706:RYA786707 SHW786706:SHW786707 SRS786706:SRS786707 TBO786706:TBO786707 TLK786706:TLK786707 TVG786706:TVG786707 UFC786706:UFC786707 UOY786706:UOY786707 UYU786706:UYU786707 VIQ786706:VIQ786707 VSM786706:VSM786707 WCI786706:WCI786707 WME786706:WME786707 WWA786706:WWA786707 S852242:S852243 JO852242:JO852243 TK852242:TK852243 ADG852242:ADG852243 ANC852242:ANC852243 AWY852242:AWY852243 BGU852242:BGU852243 BQQ852242:BQQ852243 CAM852242:CAM852243 CKI852242:CKI852243 CUE852242:CUE852243 DEA852242:DEA852243 DNW852242:DNW852243 DXS852242:DXS852243 EHO852242:EHO852243 ERK852242:ERK852243 FBG852242:FBG852243 FLC852242:FLC852243 FUY852242:FUY852243 GEU852242:GEU852243 GOQ852242:GOQ852243 GYM852242:GYM852243 HII852242:HII852243 HSE852242:HSE852243 ICA852242:ICA852243 ILW852242:ILW852243 IVS852242:IVS852243 JFO852242:JFO852243 JPK852242:JPK852243 JZG852242:JZG852243 KJC852242:KJC852243 KSY852242:KSY852243 LCU852242:LCU852243 LMQ852242:LMQ852243 LWM852242:LWM852243 MGI852242:MGI852243 MQE852242:MQE852243 NAA852242:NAA852243 NJW852242:NJW852243 NTS852242:NTS852243 ODO852242:ODO852243 ONK852242:ONK852243 OXG852242:OXG852243 PHC852242:PHC852243 PQY852242:PQY852243 QAU852242:QAU852243 QKQ852242:QKQ852243 QUM852242:QUM852243 REI852242:REI852243 ROE852242:ROE852243 RYA852242:RYA852243 SHW852242:SHW852243 SRS852242:SRS852243 TBO852242:TBO852243 TLK852242:TLK852243 TVG852242:TVG852243 UFC852242:UFC852243 UOY852242:UOY852243 UYU852242:UYU852243 VIQ852242:VIQ852243 VSM852242:VSM852243 WCI852242:WCI852243 WME852242:WME852243 WWA852242:WWA852243 S917778:S917779 JO917778:JO917779 TK917778:TK917779 ADG917778:ADG917779 ANC917778:ANC917779 AWY917778:AWY917779 BGU917778:BGU917779 BQQ917778:BQQ917779 CAM917778:CAM917779 CKI917778:CKI917779 CUE917778:CUE917779 DEA917778:DEA917779 DNW917778:DNW917779 DXS917778:DXS917779 EHO917778:EHO917779 ERK917778:ERK917779 FBG917778:FBG917779 FLC917778:FLC917779 FUY917778:FUY917779 GEU917778:GEU917779 GOQ917778:GOQ917779 GYM917778:GYM917779 HII917778:HII917779 HSE917778:HSE917779 ICA917778:ICA917779 ILW917778:ILW917779 IVS917778:IVS917779 JFO917778:JFO917779 JPK917778:JPK917779 JZG917778:JZG917779 KJC917778:KJC917779 KSY917778:KSY917779 LCU917778:LCU917779 LMQ917778:LMQ917779 LWM917778:LWM917779 MGI917778:MGI917779 MQE917778:MQE917779 NAA917778:NAA917779 NJW917778:NJW917779 NTS917778:NTS917779 ODO917778:ODO917779 ONK917778:ONK917779 OXG917778:OXG917779 PHC917778:PHC917779 PQY917778:PQY917779 QAU917778:QAU917779 QKQ917778:QKQ917779 QUM917778:QUM917779 REI917778:REI917779 ROE917778:ROE917779 RYA917778:RYA917779 SHW917778:SHW917779 SRS917778:SRS917779 TBO917778:TBO917779 TLK917778:TLK917779 TVG917778:TVG917779 UFC917778:UFC917779 UOY917778:UOY917779 UYU917778:UYU917779 VIQ917778:VIQ917779 VSM917778:VSM917779 WCI917778:WCI917779 WME917778:WME917779 WWA917778:WWA917779 S983314:S983315 JO983314:JO983315 TK983314:TK983315 ADG983314:ADG983315 ANC983314:ANC983315 AWY983314:AWY983315 BGU983314:BGU983315 BQQ983314:BQQ983315 CAM983314:CAM983315 CKI983314:CKI983315 CUE983314:CUE983315 DEA983314:DEA983315 DNW983314:DNW983315 DXS983314:DXS983315 EHO983314:EHO983315 ERK983314:ERK983315 FBG983314:FBG983315 FLC983314:FLC983315 FUY983314:FUY983315 GEU983314:GEU983315 GOQ983314:GOQ983315 GYM983314:GYM983315 HII983314:HII983315 HSE983314:HSE983315 ICA983314:ICA983315 ILW983314:ILW983315 IVS983314:IVS983315 JFO983314:JFO983315 JPK983314:JPK983315 JZG983314:JZG983315 KJC983314:KJC983315 KSY983314:KSY983315 LCU983314:LCU983315 LMQ983314:LMQ983315 LWM983314:LWM983315 MGI983314:MGI983315 MQE983314:MQE983315 NAA983314:NAA983315 NJW983314:NJW983315 NTS983314:NTS983315 ODO983314:ODO983315 ONK983314:ONK983315 OXG983314:OXG983315 PHC983314:PHC983315 PQY983314:PQY983315 QAU983314:QAU983315 QKQ983314:QKQ983315 QUM983314:QUM983315 REI983314:REI983315 ROE983314:ROE983315 RYA983314:RYA983315 SHW983314:SHW983315 SRS983314:SRS983315 TBO983314:TBO983315 TLK983314:TLK983315 TVG983314:TVG983315 UFC983314:UFC983315 UOY983314:UOY983315 UYU983314:UYU983315 VIQ983314:VIQ983315 VSM983314:VSM983315 WCI983314:WCI983315 WME983314:WME983315 WWA983314:WWA983315 S304:S309 JO304:JO309 TK304:TK309 ADG304:ADG309 ANC304:ANC309 AWY304:AWY309 BGU304:BGU309 BQQ304:BQQ309 CAM304:CAM309 CKI304:CKI309 CUE304:CUE309 DEA304:DEA309 DNW304:DNW309 DXS304:DXS309 EHO304:EHO309 ERK304:ERK309 FBG304:FBG309 FLC304:FLC309 FUY304:FUY309 GEU304:GEU309 GOQ304:GOQ309 GYM304:GYM309 HII304:HII309 HSE304:HSE309 ICA304:ICA309 ILW304:ILW309 IVS304:IVS309 JFO304:JFO309 JPK304:JPK309 JZG304:JZG309 KJC304:KJC309 KSY304:KSY309 LCU304:LCU309 LMQ304:LMQ309 LWM304:LWM309 MGI304:MGI309 MQE304:MQE309 NAA304:NAA309 NJW304:NJW309 NTS304:NTS309 ODO304:ODO309 ONK304:ONK309 OXG304:OXG309 PHC304:PHC309 PQY304:PQY309 QAU304:QAU309 QKQ304:QKQ309 QUM304:QUM309 REI304:REI309 ROE304:ROE309 RYA304:RYA309 SHW304:SHW309 SRS304:SRS309 TBO304:TBO309 TLK304:TLK309 TVG304:TVG309 UFC304:UFC309 UOY304:UOY309 UYU304:UYU309 VIQ304:VIQ309 VSM304:VSM309 WCI304:WCI309 WME304:WME309 WWA304:WWA309 S65840:S65845 JO65840:JO65845 TK65840:TK65845 ADG65840:ADG65845 ANC65840:ANC65845 AWY65840:AWY65845 BGU65840:BGU65845 BQQ65840:BQQ65845 CAM65840:CAM65845 CKI65840:CKI65845 CUE65840:CUE65845 DEA65840:DEA65845 DNW65840:DNW65845 DXS65840:DXS65845 EHO65840:EHO65845 ERK65840:ERK65845 FBG65840:FBG65845 FLC65840:FLC65845 FUY65840:FUY65845 GEU65840:GEU65845 GOQ65840:GOQ65845 GYM65840:GYM65845 HII65840:HII65845 HSE65840:HSE65845 ICA65840:ICA65845 ILW65840:ILW65845 IVS65840:IVS65845 JFO65840:JFO65845 JPK65840:JPK65845 JZG65840:JZG65845 KJC65840:KJC65845 KSY65840:KSY65845 LCU65840:LCU65845 LMQ65840:LMQ65845 LWM65840:LWM65845 MGI65840:MGI65845 MQE65840:MQE65845 NAA65840:NAA65845 NJW65840:NJW65845 NTS65840:NTS65845 ODO65840:ODO65845 ONK65840:ONK65845 OXG65840:OXG65845 PHC65840:PHC65845 PQY65840:PQY65845 QAU65840:QAU65845 QKQ65840:QKQ65845 QUM65840:QUM65845 REI65840:REI65845 ROE65840:ROE65845 RYA65840:RYA65845 SHW65840:SHW65845 SRS65840:SRS65845 TBO65840:TBO65845 TLK65840:TLK65845 TVG65840:TVG65845 UFC65840:UFC65845 UOY65840:UOY65845 UYU65840:UYU65845 VIQ65840:VIQ65845 VSM65840:VSM65845 WCI65840:WCI65845 WME65840:WME65845 WWA65840:WWA65845 S131376:S131381 JO131376:JO131381 TK131376:TK131381 ADG131376:ADG131381 ANC131376:ANC131381 AWY131376:AWY131381 BGU131376:BGU131381 BQQ131376:BQQ131381 CAM131376:CAM131381 CKI131376:CKI131381 CUE131376:CUE131381 DEA131376:DEA131381 DNW131376:DNW131381 DXS131376:DXS131381 EHO131376:EHO131381 ERK131376:ERK131381 FBG131376:FBG131381 FLC131376:FLC131381 FUY131376:FUY131381 GEU131376:GEU131381 GOQ131376:GOQ131381 GYM131376:GYM131381 HII131376:HII131381 HSE131376:HSE131381 ICA131376:ICA131381 ILW131376:ILW131381 IVS131376:IVS131381 JFO131376:JFO131381 JPK131376:JPK131381 JZG131376:JZG131381 KJC131376:KJC131381 KSY131376:KSY131381 LCU131376:LCU131381 LMQ131376:LMQ131381 LWM131376:LWM131381 MGI131376:MGI131381 MQE131376:MQE131381 NAA131376:NAA131381 NJW131376:NJW131381 NTS131376:NTS131381 ODO131376:ODO131381 ONK131376:ONK131381 OXG131376:OXG131381 PHC131376:PHC131381 PQY131376:PQY131381 QAU131376:QAU131381 QKQ131376:QKQ131381 QUM131376:QUM131381 REI131376:REI131381 ROE131376:ROE131381 RYA131376:RYA131381 SHW131376:SHW131381 SRS131376:SRS131381 TBO131376:TBO131381 TLK131376:TLK131381 TVG131376:TVG131381 UFC131376:UFC131381 UOY131376:UOY131381 UYU131376:UYU131381 VIQ131376:VIQ131381 VSM131376:VSM131381 WCI131376:WCI131381 WME131376:WME131381 WWA131376:WWA131381 S196912:S196917 JO196912:JO196917 TK196912:TK196917 ADG196912:ADG196917 ANC196912:ANC196917 AWY196912:AWY196917 BGU196912:BGU196917 BQQ196912:BQQ196917 CAM196912:CAM196917 CKI196912:CKI196917 CUE196912:CUE196917 DEA196912:DEA196917 DNW196912:DNW196917 DXS196912:DXS196917 EHO196912:EHO196917 ERK196912:ERK196917 FBG196912:FBG196917 FLC196912:FLC196917 FUY196912:FUY196917 GEU196912:GEU196917 GOQ196912:GOQ196917 GYM196912:GYM196917 HII196912:HII196917 HSE196912:HSE196917 ICA196912:ICA196917 ILW196912:ILW196917 IVS196912:IVS196917 JFO196912:JFO196917 JPK196912:JPK196917 JZG196912:JZG196917 KJC196912:KJC196917 KSY196912:KSY196917 LCU196912:LCU196917 LMQ196912:LMQ196917 LWM196912:LWM196917 MGI196912:MGI196917 MQE196912:MQE196917 NAA196912:NAA196917 NJW196912:NJW196917 NTS196912:NTS196917 ODO196912:ODO196917 ONK196912:ONK196917 OXG196912:OXG196917 PHC196912:PHC196917 PQY196912:PQY196917 QAU196912:QAU196917 QKQ196912:QKQ196917 QUM196912:QUM196917 REI196912:REI196917 ROE196912:ROE196917 RYA196912:RYA196917 SHW196912:SHW196917 SRS196912:SRS196917 TBO196912:TBO196917 TLK196912:TLK196917 TVG196912:TVG196917 UFC196912:UFC196917 UOY196912:UOY196917 UYU196912:UYU196917 VIQ196912:VIQ196917 VSM196912:VSM196917 WCI196912:WCI196917 WME196912:WME196917 WWA196912:WWA196917 S262448:S262453 JO262448:JO262453 TK262448:TK262453 ADG262448:ADG262453 ANC262448:ANC262453 AWY262448:AWY262453 BGU262448:BGU262453 BQQ262448:BQQ262453 CAM262448:CAM262453 CKI262448:CKI262453 CUE262448:CUE262453 DEA262448:DEA262453 DNW262448:DNW262453 DXS262448:DXS262453 EHO262448:EHO262453 ERK262448:ERK262453 FBG262448:FBG262453 FLC262448:FLC262453 FUY262448:FUY262453 GEU262448:GEU262453 GOQ262448:GOQ262453 GYM262448:GYM262453 HII262448:HII262453 HSE262448:HSE262453 ICA262448:ICA262453 ILW262448:ILW262453 IVS262448:IVS262453 JFO262448:JFO262453 JPK262448:JPK262453 JZG262448:JZG262453 KJC262448:KJC262453 KSY262448:KSY262453 LCU262448:LCU262453 LMQ262448:LMQ262453 LWM262448:LWM262453 MGI262448:MGI262453 MQE262448:MQE262453 NAA262448:NAA262453 NJW262448:NJW262453 NTS262448:NTS262453 ODO262448:ODO262453 ONK262448:ONK262453 OXG262448:OXG262453 PHC262448:PHC262453 PQY262448:PQY262453 QAU262448:QAU262453 QKQ262448:QKQ262453 QUM262448:QUM262453 REI262448:REI262453 ROE262448:ROE262453 RYA262448:RYA262453 SHW262448:SHW262453 SRS262448:SRS262453 TBO262448:TBO262453 TLK262448:TLK262453 TVG262448:TVG262453 UFC262448:UFC262453 UOY262448:UOY262453 UYU262448:UYU262453 VIQ262448:VIQ262453 VSM262448:VSM262453 WCI262448:WCI262453 WME262448:WME262453 WWA262448:WWA262453 S327984:S327989 JO327984:JO327989 TK327984:TK327989 ADG327984:ADG327989 ANC327984:ANC327989 AWY327984:AWY327989 BGU327984:BGU327989 BQQ327984:BQQ327989 CAM327984:CAM327989 CKI327984:CKI327989 CUE327984:CUE327989 DEA327984:DEA327989 DNW327984:DNW327989 DXS327984:DXS327989 EHO327984:EHO327989 ERK327984:ERK327989 FBG327984:FBG327989 FLC327984:FLC327989 FUY327984:FUY327989 GEU327984:GEU327989 GOQ327984:GOQ327989 GYM327984:GYM327989 HII327984:HII327989 HSE327984:HSE327989 ICA327984:ICA327989 ILW327984:ILW327989 IVS327984:IVS327989 JFO327984:JFO327989 JPK327984:JPK327989 JZG327984:JZG327989 KJC327984:KJC327989 KSY327984:KSY327989 LCU327984:LCU327989 LMQ327984:LMQ327989 LWM327984:LWM327989 MGI327984:MGI327989 MQE327984:MQE327989 NAA327984:NAA327989 NJW327984:NJW327989 NTS327984:NTS327989 ODO327984:ODO327989 ONK327984:ONK327989 OXG327984:OXG327989 PHC327984:PHC327989 PQY327984:PQY327989 QAU327984:QAU327989 QKQ327984:QKQ327989 QUM327984:QUM327989 REI327984:REI327989 ROE327984:ROE327989 RYA327984:RYA327989 SHW327984:SHW327989 SRS327984:SRS327989 TBO327984:TBO327989 TLK327984:TLK327989 TVG327984:TVG327989 UFC327984:UFC327989 UOY327984:UOY327989 UYU327984:UYU327989 VIQ327984:VIQ327989 VSM327984:VSM327989 WCI327984:WCI327989 WME327984:WME327989 WWA327984:WWA327989 S393520:S393525 JO393520:JO393525 TK393520:TK393525 ADG393520:ADG393525 ANC393520:ANC393525 AWY393520:AWY393525 BGU393520:BGU393525 BQQ393520:BQQ393525 CAM393520:CAM393525 CKI393520:CKI393525 CUE393520:CUE393525 DEA393520:DEA393525 DNW393520:DNW393525 DXS393520:DXS393525 EHO393520:EHO393525 ERK393520:ERK393525 FBG393520:FBG393525 FLC393520:FLC393525 FUY393520:FUY393525 GEU393520:GEU393525 GOQ393520:GOQ393525 GYM393520:GYM393525 HII393520:HII393525 HSE393520:HSE393525 ICA393520:ICA393525 ILW393520:ILW393525 IVS393520:IVS393525 JFO393520:JFO393525 JPK393520:JPK393525 JZG393520:JZG393525 KJC393520:KJC393525 KSY393520:KSY393525 LCU393520:LCU393525 LMQ393520:LMQ393525 LWM393520:LWM393525 MGI393520:MGI393525 MQE393520:MQE393525 NAA393520:NAA393525 NJW393520:NJW393525 NTS393520:NTS393525 ODO393520:ODO393525 ONK393520:ONK393525 OXG393520:OXG393525 PHC393520:PHC393525 PQY393520:PQY393525 QAU393520:QAU393525 QKQ393520:QKQ393525 QUM393520:QUM393525 REI393520:REI393525 ROE393520:ROE393525 RYA393520:RYA393525 SHW393520:SHW393525 SRS393520:SRS393525 TBO393520:TBO393525 TLK393520:TLK393525 TVG393520:TVG393525 UFC393520:UFC393525 UOY393520:UOY393525 UYU393520:UYU393525 VIQ393520:VIQ393525 VSM393520:VSM393525 WCI393520:WCI393525 WME393520:WME393525 WWA393520:WWA393525 S459056:S459061 JO459056:JO459061 TK459056:TK459061 ADG459056:ADG459061 ANC459056:ANC459061 AWY459056:AWY459061 BGU459056:BGU459061 BQQ459056:BQQ459061 CAM459056:CAM459061 CKI459056:CKI459061 CUE459056:CUE459061 DEA459056:DEA459061 DNW459056:DNW459061 DXS459056:DXS459061 EHO459056:EHO459061 ERK459056:ERK459061 FBG459056:FBG459061 FLC459056:FLC459061 FUY459056:FUY459061 GEU459056:GEU459061 GOQ459056:GOQ459061 GYM459056:GYM459061 HII459056:HII459061 HSE459056:HSE459061 ICA459056:ICA459061 ILW459056:ILW459061 IVS459056:IVS459061 JFO459056:JFO459061 JPK459056:JPK459061 JZG459056:JZG459061 KJC459056:KJC459061 KSY459056:KSY459061 LCU459056:LCU459061 LMQ459056:LMQ459061 LWM459056:LWM459061 MGI459056:MGI459061 MQE459056:MQE459061 NAA459056:NAA459061 NJW459056:NJW459061 NTS459056:NTS459061 ODO459056:ODO459061 ONK459056:ONK459061 OXG459056:OXG459061 PHC459056:PHC459061 PQY459056:PQY459061 QAU459056:QAU459061 QKQ459056:QKQ459061 QUM459056:QUM459061 REI459056:REI459061 ROE459056:ROE459061 RYA459056:RYA459061 SHW459056:SHW459061 SRS459056:SRS459061 TBO459056:TBO459061 TLK459056:TLK459061 TVG459056:TVG459061 UFC459056:UFC459061 UOY459056:UOY459061 UYU459056:UYU459061 VIQ459056:VIQ459061 VSM459056:VSM459061 WCI459056:WCI459061 WME459056:WME459061 WWA459056:WWA459061 S524592:S524597 JO524592:JO524597 TK524592:TK524597 ADG524592:ADG524597 ANC524592:ANC524597 AWY524592:AWY524597 BGU524592:BGU524597 BQQ524592:BQQ524597 CAM524592:CAM524597 CKI524592:CKI524597 CUE524592:CUE524597 DEA524592:DEA524597 DNW524592:DNW524597 DXS524592:DXS524597 EHO524592:EHO524597 ERK524592:ERK524597 FBG524592:FBG524597 FLC524592:FLC524597 FUY524592:FUY524597 GEU524592:GEU524597 GOQ524592:GOQ524597 GYM524592:GYM524597 HII524592:HII524597 HSE524592:HSE524597 ICA524592:ICA524597 ILW524592:ILW524597 IVS524592:IVS524597 JFO524592:JFO524597 JPK524592:JPK524597 JZG524592:JZG524597 KJC524592:KJC524597 KSY524592:KSY524597 LCU524592:LCU524597 LMQ524592:LMQ524597 LWM524592:LWM524597 MGI524592:MGI524597 MQE524592:MQE524597 NAA524592:NAA524597 NJW524592:NJW524597 NTS524592:NTS524597 ODO524592:ODO524597 ONK524592:ONK524597 OXG524592:OXG524597 PHC524592:PHC524597 PQY524592:PQY524597 QAU524592:QAU524597 QKQ524592:QKQ524597 QUM524592:QUM524597 REI524592:REI524597 ROE524592:ROE524597 RYA524592:RYA524597 SHW524592:SHW524597 SRS524592:SRS524597 TBO524592:TBO524597 TLK524592:TLK524597 TVG524592:TVG524597 UFC524592:UFC524597 UOY524592:UOY524597 UYU524592:UYU524597 VIQ524592:VIQ524597 VSM524592:VSM524597 WCI524592:WCI524597 WME524592:WME524597 WWA524592:WWA524597 S590128:S590133 JO590128:JO590133 TK590128:TK590133 ADG590128:ADG590133 ANC590128:ANC590133 AWY590128:AWY590133 BGU590128:BGU590133 BQQ590128:BQQ590133 CAM590128:CAM590133 CKI590128:CKI590133 CUE590128:CUE590133 DEA590128:DEA590133 DNW590128:DNW590133 DXS590128:DXS590133 EHO590128:EHO590133 ERK590128:ERK590133 FBG590128:FBG590133 FLC590128:FLC590133 FUY590128:FUY590133 GEU590128:GEU590133 GOQ590128:GOQ590133 GYM590128:GYM590133 HII590128:HII590133 HSE590128:HSE590133 ICA590128:ICA590133 ILW590128:ILW590133 IVS590128:IVS590133 JFO590128:JFO590133 JPK590128:JPK590133 JZG590128:JZG590133 KJC590128:KJC590133 KSY590128:KSY590133 LCU590128:LCU590133 LMQ590128:LMQ590133 LWM590128:LWM590133 MGI590128:MGI590133 MQE590128:MQE590133 NAA590128:NAA590133 NJW590128:NJW590133 NTS590128:NTS590133 ODO590128:ODO590133 ONK590128:ONK590133 OXG590128:OXG590133 PHC590128:PHC590133 PQY590128:PQY590133 QAU590128:QAU590133 QKQ590128:QKQ590133 QUM590128:QUM590133 REI590128:REI590133 ROE590128:ROE590133 RYA590128:RYA590133 SHW590128:SHW590133 SRS590128:SRS590133 TBO590128:TBO590133 TLK590128:TLK590133 TVG590128:TVG590133 UFC590128:UFC590133 UOY590128:UOY590133 UYU590128:UYU590133 VIQ590128:VIQ590133 VSM590128:VSM590133 WCI590128:WCI590133 WME590128:WME590133 WWA590128:WWA590133 S655664:S655669 JO655664:JO655669 TK655664:TK655669 ADG655664:ADG655669 ANC655664:ANC655669 AWY655664:AWY655669 BGU655664:BGU655669 BQQ655664:BQQ655669 CAM655664:CAM655669 CKI655664:CKI655669 CUE655664:CUE655669 DEA655664:DEA655669 DNW655664:DNW655669 DXS655664:DXS655669 EHO655664:EHO655669 ERK655664:ERK655669 FBG655664:FBG655669 FLC655664:FLC655669 FUY655664:FUY655669 GEU655664:GEU655669 GOQ655664:GOQ655669 GYM655664:GYM655669 HII655664:HII655669 HSE655664:HSE655669 ICA655664:ICA655669 ILW655664:ILW655669 IVS655664:IVS655669 JFO655664:JFO655669 JPK655664:JPK655669 JZG655664:JZG655669 KJC655664:KJC655669 KSY655664:KSY655669 LCU655664:LCU655669 LMQ655664:LMQ655669 LWM655664:LWM655669 MGI655664:MGI655669 MQE655664:MQE655669 NAA655664:NAA655669 NJW655664:NJW655669 NTS655664:NTS655669 ODO655664:ODO655669 ONK655664:ONK655669 OXG655664:OXG655669 PHC655664:PHC655669 PQY655664:PQY655669 QAU655664:QAU655669 QKQ655664:QKQ655669 QUM655664:QUM655669 REI655664:REI655669 ROE655664:ROE655669 RYA655664:RYA655669 SHW655664:SHW655669 SRS655664:SRS655669 TBO655664:TBO655669 TLK655664:TLK655669 TVG655664:TVG655669 UFC655664:UFC655669 UOY655664:UOY655669 UYU655664:UYU655669 VIQ655664:VIQ655669 VSM655664:VSM655669 WCI655664:WCI655669 WME655664:WME655669 WWA655664:WWA655669 S721200:S721205 JO721200:JO721205 TK721200:TK721205 ADG721200:ADG721205 ANC721200:ANC721205 AWY721200:AWY721205 BGU721200:BGU721205 BQQ721200:BQQ721205 CAM721200:CAM721205 CKI721200:CKI721205 CUE721200:CUE721205 DEA721200:DEA721205 DNW721200:DNW721205 DXS721200:DXS721205 EHO721200:EHO721205 ERK721200:ERK721205 FBG721200:FBG721205 FLC721200:FLC721205 FUY721200:FUY721205 GEU721200:GEU721205 GOQ721200:GOQ721205 GYM721200:GYM721205 HII721200:HII721205 HSE721200:HSE721205 ICA721200:ICA721205 ILW721200:ILW721205 IVS721200:IVS721205 JFO721200:JFO721205 JPK721200:JPK721205 JZG721200:JZG721205 KJC721200:KJC721205 KSY721200:KSY721205 LCU721200:LCU721205 LMQ721200:LMQ721205 LWM721200:LWM721205 MGI721200:MGI721205 MQE721200:MQE721205 NAA721200:NAA721205 NJW721200:NJW721205 NTS721200:NTS721205 ODO721200:ODO721205 ONK721200:ONK721205 OXG721200:OXG721205 PHC721200:PHC721205 PQY721200:PQY721205 QAU721200:QAU721205 QKQ721200:QKQ721205 QUM721200:QUM721205 REI721200:REI721205 ROE721200:ROE721205 RYA721200:RYA721205 SHW721200:SHW721205 SRS721200:SRS721205 TBO721200:TBO721205 TLK721200:TLK721205 TVG721200:TVG721205 UFC721200:UFC721205 UOY721200:UOY721205 UYU721200:UYU721205 VIQ721200:VIQ721205 VSM721200:VSM721205 WCI721200:WCI721205 WME721200:WME721205 WWA721200:WWA721205 S786736:S786741 JO786736:JO786741 TK786736:TK786741 ADG786736:ADG786741 ANC786736:ANC786741 AWY786736:AWY786741 BGU786736:BGU786741 BQQ786736:BQQ786741 CAM786736:CAM786741 CKI786736:CKI786741 CUE786736:CUE786741 DEA786736:DEA786741 DNW786736:DNW786741 DXS786736:DXS786741 EHO786736:EHO786741 ERK786736:ERK786741 FBG786736:FBG786741 FLC786736:FLC786741 FUY786736:FUY786741 GEU786736:GEU786741 GOQ786736:GOQ786741 GYM786736:GYM786741 HII786736:HII786741 HSE786736:HSE786741 ICA786736:ICA786741 ILW786736:ILW786741 IVS786736:IVS786741 JFO786736:JFO786741 JPK786736:JPK786741 JZG786736:JZG786741 KJC786736:KJC786741 KSY786736:KSY786741 LCU786736:LCU786741 LMQ786736:LMQ786741 LWM786736:LWM786741 MGI786736:MGI786741 MQE786736:MQE786741 NAA786736:NAA786741 NJW786736:NJW786741 NTS786736:NTS786741 ODO786736:ODO786741 ONK786736:ONK786741 OXG786736:OXG786741 PHC786736:PHC786741 PQY786736:PQY786741 QAU786736:QAU786741 QKQ786736:QKQ786741 QUM786736:QUM786741 REI786736:REI786741 ROE786736:ROE786741 RYA786736:RYA786741 SHW786736:SHW786741 SRS786736:SRS786741 TBO786736:TBO786741 TLK786736:TLK786741 TVG786736:TVG786741 UFC786736:UFC786741 UOY786736:UOY786741 UYU786736:UYU786741 VIQ786736:VIQ786741 VSM786736:VSM786741 WCI786736:WCI786741 WME786736:WME786741 WWA786736:WWA786741 S852272:S852277 JO852272:JO852277 TK852272:TK852277 ADG852272:ADG852277 ANC852272:ANC852277 AWY852272:AWY852277 BGU852272:BGU852277 BQQ852272:BQQ852277 CAM852272:CAM852277 CKI852272:CKI852277 CUE852272:CUE852277 DEA852272:DEA852277 DNW852272:DNW852277 DXS852272:DXS852277 EHO852272:EHO852277 ERK852272:ERK852277 FBG852272:FBG852277 FLC852272:FLC852277 FUY852272:FUY852277 GEU852272:GEU852277 GOQ852272:GOQ852277 GYM852272:GYM852277 HII852272:HII852277 HSE852272:HSE852277 ICA852272:ICA852277 ILW852272:ILW852277 IVS852272:IVS852277 JFO852272:JFO852277 JPK852272:JPK852277 JZG852272:JZG852277 KJC852272:KJC852277 KSY852272:KSY852277 LCU852272:LCU852277 LMQ852272:LMQ852277 LWM852272:LWM852277 MGI852272:MGI852277 MQE852272:MQE852277 NAA852272:NAA852277 NJW852272:NJW852277 NTS852272:NTS852277 ODO852272:ODO852277 ONK852272:ONK852277 OXG852272:OXG852277 PHC852272:PHC852277 PQY852272:PQY852277 QAU852272:QAU852277 QKQ852272:QKQ852277 QUM852272:QUM852277 REI852272:REI852277 ROE852272:ROE852277 RYA852272:RYA852277 SHW852272:SHW852277 SRS852272:SRS852277 TBO852272:TBO852277 TLK852272:TLK852277 TVG852272:TVG852277 UFC852272:UFC852277 UOY852272:UOY852277 UYU852272:UYU852277 VIQ852272:VIQ852277 VSM852272:VSM852277 WCI852272:WCI852277 WME852272:WME852277 WWA852272:WWA852277 S917808:S917813 JO917808:JO917813 TK917808:TK917813 ADG917808:ADG917813 ANC917808:ANC917813 AWY917808:AWY917813 BGU917808:BGU917813 BQQ917808:BQQ917813 CAM917808:CAM917813 CKI917808:CKI917813 CUE917808:CUE917813 DEA917808:DEA917813 DNW917808:DNW917813 DXS917808:DXS917813 EHO917808:EHO917813 ERK917808:ERK917813 FBG917808:FBG917813 FLC917808:FLC917813 FUY917808:FUY917813 GEU917808:GEU917813 GOQ917808:GOQ917813 GYM917808:GYM917813 HII917808:HII917813 HSE917808:HSE917813 ICA917808:ICA917813 ILW917808:ILW917813 IVS917808:IVS917813 JFO917808:JFO917813 JPK917808:JPK917813 JZG917808:JZG917813 KJC917808:KJC917813 KSY917808:KSY917813 LCU917808:LCU917813 LMQ917808:LMQ917813 LWM917808:LWM917813 MGI917808:MGI917813 MQE917808:MQE917813 NAA917808:NAA917813 NJW917808:NJW917813 NTS917808:NTS917813 ODO917808:ODO917813 ONK917808:ONK917813 OXG917808:OXG917813 PHC917808:PHC917813 PQY917808:PQY917813 QAU917808:QAU917813 QKQ917808:QKQ917813 QUM917808:QUM917813 REI917808:REI917813 ROE917808:ROE917813 RYA917808:RYA917813 SHW917808:SHW917813 SRS917808:SRS917813 TBO917808:TBO917813 TLK917808:TLK917813 TVG917808:TVG917813 UFC917808:UFC917813 UOY917808:UOY917813 UYU917808:UYU917813 VIQ917808:VIQ917813 VSM917808:VSM917813 WCI917808:WCI917813 WME917808:WME917813 WWA917808:WWA917813 S983344:S983349 JO983344:JO983349 TK983344:TK983349 ADG983344:ADG983349 ANC983344:ANC983349 AWY983344:AWY983349 BGU983344:BGU983349 BQQ983344:BQQ983349 CAM983344:CAM983349 CKI983344:CKI983349 CUE983344:CUE983349 DEA983344:DEA983349 DNW983344:DNW983349 DXS983344:DXS983349 EHO983344:EHO983349 ERK983344:ERK983349 FBG983344:FBG983349 FLC983344:FLC983349 FUY983344:FUY983349 GEU983344:GEU983349 GOQ983344:GOQ983349 GYM983344:GYM983349 HII983344:HII983349 HSE983344:HSE983349 ICA983344:ICA983349 ILW983344:ILW983349 IVS983344:IVS983349 JFO983344:JFO983349 JPK983344:JPK983349 JZG983344:JZG983349 KJC983344:KJC983349 KSY983344:KSY983349 LCU983344:LCU983349 LMQ983344:LMQ983349 LWM983344:LWM983349 MGI983344:MGI983349 MQE983344:MQE983349 NAA983344:NAA983349 NJW983344:NJW983349 NTS983344:NTS983349 ODO983344:ODO983349 ONK983344:ONK983349 OXG983344:OXG983349 PHC983344:PHC983349 PQY983344:PQY983349 QAU983344:QAU983349 QKQ983344:QKQ983349 QUM983344:QUM983349 REI983344:REI983349 ROE983344:ROE983349 RYA983344:RYA983349 SHW983344:SHW983349 SRS983344:SRS983349 TBO983344:TBO983349 TLK983344:TLK983349 TVG983344:TVG983349 UFC983344:UFC983349 UOY983344:UOY983349 UYU983344:UYU983349 VIQ983344:VIQ983349 VSM983344:VSM983349 WCI983344:WCI983349 WME983344:WME983349 WWA983344:WWA983349 S262:S266 JO262:JO266 TK262:TK266 ADG262:ADG266 ANC262:ANC266 AWY262:AWY266 BGU262:BGU266 BQQ262:BQQ266 CAM262:CAM266 CKI262:CKI266 CUE262:CUE266 DEA262:DEA266 DNW262:DNW266 DXS262:DXS266 EHO262:EHO266 ERK262:ERK266 FBG262:FBG266 FLC262:FLC266 FUY262:FUY266 GEU262:GEU266 GOQ262:GOQ266 GYM262:GYM266 HII262:HII266 HSE262:HSE266 ICA262:ICA266 ILW262:ILW266 IVS262:IVS266 JFO262:JFO266 JPK262:JPK266 JZG262:JZG266 KJC262:KJC266 KSY262:KSY266 LCU262:LCU266 LMQ262:LMQ266 LWM262:LWM266 MGI262:MGI266 MQE262:MQE266 NAA262:NAA266 NJW262:NJW266 NTS262:NTS266 ODO262:ODO266 ONK262:ONK266 OXG262:OXG266 PHC262:PHC266 PQY262:PQY266 QAU262:QAU266 QKQ262:QKQ266 QUM262:QUM266 REI262:REI266 ROE262:ROE266 RYA262:RYA266 SHW262:SHW266 SRS262:SRS266 TBO262:TBO266 TLK262:TLK266 TVG262:TVG266 UFC262:UFC266 UOY262:UOY266 UYU262:UYU266 VIQ262:VIQ266 VSM262:VSM266 WCI262:WCI266 WME262:WME266 WWA262:WWA266 S65798:S65802 JO65798:JO65802 TK65798:TK65802 ADG65798:ADG65802 ANC65798:ANC65802 AWY65798:AWY65802 BGU65798:BGU65802 BQQ65798:BQQ65802 CAM65798:CAM65802 CKI65798:CKI65802 CUE65798:CUE65802 DEA65798:DEA65802 DNW65798:DNW65802 DXS65798:DXS65802 EHO65798:EHO65802 ERK65798:ERK65802 FBG65798:FBG65802 FLC65798:FLC65802 FUY65798:FUY65802 GEU65798:GEU65802 GOQ65798:GOQ65802 GYM65798:GYM65802 HII65798:HII65802 HSE65798:HSE65802 ICA65798:ICA65802 ILW65798:ILW65802 IVS65798:IVS65802 JFO65798:JFO65802 JPK65798:JPK65802 JZG65798:JZG65802 KJC65798:KJC65802 KSY65798:KSY65802 LCU65798:LCU65802 LMQ65798:LMQ65802 LWM65798:LWM65802 MGI65798:MGI65802 MQE65798:MQE65802 NAA65798:NAA65802 NJW65798:NJW65802 NTS65798:NTS65802 ODO65798:ODO65802 ONK65798:ONK65802 OXG65798:OXG65802 PHC65798:PHC65802 PQY65798:PQY65802 QAU65798:QAU65802 QKQ65798:QKQ65802 QUM65798:QUM65802 REI65798:REI65802 ROE65798:ROE65802 RYA65798:RYA65802 SHW65798:SHW65802 SRS65798:SRS65802 TBO65798:TBO65802 TLK65798:TLK65802 TVG65798:TVG65802 UFC65798:UFC65802 UOY65798:UOY65802 UYU65798:UYU65802 VIQ65798:VIQ65802 VSM65798:VSM65802 WCI65798:WCI65802 WME65798:WME65802 WWA65798:WWA65802 S131334:S131338 JO131334:JO131338 TK131334:TK131338 ADG131334:ADG131338 ANC131334:ANC131338 AWY131334:AWY131338 BGU131334:BGU131338 BQQ131334:BQQ131338 CAM131334:CAM131338 CKI131334:CKI131338 CUE131334:CUE131338 DEA131334:DEA131338 DNW131334:DNW131338 DXS131334:DXS131338 EHO131334:EHO131338 ERK131334:ERK131338 FBG131334:FBG131338 FLC131334:FLC131338 FUY131334:FUY131338 GEU131334:GEU131338 GOQ131334:GOQ131338 GYM131334:GYM131338 HII131334:HII131338 HSE131334:HSE131338 ICA131334:ICA131338 ILW131334:ILW131338 IVS131334:IVS131338 JFO131334:JFO131338 JPK131334:JPK131338 JZG131334:JZG131338 KJC131334:KJC131338 KSY131334:KSY131338 LCU131334:LCU131338 LMQ131334:LMQ131338 LWM131334:LWM131338 MGI131334:MGI131338 MQE131334:MQE131338 NAA131334:NAA131338 NJW131334:NJW131338 NTS131334:NTS131338 ODO131334:ODO131338 ONK131334:ONK131338 OXG131334:OXG131338 PHC131334:PHC131338 PQY131334:PQY131338 QAU131334:QAU131338 QKQ131334:QKQ131338 QUM131334:QUM131338 REI131334:REI131338 ROE131334:ROE131338 RYA131334:RYA131338 SHW131334:SHW131338 SRS131334:SRS131338 TBO131334:TBO131338 TLK131334:TLK131338 TVG131334:TVG131338 UFC131334:UFC131338 UOY131334:UOY131338 UYU131334:UYU131338 VIQ131334:VIQ131338 VSM131334:VSM131338 WCI131334:WCI131338 WME131334:WME131338 WWA131334:WWA131338 S196870:S196874 JO196870:JO196874 TK196870:TK196874 ADG196870:ADG196874 ANC196870:ANC196874 AWY196870:AWY196874 BGU196870:BGU196874 BQQ196870:BQQ196874 CAM196870:CAM196874 CKI196870:CKI196874 CUE196870:CUE196874 DEA196870:DEA196874 DNW196870:DNW196874 DXS196870:DXS196874 EHO196870:EHO196874 ERK196870:ERK196874 FBG196870:FBG196874 FLC196870:FLC196874 FUY196870:FUY196874 GEU196870:GEU196874 GOQ196870:GOQ196874 GYM196870:GYM196874 HII196870:HII196874 HSE196870:HSE196874 ICA196870:ICA196874 ILW196870:ILW196874 IVS196870:IVS196874 JFO196870:JFO196874 JPK196870:JPK196874 JZG196870:JZG196874 KJC196870:KJC196874 KSY196870:KSY196874 LCU196870:LCU196874 LMQ196870:LMQ196874 LWM196870:LWM196874 MGI196870:MGI196874 MQE196870:MQE196874 NAA196870:NAA196874 NJW196870:NJW196874 NTS196870:NTS196874 ODO196870:ODO196874 ONK196870:ONK196874 OXG196870:OXG196874 PHC196870:PHC196874 PQY196870:PQY196874 QAU196870:QAU196874 QKQ196870:QKQ196874 QUM196870:QUM196874 REI196870:REI196874 ROE196870:ROE196874 RYA196870:RYA196874 SHW196870:SHW196874 SRS196870:SRS196874 TBO196870:TBO196874 TLK196870:TLK196874 TVG196870:TVG196874 UFC196870:UFC196874 UOY196870:UOY196874 UYU196870:UYU196874 VIQ196870:VIQ196874 VSM196870:VSM196874 WCI196870:WCI196874 WME196870:WME196874 WWA196870:WWA196874 S262406:S262410 JO262406:JO262410 TK262406:TK262410 ADG262406:ADG262410 ANC262406:ANC262410 AWY262406:AWY262410 BGU262406:BGU262410 BQQ262406:BQQ262410 CAM262406:CAM262410 CKI262406:CKI262410 CUE262406:CUE262410 DEA262406:DEA262410 DNW262406:DNW262410 DXS262406:DXS262410 EHO262406:EHO262410 ERK262406:ERK262410 FBG262406:FBG262410 FLC262406:FLC262410 FUY262406:FUY262410 GEU262406:GEU262410 GOQ262406:GOQ262410 GYM262406:GYM262410 HII262406:HII262410 HSE262406:HSE262410 ICA262406:ICA262410 ILW262406:ILW262410 IVS262406:IVS262410 JFO262406:JFO262410 JPK262406:JPK262410 JZG262406:JZG262410 KJC262406:KJC262410 KSY262406:KSY262410 LCU262406:LCU262410 LMQ262406:LMQ262410 LWM262406:LWM262410 MGI262406:MGI262410 MQE262406:MQE262410 NAA262406:NAA262410 NJW262406:NJW262410 NTS262406:NTS262410 ODO262406:ODO262410 ONK262406:ONK262410 OXG262406:OXG262410 PHC262406:PHC262410 PQY262406:PQY262410 QAU262406:QAU262410 QKQ262406:QKQ262410 QUM262406:QUM262410 REI262406:REI262410 ROE262406:ROE262410 RYA262406:RYA262410 SHW262406:SHW262410 SRS262406:SRS262410 TBO262406:TBO262410 TLK262406:TLK262410 TVG262406:TVG262410 UFC262406:UFC262410 UOY262406:UOY262410 UYU262406:UYU262410 VIQ262406:VIQ262410 VSM262406:VSM262410 WCI262406:WCI262410 WME262406:WME262410 WWA262406:WWA262410 S327942:S327946 JO327942:JO327946 TK327942:TK327946 ADG327942:ADG327946 ANC327942:ANC327946 AWY327942:AWY327946 BGU327942:BGU327946 BQQ327942:BQQ327946 CAM327942:CAM327946 CKI327942:CKI327946 CUE327942:CUE327946 DEA327942:DEA327946 DNW327942:DNW327946 DXS327942:DXS327946 EHO327942:EHO327946 ERK327942:ERK327946 FBG327942:FBG327946 FLC327942:FLC327946 FUY327942:FUY327946 GEU327942:GEU327946 GOQ327942:GOQ327946 GYM327942:GYM327946 HII327942:HII327946 HSE327942:HSE327946 ICA327942:ICA327946 ILW327942:ILW327946 IVS327942:IVS327946 JFO327942:JFO327946 JPK327942:JPK327946 JZG327942:JZG327946 KJC327942:KJC327946 KSY327942:KSY327946 LCU327942:LCU327946 LMQ327942:LMQ327946 LWM327942:LWM327946 MGI327942:MGI327946 MQE327942:MQE327946 NAA327942:NAA327946 NJW327942:NJW327946 NTS327942:NTS327946 ODO327942:ODO327946 ONK327942:ONK327946 OXG327942:OXG327946 PHC327942:PHC327946 PQY327942:PQY327946 QAU327942:QAU327946 QKQ327942:QKQ327946 QUM327942:QUM327946 REI327942:REI327946 ROE327942:ROE327946 RYA327942:RYA327946 SHW327942:SHW327946 SRS327942:SRS327946 TBO327942:TBO327946 TLK327942:TLK327946 TVG327942:TVG327946 UFC327942:UFC327946 UOY327942:UOY327946 UYU327942:UYU327946 VIQ327942:VIQ327946 VSM327942:VSM327946 WCI327942:WCI327946 WME327942:WME327946 WWA327942:WWA327946 S393478:S393482 JO393478:JO393482 TK393478:TK393482 ADG393478:ADG393482 ANC393478:ANC393482 AWY393478:AWY393482 BGU393478:BGU393482 BQQ393478:BQQ393482 CAM393478:CAM393482 CKI393478:CKI393482 CUE393478:CUE393482 DEA393478:DEA393482 DNW393478:DNW393482 DXS393478:DXS393482 EHO393478:EHO393482 ERK393478:ERK393482 FBG393478:FBG393482 FLC393478:FLC393482 FUY393478:FUY393482 GEU393478:GEU393482 GOQ393478:GOQ393482 GYM393478:GYM393482 HII393478:HII393482 HSE393478:HSE393482 ICA393478:ICA393482 ILW393478:ILW393482 IVS393478:IVS393482 JFO393478:JFO393482 JPK393478:JPK393482 JZG393478:JZG393482 KJC393478:KJC393482 KSY393478:KSY393482 LCU393478:LCU393482 LMQ393478:LMQ393482 LWM393478:LWM393482 MGI393478:MGI393482 MQE393478:MQE393482 NAA393478:NAA393482 NJW393478:NJW393482 NTS393478:NTS393482 ODO393478:ODO393482 ONK393478:ONK393482 OXG393478:OXG393482 PHC393478:PHC393482 PQY393478:PQY393482 QAU393478:QAU393482 QKQ393478:QKQ393482 QUM393478:QUM393482 REI393478:REI393482 ROE393478:ROE393482 RYA393478:RYA393482 SHW393478:SHW393482 SRS393478:SRS393482 TBO393478:TBO393482 TLK393478:TLK393482 TVG393478:TVG393482 UFC393478:UFC393482 UOY393478:UOY393482 UYU393478:UYU393482 VIQ393478:VIQ393482 VSM393478:VSM393482 WCI393478:WCI393482 WME393478:WME393482 WWA393478:WWA393482 S459014:S459018 JO459014:JO459018 TK459014:TK459018 ADG459014:ADG459018 ANC459014:ANC459018 AWY459014:AWY459018 BGU459014:BGU459018 BQQ459014:BQQ459018 CAM459014:CAM459018 CKI459014:CKI459018 CUE459014:CUE459018 DEA459014:DEA459018 DNW459014:DNW459018 DXS459014:DXS459018 EHO459014:EHO459018 ERK459014:ERK459018 FBG459014:FBG459018 FLC459014:FLC459018 FUY459014:FUY459018 GEU459014:GEU459018 GOQ459014:GOQ459018 GYM459014:GYM459018 HII459014:HII459018 HSE459014:HSE459018 ICA459014:ICA459018 ILW459014:ILW459018 IVS459014:IVS459018 JFO459014:JFO459018 JPK459014:JPK459018 JZG459014:JZG459018 KJC459014:KJC459018 KSY459014:KSY459018 LCU459014:LCU459018 LMQ459014:LMQ459018 LWM459014:LWM459018 MGI459014:MGI459018 MQE459014:MQE459018 NAA459014:NAA459018 NJW459014:NJW459018 NTS459014:NTS459018 ODO459014:ODO459018 ONK459014:ONK459018 OXG459014:OXG459018 PHC459014:PHC459018 PQY459014:PQY459018 QAU459014:QAU459018 QKQ459014:QKQ459018 QUM459014:QUM459018 REI459014:REI459018 ROE459014:ROE459018 RYA459014:RYA459018 SHW459014:SHW459018 SRS459014:SRS459018 TBO459014:TBO459018 TLK459014:TLK459018 TVG459014:TVG459018 UFC459014:UFC459018 UOY459014:UOY459018 UYU459014:UYU459018 VIQ459014:VIQ459018 VSM459014:VSM459018 WCI459014:WCI459018 WME459014:WME459018 WWA459014:WWA459018 S524550:S524554 JO524550:JO524554 TK524550:TK524554 ADG524550:ADG524554 ANC524550:ANC524554 AWY524550:AWY524554 BGU524550:BGU524554 BQQ524550:BQQ524554 CAM524550:CAM524554 CKI524550:CKI524554 CUE524550:CUE524554 DEA524550:DEA524554 DNW524550:DNW524554 DXS524550:DXS524554 EHO524550:EHO524554 ERK524550:ERK524554 FBG524550:FBG524554 FLC524550:FLC524554 FUY524550:FUY524554 GEU524550:GEU524554 GOQ524550:GOQ524554 GYM524550:GYM524554 HII524550:HII524554 HSE524550:HSE524554 ICA524550:ICA524554 ILW524550:ILW524554 IVS524550:IVS524554 JFO524550:JFO524554 JPK524550:JPK524554 JZG524550:JZG524554 KJC524550:KJC524554 KSY524550:KSY524554 LCU524550:LCU524554 LMQ524550:LMQ524554 LWM524550:LWM524554 MGI524550:MGI524554 MQE524550:MQE524554 NAA524550:NAA524554 NJW524550:NJW524554 NTS524550:NTS524554 ODO524550:ODO524554 ONK524550:ONK524554 OXG524550:OXG524554 PHC524550:PHC524554 PQY524550:PQY524554 QAU524550:QAU524554 QKQ524550:QKQ524554 QUM524550:QUM524554 REI524550:REI524554 ROE524550:ROE524554 RYA524550:RYA524554 SHW524550:SHW524554 SRS524550:SRS524554 TBO524550:TBO524554 TLK524550:TLK524554 TVG524550:TVG524554 UFC524550:UFC524554 UOY524550:UOY524554 UYU524550:UYU524554 VIQ524550:VIQ524554 VSM524550:VSM524554 WCI524550:WCI524554 WME524550:WME524554 WWA524550:WWA524554 S590086:S590090 JO590086:JO590090 TK590086:TK590090 ADG590086:ADG590090 ANC590086:ANC590090 AWY590086:AWY590090 BGU590086:BGU590090 BQQ590086:BQQ590090 CAM590086:CAM590090 CKI590086:CKI590090 CUE590086:CUE590090 DEA590086:DEA590090 DNW590086:DNW590090 DXS590086:DXS590090 EHO590086:EHO590090 ERK590086:ERK590090 FBG590086:FBG590090 FLC590086:FLC590090 FUY590086:FUY590090 GEU590086:GEU590090 GOQ590086:GOQ590090 GYM590086:GYM590090 HII590086:HII590090 HSE590086:HSE590090 ICA590086:ICA590090 ILW590086:ILW590090 IVS590086:IVS590090 JFO590086:JFO590090 JPK590086:JPK590090 JZG590086:JZG590090 KJC590086:KJC590090 KSY590086:KSY590090 LCU590086:LCU590090 LMQ590086:LMQ590090 LWM590086:LWM590090 MGI590086:MGI590090 MQE590086:MQE590090 NAA590086:NAA590090 NJW590086:NJW590090 NTS590086:NTS590090 ODO590086:ODO590090 ONK590086:ONK590090 OXG590086:OXG590090 PHC590086:PHC590090 PQY590086:PQY590090 QAU590086:QAU590090 QKQ590086:QKQ590090 QUM590086:QUM590090 REI590086:REI590090 ROE590086:ROE590090 RYA590086:RYA590090 SHW590086:SHW590090 SRS590086:SRS590090 TBO590086:TBO590090 TLK590086:TLK590090 TVG590086:TVG590090 UFC590086:UFC590090 UOY590086:UOY590090 UYU590086:UYU590090 VIQ590086:VIQ590090 VSM590086:VSM590090 WCI590086:WCI590090 WME590086:WME590090 WWA590086:WWA590090 S655622:S655626 JO655622:JO655626 TK655622:TK655626 ADG655622:ADG655626 ANC655622:ANC655626 AWY655622:AWY655626 BGU655622:BGU655626 BQQ655622:BQQ655626 CAM655622:CAM655626 CKI655622:CKI655626 CUE655622:CUE655626 DEA655622:DEA655626 DNW655622:DNW655626 DXS655622:DXS655626 EHO655622:EHO655626 ERK655622:ERK655626 FBG655622:FBG655626 FLC655622:FLC655626 FUY655622:FUY655626 GEU655622:GEU655626 GOQ655622:GOQ655626 GYM655622:GYM655626 HII655622:HII655626 HSE655622:HSE655626 ICA655622:ICA655626 ILW655622:ILW655626 IVS655622:IVS655626 JFO655622:JFO655626 JPK655622:JPK655626 JZG655622:JZG655626 KJC655622:KJC655626 KSY655622:KSY655626 LCU655622:LCU655626 LMQ655622:LMQ655626 LWM655622:LWM655626 MGI655622:MGI655626 MQE655622:MQE655626 NAA655622:NAA655626 NJW655622:NJW655626 NTS655622:NTS655626 ODO655622:ODO655626 ONK655622:ONK655626 OXG655622:OXG655626 PHC655622:PHC655626 PQY655622:PQY655626 QAU655622:QAU655626 QKQ655622:QKQ655626 QUM655622:QUM655626 REI655622:REI655626 ROE655622:ROE655626 RYA655622:RYA655626 SHW655622:SHW655626 SRS655622:SRS655626 TBO655622:TBO655626 TLK655622:TLK655626 TVG655622:TVG655626 UFC655622:UFC655626 UOY655622:UOY655626 UYU655622:UYU655626 VIQ655622:VIQ655626 VSM655622:VSM655626 WCI655622:WCI655626 WME655622:WME655626 WWA655622:WWA655626 S721158:S721162 JO721158:JO721162 TK721158:TK721162 ADG721158:ADG721162 ANC721158:ANC721162 AWY721158:AWY721162 BGU721158:BGU721162 BQQ721158:BQQ721162 CAM721158:CAM721162 CKI721158:CKI721162 CUE721158:CUE721162 DEA721158:DEA721162 DNW721158:DNW721162 DXS721158:DXS721162 EHO721158:EHO721162 ERK721158:ERK721162 FBG721158:FBG721162 FLC721158:FLC721162 FUY721158:FUY721162 GEU721158:GEU721162 GOQ721158:GOQ721162 GYM721158:GYM721162 HII721158:HII721162 HSE721158:HSE721162 ICA721158:ICA721162 ILW721158:ILW721162 IVS721158:IVS721162 JFO721158:JFO721162 JPK721158:JPK721162 JZG721158:JZG721162 KJC721158:KJC721162 KSY721158:KSY721162 LCU721158:LCU721162 LMQ721158:LMQ721162 LWM721158:LWM721162 MGI721158:MGI721162 MQE721158:MQE721162 NAA721158:NAA721162 NJW721158:NJW721162 NTS721158:NTS721162 ODO721158:ODO721162 ONK721158:ONK721162 OXG721158:OXG721162 PHC721158:PHC721162 PQY721158:PQY721162 QAU721158:QAU721162 QKQ721158:QKQ721162 QUM721158:QUM721162 REI721158:REI721162 ROE721158:ROE721162 RYA721158:RYA721162 SHW721158:SHW721162 SRS721158:SRS721162 TBO721158:TBO721162 TLK721158:TLK721162 TVG721158:TVG721162 UFC721158:UFC721162 UOY721158:UOY721162 UYU721158:UYU721162 VIQ721158:VIQ721162 VSM721158:VSM721162 WCI721158:WCI721162 WME721158:WME721162 WWA721158:WWA721162 S786694:S786698 JO786694:JO786698 TK786694:TK786698 ADG786694:ADG786698 ANC786694:ANC786698 AWY786694:AWY786698 BGU786694:BGU786698 BQQ786694:BQQ786698 CAM786694:CAM786698 CKI786694:CKI786698 CUE786694:CUE786698 DEA786694:DEA786698 DNW786694:DNW786698 DXS786694:DXS786698 EHO786694:EHO786698 ERK786694:ERK786698 FBG786694:FBG786698 FLC786694:FLC786698 FUY786694:FUY786698 GEU786694:GEU786698 GOQ786694:GOQ786698 GYM786694:GYM786698 HII786694:HII786698 HSE786694:HSE786698 ICA786694:ICA786698 ILW786694:ILW786698 IVS786694:IVS786698 JFO786694:JFO786698 JPK786694:JPK786698 JZG786694:JZG786698 KJC786694:KJC786698 KSY786694:KSY786698 LCU786694:LCU786698 LMQ786694:LMQ786698 LWM786694:LWM786698 MGI786694:MGI786698 MQE786694:MQE786698 NAA786694:NAA786698 NJW786694:NJW786698 NTS786694:NTS786698 ODO786694:ODO786698 ONK786694:ONK786698 OXG786694:OXG786698 PHC786694:PHC786698 PQY786694:PQY786698 QAU786694:QAU786698 QKQ786694:QKQ786698 QUM786694:QUM786698 REI786694:REI786698 ROE786694:ROE786698 RYA786694:RYA786698 SHW786694:SHW786698 SRS786694:SRS786698 TBO786694:TBO786698 TLK786694:TLK786698 TVG786694:TVG786698 UFC786694:UFC786698 UOY786694:UOY786698 UYU786694:UYU786698 VIQ786694:VIQ786698 VSM786694:VSM786698 WCI786694:WCI786698 WME786694:WME786698 WWA786694:WWA786698 S852230:S852234 JO852230:JO852234 TK852230:TK852234 ADG852230:ADG852234 ANC852230:ANC852234 AWY852230:AWY852234 BGU852230:BGU852234 BQQ852230:BQQ852234 CAM852230:CAM852234 CKI852230:CKI852234 CUE852230:CUE852234 DEA852230:DEA852234 DNW852230:DNW852234 DXS852230:DXS852234 EHO852230:EHO852234 ERK852230:ERK852234 FBG852230:FBG852234 FLC852230:FLC852234 FUY852230:FUY852234 GEU852230:GEU852234 GOQ852230:GOQ852234 GYM852230:GYM852234 HII852230:HII852234 HSE852230:HSE852234 ICA852230:ICA852234 ILW852230:ILW852234 IVS852230:IVS852234 JFO852230:JFO852234 JPK852230:JPK852234 JZG852230:JZG852234 KJC852230:KJC852234 KSY852230:KSY852234 LCU852230:LCU852234 LMQ852230:LMQ852234 LWM852230:LWM852234 MGI852230:MGI852234 MQE852230:MQE852234 NAA852230:NAA852234 NJW852230:NJW852234 NTS852230:NTS852234 ODO852230:ODO852234 ONK852230:ONK852234 OXG852230:OXG852234 PHC852230:PHC852234 PQY852230:PQY852234 QAU852230:QAU852234 QKQ852230:QKQ852234 QUM852230:QUM852234 REI852230:REI852234 ROE852230:ROE852234 RYA852230:RYA852234 SHW852230:SHW852234 SRS852230:SRS852234 TBO852230:TBO852234 TLK852230:TLK852234 TVG852230:TVG852234 UFC852230:UFC852234 UOY852230:UOY852234 UYU852230:UYU852234 VIQ852230:VIQ852234 VSM852230:VSM852234 WCI852230:WCI852234 WME852230:WME852234 WWA852230:WWA852234 S917766:S917770 JO917766:JO917770 TK917766:TK917770 ADG917766:ADG917770 ANC917766:ANC917770 AWY917766:AWY917770 BGU917766:BGU917770 BQQ917766:BQQ917770 CAM917766:CAM917770 CKI917766:CKI917770 CUE917766:CUE917770 DEA917766:DEA917770 DNW917766:DNW917770 DXS917766:DXS917770 EHO917766:EHO917770 ERK917766:ERK917770 FBG917766:FBG917770 FLC917766:FLC917770 FUY917766:FUY917770 GEU917766:GEU917770 GOQ917766:GOQ917770 GYM917766:GYM917770 HII917766:HII917770 HSE917766:HSE917770 ICA917766:ICA917770 ILW917766:ILW917770 IVS917766:IVS917770 JFO917766:JFO917770 JPK917766:JPK917770 JZG917766:JZG917770 KJC917766:KJC917770 KSY917766:KSY917770 LCU917766:LCU917770 LMQ917766:LMQ917770 LWM917766:LWM917770 MGI917766:MGI917770 MQE917766:MQE917770 NAA917766:NAA917770 NJW917766:NJW917770 NTS917766:NTS917770 ODO917766:ODO917770 ONK917766:ONK917770 OXG917766:OXG917770 PHC917766:PHC917770 PQY917766:PQY917770 QAU917766:QAU917770 QKQ917766:QKQ917770 QUM917766:QUM917770 REI917766:REI917770 ROE917766:ROE917770 RYA917766:RYA917770 SHW917766:SHW917770 SRS917766:SRS917770 TBO917766:TBO917770 TLK917766:TLK917770 TVG917766:TVG917770 UFC917766:UFC917770 UOY917766:UOY917770 UYU917766:UYU917770 VIQ917766:VIQ917770 VSM917766:VSM917770 WCI917766:WCI917770 WME917766:WME917770 WWA917766:WWA917770 S983302:S983306 JO983302:JO983306 TK983302:TK983306 ADG983302:ADG983306 ANC983302:ANC983306 AWY983302:AWY983306 BGU983302:BGU983306 BQQ983302:BQQ983306 CAM983302:CAM983306 CKI983302:CKI983306 CUE983302:CUE983306 DEA983302:DEA983306 DNW983302:DNW983306 DXS983302:DXS983306 EHO983302:EHO983306 ERK983302:ERK983306 FBG983302:FBG983306 FLC983302:FLC983306 FUY983302:FUY983306 GEU983302:GEU983306 GOQ983302:GOQ983306 GYM983302:GYM983306 HII983302:HII983306 HSE983302:HSE983306 ICA983302:ICA983306 ILW983302:ILW983306 IVS983302:IVS983306 JFO983302:JFO983306 JPK983302:JPK983306 JZG983302:JZG983306 KJC983302:KJC983306 KSY983302:KSY983306 LCU983302:LCU983306 LMQ983302:LMQ983306 LWM983302:LWM983306 MGI983302:MGI983306 MQE983302:MQE983306 NAA983302:NAA983306 NJW983302:NJW983306 NTS983302:NTS983306 ODO983302:ODO983306 ONK983302:ONK983306 OXG983302:OXG983306 PHC983302:PHC983306 PQY983302:PQY983306 QAU983302:QAU983306 QKQ983302:QKQ983306 QUM983302:QUM983306 REI983302:REI983306 ROE983302:ROE983306 RYA983302:RYA983306 SHW983302:SHW983306 SRS983302:SRS983306 TBO983302:TBO983306 TLK983302:TLK983306 TVG983302:TVG983306 UFC983302:UFC983306 UOY983302:UOY983306 UYU983302:UYU983306 VIQ983302:VIQ983306 VSM983302:VSM983306 WCI983302:WCI983306 WME983302:WME983306 WWA983302:WWA983306 S504:S505 JO504:JO505 TK504:TK505 ADG504:ADG505 ANC504:ANC505 AWY504:AWY505 BGU504:BGU505 BQQ504:BQQ505 CAM504:CAM505 CKI504:CKI505 CUE504:CUE505 DEA504:DEA505 DNW504:DNW505 DXS504:DXS505 EHO504:EHO505 ERK504:ERK505 FBG504:FBG505 FLC504:FLC505 FUY504:FUY505 GEU504:GEU505 GOQ504:GOQ505 GYM504:GYM505 HII504:HII505 HSE504:HSE505 ICA504:ICA505 ILW504:ILW505 IVS504:IVS505 JFO504:JFO505 JPK504:JPK505 JZG504:JZG505 KJC504:KJC505 KSY504:KSY505 LCU504:LCU505 LMQ504:LMQ505 LWM504:LWM505 MGI504:MGI505 MQE504:MQE505 NAA504:NAA505 NJW504:NJW505 NTS504:NTS505 ODO504:ODO505 ONK504:ONK505 OXG504:OXG505 PHC504:PHC505 PQY504:PQY505 QAU504:QAU505 QKQ504:QKQ505 QUM504:QUM505 REI504:REI505 ROE504:ROE505 RYA504:RYA505 SHW504:SHW505 SRS504:SRS505 TBO504:TBO505 TLK504:TLK505 TVG504:TVG505 UFC504:UFC505 UOY504:UOY505 UYU504:UYU505 VIQ504:VIQ505 VSM504:VSM505 WCI504:WCI505 WME504:WME505 WWA504:WWA505 S66040:S66041 JO66040:JO66041 TK66040:TK66041 ADG66040:ADG66041 ANC66040:ANC66041 AWY66040:AWY66041 BGU66040:BGU66041 BQQ66040:BQQ66041 CAM66040:CAM66041 CKI66040:CKI66041 CUE66040:CUE66041 DEA66040:DEA66041 DNW66040:DNW66041 DXS66040:DXS66041 EHO66040:EHO66041 ERK66040:ERK66041 FBG66040:FBG66041 FLC66040:FLC66041 FUY66040:FUY66041 GEU66040:GEU66041 GOQ66040:GOQ66041 GYM66040:GYM66041 HII66040:HII66041 HSE66040:HSE66041 ICA66040:ICA66041 ILW66040:ILW66041 IVS66040:IVS66041 JFO66040:JFO66041 JPK66040:JPK66041 JZG66040:JZG66041 KJC66040:KJC66041 KSY66040:KSY66041 LCU66040:LCU66041 LMQ66040:LMQ66041 LWM66040:LWM66041 MGI66040:MGI66041 MQE66040:MQE66041 NAA66040:NAA66041 NJW66040:NJW66041 NTS66040:NTS66041 ODO66040:ODO66041 ONK66040:ONK66041 OXG66040:OXG66041 PHC66040:PHC66041 PQY66040:PQY66041 QAU66040:QAU66041 QKQ66040:QKQ66041 QUM66040:QUM66041 REI66040:REI66041 ROE66040:ROE66041 RYA66040:RYA66041 SHW66040:SHW66041 SRS66040:SRS66041 TBO66040:TBO66041 TLK66040:TLK66041 TVG66040:TVG66041 UFC66040:UFC66041 UOY66040:UOY66041 UYU66040:UYU66041 VIQ66040:VIQ66041 VSM66040:VSM66041 WCI66040:WCI66041 WME66040:WME66041 WWA66040:WWA66041 S131576:S131577 JO131576:JO131577 TK131576:TK131577 ADG131576:ADG131577 ANC131576:ANC131577 AWY131576:AWY131577 BGU131576:BGU131577 BQQ131576:BQQ131577 CAM131576:CAM131577 CKI131576:CKI131577 CUE131576:CUE131577 DEA131576:DEA131577 DNW131576:DNW131577 DXS131576:DXS131577 EHO131576:EHO131577 ERK131576:ERK131577 FBG131576:FBG131577 FLC131576:FLC131577 FUY131576:FUY131577 GEU131576:GEU131577 GOQ131576:GOQ131577 GYM131576:GYM131577 HII131576:HII131577 HSE131576:HSE131577 ICA131576:ICA131577 ILW131576:ILW131577 IVS131576:IVS131577 JFO131576:JFO131577 JPK131576:JPK131577 JZG131576:JZG131577 KJC131576:KJC131577 KSY131576:KSY131577 LCU131576:LCU131577 LMQ131576:LMQ131577 LWM131576:LWM131577 MGI131576:MGI131577 MQE131576:MQE131577 NAA131576:NAA131577 NJW131576:NJW131577 NTS131576:NTS131577 ODO131576:ODO131577 ONK131576:ONK131577 OXG131576:OXG131577 PHC131576:PHC131577 PQY131576:PQY131577 QAU131576:QAU131577 QKQ131576:QKQ131577 QUM131576:QUM131577 REI131576:REI131577 ROE131576:ROE131577 RYA131576:RYA131577 SHW131576:SHW131577 SRS131576:SRS131577 TBO131576:TBO131577 TLK131576:TLK131577 TVG131576:TVG131577 UFC131576:UFC131577 UOY131576:UOY131577 UYU131576:UYU131577 VIQ131576:VIQ131577 VSM131576:VSM131577 WCI131576:WCI131577 WME131576:WME131577 WWA131576:WWA131577 S197112:S197113 JO197112:JO197113 TK197112:TK197113 ADG197112:ADG197113 ANC197112:ANC197113 AWY197112:AWY197113 BGU197112:BGU197113 BQQ197112:BQQ197113 CAM197112:CAM197113 CKI197112:CKI197113 CUE197112:CUE197113 DEA197112:DEA197113 DNW197112:DNW197113 DXS197112:DXS197113 EHO197112:EHO197113 ERK197112:ERK197113 FBG197112:FBG197113 FLC197112:FLC197113 FUY197112:FUY197113 GEU197112:GEU197113 GOQ197112:GOQ197113 GYM197112:GYM197113 HII197112:HII197113 HSE197112:HSE197113 ICA197112:ICA197113 ILW197112:ILW197113 IVS197112:IVS197113 JFO197112:JFO197113 JPK197112:JPK197113 JZG197112:JZG197113 KJC197112:KJC197113 KSY197112:KSY197113 LCU197112:LCU197113 LMQ197112:LMQ197113 LWM197112:LWM197113 MGI197112:MGI197113 MQE197112:MQE197113 NAA197112:NAA197113 NJW197112:NJW197113 NTS197112:NTS197113 ODO197112:ODO197113 ONK197112:ONK197113 OXG197112:OXG197113 PHC197112:PHC197113 PQY197112:PQY197113 QAU197112:QAU197113 QKQ197112:QKQ197113 QUM197112:QUM197113 REI197112:REI197113 ROE197112:ROE197113 RYA197112:RYA197113 SHW197112:SHW197113 SRS197112:SRS197113 TBO197112:TBO197113 TLK197112:TLK197113 TVG197112:TVG197113 UFC197112:UFC197113 UOY197112:UOY197113 UYU197112:UYU197113 VIQ197112:VIQ197113 VSM197112:VSM197113 WCI197112:WCI197113 WME197112:WME197113 WWA197112:WWA197113 S262648:S262649 JO262648:JO262649 TK262648:TK262649 ADG262648:ADG262649 ANC262648:ANC262649 AWY262648:AWY262649 BGU262648:BGU262649 BQQ262648:BQQ262649 CAM262648:CAM262649 CKI262648:CKI262649 CUE262648:CUE262649 DEA262648:DEA262649 DNW262648:DNW262649 DXS262648:DXS262649 EHO262648:EHO262649 ERK262648:ERK262649 FBG262648:FBG262649 FLC262648:FLC262649 FUY262648:FUY262649 GEU262648:GEU262649 GOQ262648:GOQ262649 GYM262648:GYM262649 HII262648:HII262649 HSE262648:HSE262649 ICA262648:ICA262649 ILW262648:ILW262649 IVS262648:IVS262649 JFO262648:JFO262649 JPK262648:JPK262649 JZG262648:JZG262649 KJC262648:KJC262649 KSY262648:KSY262649 LCU262648:LCU262649 LMQ262648:LMQ262649 LWM262648:LWM262649 MGI262648:MGI262649 MQE262648:MQE262649 NAA262648:NAA262649 NJW262648:NJW262649 NTS262648:NTS262649 ODO262648:ODO262649 ONK262648:ONK262649 OXG262648:OXG262649 PHC262648:PHC262649 PQY262648:PQY262649 QAU262648:QAU262649 QKQ262648:QKQ262649 QUM262648:QUM262649 REI262648:REI262649 ROE262648:ROE262649 RYA262648:RYA262649 SHW262648:SHW262649 SRS262648:SRS262649 TBO262648:TBO262649 TLK262648:TLK262649 TVG262648:TVG262649 UFC262648:UFC262649 UOY262648:UOY262649 UYU262648:UYU262649 VIQ262648:VIQ262649 VSM262648:VSM262649 WCI262648:WCI262649 WME262648:WME262649 WWA262648:WWA262649 S328184:S328185 JO328184:JO328185 TK328184:TK328185 ADG328184:ADG328185 ANC328184:ANC328185 AWY328184:AWY328185 BGU328184:BGU328185 BQQ328184:BQQ328185 CAM328184:CAM328185 CKI328184:CKI328185 CUE328184:CUE328185 DEA328184:DEA328185 DNW328184:DNW328185 DXS328184:DXS328185 EHO328184:EHO328185 ERK328184:ERK328185 FBG328184:FBG328185 FLC328184:FLC328185 FUY328184:FUY328185 GEU328184:GEU328185 GOQ328184:GOQ328185 GYM328184:GYM328185 HII328184:HII328185 HSE328184:HSE328185 ICA328184:ICA328185 ILW328184:ILW328185 IVS328184:IVS328185 JFO328184:JFO328185 JPK328184:JPK328185 JZG328184:JZG328185 KJC328184:KJC328185 KSY328184:KSY328185 LCU328184:LCU328185 LMQ328184:LMQ328185 LWM328184:LWM328185 MGI328184:MGI328185 MQE328184:MQE328185 NAA328184:NAA328185 NJW328184:NJW328185 NTS328184:NTS328185 ODO328184:ODO328185 ONK328184:ONK328185 OXG328184:OXG328185 PHC328184:PHC328185 PQY328184:PQY328185 QAU328184:QAU328185 QKQ328184:QKQ328185 QUM328184:QUM328185 REI328184:REI328185 ROE328184:ROE328185 RYA328184:RYA328185 SHW328184:SHW328185 SRS328184:SRS328185 TBO328184:TBO328185 TLK328184:TLK328185 TVG328184:TVG328185 UFC328184:UFC328185 UOY328184:UOY328185 UYU328184:UYU328185 VIQ328184:VIQ328185 VSM328184:VSM328185 WCI328184:WCI328185 WME328184:WME328185 WWA328184:WWA328185 S393720:S393721 JO393720:JO393721 TK393720:TK393721 ADG393720:ADG393721 ANC393720:ANC393721 AWY393720:AWY393721 BGU393720:BGU393721 BQQ393720:BQQ393721 CAM393720:CAM393721 CKI393720:CKI393721 CUE393720:CUE393721 DEA393720:DEA393721 DNW393720:DNW393721 DXS393720:DXS393721 EHO393720:EHO393721 ERK393720:ERK393721 FBG393720:FBG393721 FLC393720:FLC393721 FUY393720:FUY393721 GEU393720:GEU393721 GOQ393720:GOQ393721 GYM393720:GYM393721 HII393720:HII393721 HSE393720:HSE393721 ICA393720:ICA393721 ILW393720:ILW393721 IVS393720:IVS393721 JFO393720:JFO393721 JPK393720:JPK393721 JZG393720:JZG393721 KJC393720:KJC393721 KSY393720:KSY393721 LCU393720:LCU393721 LMQ393720:LMQ393721 LWM393720:LWM393721 MGI393720:MGI393721 MQE393720:MQE393721 NAA393720:NAA393721 NJW393720:NJW393721 NTS393720:NTS393721 ODO393720:ODO393721 ONK393720:ONK393721 OXG393720:OXG393721 PHC393720:PHC393721 PQY393720:PQY393721 QAU393720:QAU393721 QKQ393720:QKQ393721 QUM393720:QUM393721 REI393720:REI393721 ROE393720:ROE393721 RYA393720:RYA393721 SHW393720:SHW393721 SRS393720:SRS393721 TBO393720:TBO393721 TLK393720:TLK393721 TVG393720:TVG393721 UFC393720:UFC393721 UOY393720:UOY393721 UYU393720:UYU393721 VIQ393720:VIQ393721 VSM393720:VSM393721 WCI393720:WCI393721 WME393720:WME393721 WWA393720:WWA393721 S459256:S459257 JO459256:JO459257 TK459256:TK459257 ADG459256:ADG459257 ANC459256:ANC459257 AWY459256:AWY459257 BGU459256:BGU459257 BQQ459256:BQQ459257 CAM459256:CAM459257 CKI459256:CKI459257 CUE459256:CUE459257 DEA459256:DEA459257 DNW459256:DNW459257 DXS459256:DXS459257 EHO459256:EHO459257 ERK459256:ERK459257 FBG459256:FBG459257 FLC459256:FLC459257 FUY459256:FUY459257 GEU459256:GEU459257 GOQ459256:GOQ459257 GYM459256:GYM459257 HII459256:HII459257 HSE459256:HSE459257 ICA459256:ICA459257 ILW459256:ILW459257 IVS459256:IVS459257 JFO459256:JFO459257 JPK459256:JPK459257 JZG459256:JZG459257 KJC459256:KJC459257 KSY459256:KSY459257 LCU459256:LCU459257 LMQ459256:LMQ459257 LWM459256:LWM459257 MGI459256:MGI459257 MQE459256:MQE459257 NAA459256:NAA459257 NJW459256:NJW459257 NTS459256:NTS459257 ODO459256:ODO459257 ONK459256:ONK459257 OXG459256:OXG459257 PHC459256:PHC459257 PQY459256:PQY459257 QAU459256:QAU459257 QKQ459256:QKQ459257 QUM459256:QUM459257 REI459256:REI459257 ROE459256:ROE459257 RYA459256:RYA459257 SHW459256:SHW459257 SRS459256:SRS459257 TBO459256:TBO459257 TLK459256:TLK459257 TVG459256:TVG459257 UFC459256:UFC459257 UOY459256:UOY459257 UYU459256:UYU459257 VIQ459256:VIQ459257 VSM459256:VSM459257 WCI459256:WCI459257 WME459256:WME459257 WWA459256:WWA459257 S524792:S524793 JO524792:JO524793 TK524792:TK524793 ADG524792:ADG524793 ANC524792:ANC524793 AWY524792:AWY524793 BGU524792:BGU524793 BQQ524792:BQQ524793 CAM524792:CAM524793 CKI524792:CKI524793 CUE524792:CUE524793 DEA524792:DEA524793 DNW524792:DNW524793 DXS524792:DXS524793 EHO524792:EHO524793 ERK524792:ERK524793 FBG524792:FBG524793 FLC524792:FLC524793 FUY524792:FUY524793 GEU524792:GEU524793 GOQ524792:GOQ524793 GYM524792:GYM524793 HII524792:HII524793 HSE524792:HSE524793 ICA524792:ICA524793 ILW524792:ILW524793 IVS524792:IVS524793 JFO524792:JFO524793 JPK524792:JPK524793 JZG524792:JZG524793 KJC524792:KJC524793 KSY524792:KSY524793 LCU524792:LCU524793 LMQ524792:LMQ524793 LWM524792:LWM524793 MGI524792:MGI524793 MQE524792:MQE524793 NAA524792:NAA524793 NJW524792:NJW524793 NTS524792:NTS524793 ODO524792:ODO524793 ONK524792:ONK524793 OXG524792:OXG524793 PHC524792:PHC524793 PQY524792:PQY524793 QAU524792:QAU524793 QKQ524792:QKQ524793 QUM524792:QUM524793 REI524792:REI524793 ROE524792:ROE524793 RYA524792:RYA524793 SHW524792:SHW524793 SRS524792:SRS524793 TBO524792:TBO524793 TLK524792:TLK524793 TVG524792:TVG524793 UFC524792:UFC524793 UOY524792:UOY524793 UYU524792:UYU524793 VIQ524792:VIQ524793 VSM524792:VSM524793 WCI524792:WCI524793 WME524792:WME524793 WWA524792:WWA524793 S590328:S590329 JO590328:JO590329 TK590328:TK590329 ADG590328:ADG590329 ANC590328:ANC590329 AWY590328:AWY590329 BGU590328:BGU590329 BQQ590328:BQQ590329 CAM590328:CAM590329 CKI590328:CKI590329 CUE590328:CUE590329 DEA590328:DEA590329 DNW590328:DNW590329 DXS590328:DXS590329 EHO590328:EHO590329 ERK590328:ERK590329 FBG590328:FBG590329 FLC590328:FLC590329 FUY590328:FUY590329 GEU590328:GEU590329 GOQ590328:GOQ590329 GYM590328:GYM590329 HII590328:HII590329 HSE590328:HSE590329 ICA590328:ICA590329 ILW590328:ILW590329 IVS590328:IVS590329 JFO590328:JFO590329 JPK590328:JPK590329 JZG590328:JZG590329 KJC590328:KJC590329 KSY590328:KSY590329 LCU590328:LCU590329 LMQ590328:LMQ590329 LWM590328:LWM590329 MGI590328:MGI590329 MQE590328:MQE590329 NAA590328:NAA590329 NJW590328:NJW590329 NTS590328:NTS590329 ODO590328:ODO590329 ONK590328:ONK590329 OXG590328:OXG590329 PHC590328:PHC590329 PQY590328:PQY590329 QAU590328:QAU590329 QKQ590328:QKQ590329 QUM590328:QUM590329 REI590328:REI590329 ROE590328:ROE590329 RYA590328:RYA590329 SHW590328:SHW590329 SRS590328:SRS590329 TBO590328:TBO590329 TLK590328:TLK590329 TVG590328:TVG590329 UFC590328:UFC590329 UOY590328:UOY590329 UYU590328:UYU590329 VIQ590328:VIQ590329 VSM590328:VSM590329 WCI590328:WCI590329 WME590328:WME590329 WWA590328:WWA590329 S655864:S655865 JO655864:JO655865 TK655864:TK655865 ADG655864:ADG655865 ANC655864:ANC655865 AWY655864:AWY655865 BGU655864:BGU655865 BQQ655864:BQQ655865 CAM655864:CAM655865 CKI655864:CKI655865 CUE655864:CUE655865 DEA655864:DEA655865 DNW655864:DNW655865 DXS655864:DXS655865 EHO655864:EHO655865 ERK655864:ERK655865 FBG655864:FBG655865 FLC655864:FLC655865 FUY655864:FUY655865 GEU655864:GEU655865 GOQ655864:GOQ655865 GYM655864:GYM655865 HII655864:HII655865 HSE655864:HSE655865 ICA655864:ICA655865 ILW655864:ILW655865 IVS655864:IVS655865 JFO655864:JFO655865 JPK655864:JPK655865 JZG655864:JZG655865 KJC655864:KJC655865 KSY655864:KSY655865 LCU655864:LCU655865 LMQ655864:LMQ655865 LWM655864:LWM655865 MGI655864:MGI655865 MQE655864:MQE655865 NAA655864:NAA655865 NJW655864:NJW655865 NTS655864:NTS655865 ODO655864:ODO655865 ONK655864:ONK655865 OXG655864:OXG655865 PHC655864:PHC655865 PQY655864:PQY655865 QAU655864:QAU655865 QKQ655864:QKQ655865 QUM655864:QUM655865 REI655864:REI655865 ROE655864:ROE655865 RYA655864:RYA655865 SHW655864:SHW655865 SRS655864:SRS655865 TBO655864:TBO655865 TLK655864:TLK655865 TVG655864:TVG655865 UFC655864:UFC655865 UOY655864:UOY655865 UYU655864:UYU655865 VIQ655864:VIQ655865 VSM655864:VSM655865 WCI655864:WCI655865 WME655864:WME655865 WWA655864:WWA655865 S721400:S721401 JO721400:JO721401 TK721400:TK721401 ADG721400:ADG721401 ANC721400:ANC721401 AWY721400:AWY721401 BGU721400:BGU721401 BQQ721400:BQQ721401 CAM721400:CAM721401 CKI721400:CKI721401 CUE721400:CUE721401 DEA721400:DEA721401 DNW721400:DNW721401 DXS721400:DXS721401 EHO721400:EHO721401 ERK721400:ERK721401 FBG721400:FBG721401 FLC721400:FLC721401 FUY721400:FUY721401 GEU721400:GEU721401 GOQ721400:GOQ721401 GYM721400:GYM721401 HII721400:HII721401 HSE721400:HSE721401 ICA721400:ICA721401 ILW721400:ILW721401 IVS721400:IVS721401 JFO721400:JFO721401 JPK721400:JPK721401 JZG721400:JZG721401 KJC721400:KJC721401 KSY721400:KSY721401 LCU721400:LCU721401 LMQ721400:LMQ721401 LWM721400:LWM721401 MGI721400:MGI721401 MQE721400:MQE721401 NAA721400:NAA721401 NJW721400:NJW721401 NTS721400:NTS721401 ODO721400:ODO721401 ONK721400:ONK721401 OXG721400:OXG721401 PHC721400:PHC721401 PQY721400:PQY721401 QAU721400:QAU721401 QKQ721400:QKQ721401 QUM721400:QUM721401 REI721400:REI721401 ROE721400:ROE721401 RYA721400:RYA721401 SHW721400:SHW721401 SRS721400:SRS721401 TBO721400:TBO721401 TLK721400:TLK721401 TVG721400:TVG721401 UFC721400:UFC721401 UOY721400:UOY721401 UYU721400:UYU721401 VIQ721400:VIQ721401 VSM721400:VSM721401 WCI721400:WCI721401 WME721400:WME721401 WWA721400:WWA721401 S786936:S786937 JO786936:JO786937 TK786936:TK786937 ADG786936:ADG786937 ANC786936:ANC786937 AWY786936:AWY786937 BGU786936:BGU786937 BQQ786936:BQQ786937 CAM786936:CAM786937 CKI786936:CKI786937 CUE786936:CUE786937 DEA786936:DEA786937 DNW786936:DNW786937 DXS786936:DXS786937 EHO786936:EHO786937 ERK786936:ERK786937 FBG786936:FBG786937 FLC786936:FLC786937 FUY786936:FUY786937 GEU786936:GEU786937 GOQ786936:GOQ786937 GYM786936:GYM786937 HII786936:HII786937 HSE786936:HSE786937 ICA786936:ICA786937 ILW786936:ILW786937 IVS786936:IVS786937 JFO786936:JFO786937 JPK786936:JPK786937 JZG786936:JZG786937 KJC786936:KJC786937 KSY786936:KSY786937 LCU786936:LCU786937 LMQ786936:LMQ786937 LWM786936:LWM786937 MGI786936:MGI786937 MQE786936:MQE786937 NAA786936:NAA786937 NJW786936:NJW786937 NTS786936:NTS786937 ODO786936:ODO786937 ONK786936:ONK786937 OXG786936:OXG786937 PHC786936:PHC786937 PQY786936:PQY786937 QAU786936:QAU786937 QKQ786936:QKQ786937 QUM786936:QUM786937 REI786936:REI786937 ROE786936:ROE786937 RYA786936:RYA786937 SHW786936:SHW786937 SRS786936:SRS786937 TBO786936:TBO786937 TLK786936:TLK786937 TVG786936:TVG786937 UFC786936:UFC786937 UOY786936:UOY786937 UYU786936:UYU786937 VIQ786936:VIQ786937 VSM786936:VSM786937 WCI786936:WCI786937 WME786936:WME786937 WWA786936:WWA786937 S852472:S852473 JO852472:JO852473 TK852472:TK852473 ADG852472:ADG852473 ANC852472:ANC852473 AWY852472:AWY852473 BGU852472:BGU852473 BQQ852472:BQQ852473 CAM852472:CAM852473 CKI852472:CKI852473 CUE852472:CUE852473 DEA852472:DEA852473 DNW852472:DNW852473 DXS852472:DXS852473 EHO852472:EHO852473 ERK852472:ERK852473 FBG852472:FBG852473 FLC852472:FLC852473 FUY852472:FUY852473 GEU852472:GEU852473 GOQ852472:GOQ852473 GYM852472:GYM852473 HII852472:HII852473 HSE852472:HSE852473 ICA852472:ICA852473 ILW852472:ILW852473 IVS852472:IVS852473 JFO852472:JFO852473 JPK852472:JPK852473 JZG852472:JZG852473 KJC852472:KJC852473 KSY852472:KSY852473 LCU852472:LCU852473 LMQ852472:LMQ852473 LWM852472:LWM852473 MGI852472:MGI852473 MQE852472:MQE852473 NAA852472:NAA852473 NJW852472:NJW852473 NTS852472:NTS852473 ODO852472:ODO852473 ONK852472:ONK852473 OXG852472:OXG852473 PHC852472:PHC852473 PQY852472:PQY852473 QAU852472:QAU852473 QKQ852472:QKQ852473 QUM852472:QUM852473 REI852472:REI852473 ROE852472:ROE852473 RYA852472:RYA852473 SHW852472:SHW852473 SRS852472:SRS852473 TBO852472:TBO852473 TLK852472:TLK852473 TVG852472:TVG852473 UFC852472:UFC852473 UOY852472:UOY852473 UYU852472:UYU852473 VIQ852472:VIQ852473 VSM852472:VSM852473 WCI852472:WCI852473 WME852472:WME852473 WWA852472:WWA852473 S918008:S918009 JO918008:JO918009 TK918008:TK918009 ADG918008:ADG918009 ANC918008:ANC918009 AWY918008:AWY918009 BGU918008:BGU918009 BQQ918008:BQQ918009 CAM918008:CAM918009 CKI918008:CKI918009 CUE918008:CUE918009 DEA918008:DEA918009 DNW918008:DNW918009 DXS918008:DXS918009 EHO918008:EHO918009 ERK918008:ERK918009 FBG918008:FBG918009 FLC918008:FLC918009 FUY918008:FUY918009 GEU918008:GEU918009 GOQ918008:GOQ918009 GYM918008:GYM918009 HII918008:HII918009 HSE918008:HSE918009 ICA918008:ICA918009 ILW918008:ILW918009 IVS918008:IVS918009 JFO918008:JFO918009 JPK918008:JPK918009 JZG918008:JZG918009 KJC918008:KJC918009 KSY918008:KSY918009 LCU918008:LCU918009 LMQ918008:LMQ918009 LWM918008:LWM918009 MGI918008:MGI918009 MQE918008:MQE918009 NAA918008:NAA918009 NJW918008:NJW918009 NTS918008:NTS918009 ODO918008:ODO918009 ONK918008:ONK918009 OXG918008:OXG918009 PHC918008:PHC918009 PQY918008:PQY918009 QAU918008:QAU918009 QKQ918008:QKQ918009 QUM918008:QUM918009 REI918008:REI918009 ROE918008:ROE918009 RYA918008:RYA918009 SHW918008:SHW918009 SRS918008:SRS918009 TBO918008:TBO918009 TLK918008:TLK918009 TVG918008:TVG918009 UFC918008:UFC918009 UOY918008:UOY918009 UYU918008:UYU918009 VIQ918008:VIQ918009 VSM918008:VSM918009 WCI918008:WCI918009 WME918008:WME918009 WWA918008:WWA918009 S983544:S983545 JO983544:JO983545 TK983544:TK983545 ADG983544:ADG983545 ANC983544:ANC983545 AWY983544:AWY983545 BGU983544:BGU983545 BQQ983544:BQQ983545 CAM983544:CAM983545 CKI983544:CKI983545 CUE983544:CUE983545 DEA983544:DEA983545 DNW983544:DNW983545 DXS983544:DXS983545 EHO983544:EHO983545 ERK983544:ERK983545 FBG983544:FBG983545 FLC983544:FLC983545 FUY983544:FUY983545 GEU983544:GEU983545 GOQ983544:GOQ983545 GYM983544:GYM983545 HII983544:HII983545 HSE983544:HSE983545 ICA983544:ICA983545 ILW983544:ILW983545 IVS983544:IVS983545 JFO983544:JFO983545 JPK983544:JPK983545 JZG983544:JZG983545 KJC983544:KJC983545 KSY983544:KSY983545 LCU983544:LCU983545 LMQ983544:LMQ983545 LWM983544:LWM983545 MGI983544:MGI983545 MQE983544:MQE983545 NAA983544:NAA983545 NJW983544:NJW983545 NTS983544:NTS983545 ODO983544:ODO983545 ONK983544:ONK983545 OXG983544:OXG983545 PHC983544:PHC983545 PQY983544:PQY983545 QAU983544:QAU983545 QKQ983544:QKQ983545 QUM983544:QUM983545 REI983544:REI983545 ROE983544:ROE983545 RYA983544:RYA983545 SHW983544:SHW983545 SRS983544:SRS983545 TBO983544:TBO983545 TLK983544:TLK983545 TVG983544:TVG983545 UFC983544:UFC983545 UOY983544:UOY983545 UYU983544:UYU983545 VIQ983544:VIQ983545 VSM983544:VSM983545 WCI983544:WCI983545 WME983544:WME983545 WWA983544:WWA983545 S514:S515 JO514:JO515 TK514:TK515 ADG514:ADG515 ANC514:ANC515 AWY514:AWY515 BGU514:BGU515 BQQ514:BQQ515 CAM514:CAM515 CKI514:CKI515 CUE514:CUE515 DEA514:DEA515 DNW514:DNW515 DXS514:DXS515 EHO514:EHO515 ERK514:ERK515 FBG514:FBG515 FLC514:FLC515 FUY514:FUY515 GEU514:GEU515 GOQ514:GOQ515 GYM514:GYM515 HII514:HII515 HSE514:HSE515 ICA514:ICA515 ILW514:ILW515 IVS514:IVS515 JFO514:JFO515 JPK514:JPK515 JZG514:JZG515 KJC514:KJC515 KSY514:KSY515 LCU514:LCU515 LMQ514:LMQ515 LWM514:LWM515 MGI514:MGI515 MQE514:MQE515 NAA514:NAA515 NJW514:NJW515 NTS514:NTS515 ODO514:ODO515 ONK514:ONK515 OXG514:OXG515 PHC514:PHC515 PQY514:PQY515 QAU514:QAU515 QKQ514:QKQ515 QUM514:QUM515 REI514:REI515 ROE514:ROE515 RYA514:RYA515 SHW514:SHW515 SRS514:SRS515 TBO514:TBO515 TLK514:TLK515 TVG514:TVG515 UFC514:UFC515 UOY514:UOY515 UYU514:UYU515 VIQ514:VIQ515 VSM514:VSM515 WCI514:WCI515 WME514:WME515 WWA514:WWA515 S66050:S66051 JO66050:JO66051 TK66050:TK66051 ADG66050:ADG66051 ANC66050:ANC66051 AWY66050:AWY66051 BGU66050:BGU66051 BQQ66050:BQQ66051 CAM66050:CAM66051 CKI66050:CKI66051 CUE66050:CUE66051 DEA66050:DEA66051 DNW66050:DNW66051 DXS66050:DXS66051 EHO66050:EHO66051 ERK66050:ERK66051 FBG66050:FBG66051 FLC66050:FLC66051 FUY66050:FUY66051 GEU66050:GEU66051 GOQ66050:GOQ66051 GYM66050:GYM66051 HII66050:HII66051 HSE66050:HSE66051 ICA66050:ICA66051 ILW66050:ILW66051 IVS66050:IVS66051 JFO66050:JFO66051 JPK66050:JPK66051 JZG66050:JZG66051 KJC66050:KJC66051 KSY66050:KSY66051 LCU66050:LCU66051 LMQ66050:LMQ66051 LWM66050:LWM66051 MGI66050:MGI66051 MQE66050:MQE66051 NAA66050:NAA66051 NJW66050:NJW66051 NTS66050:NTS66051 ODO66050:ODO66051 ONK66050:ONK66051 OXG66050:OXG66051 PHC66050:PHC66051 PQY66050:PQY66051 QAU66050:QAU66051 QKQ66050:QKQ66051 QUM66050:QUM66051 REI66050:REI66051 ROE66050:ROE66051 RYA66050:RYA66051 SHW66050:SHW66051 SRS66050:SRS66051 TBO66050:TBO66051 TLK66050:TLK66051 TVG66050:TVG66051 UFC66050:UFC66051 UOY66050:UOY66051 UYU66050:UYU66051 VIQ66050:VIQ66051 VSM66050:VSM66051 WCI66050:WCI66051 WME66050:WME66051 WWA66050:WWA66051 S131586:S131587 JO131586:JO131587 TK131586:TK131587 ADG131586:ADG131587 ANC131586:ANC131587 AWY131586:AWY131587 BGU131586:BGU131587 BQQ131586:BQQ131587 CAM131586:CAM131587 CKI131586:CKI131587 CUE131586:CUE131587 DEA131586:DEA131587 DNW131586:DNW131587 DXS131586:DXS131587 EHO131586:EHO131587 ERK131586:ERK131587 FBG131586:FBG131587 FLC131586:FLC131587 FUY131586:FUY131587 GEU131586:GEU131587 GOQ131586:GOQ131587 GYM131586:GYM131587 HII131586:HII131587 HSE131586:HSE131587 ICA131586:ICA131587 ILW131586:ILW131587 IVS131586:IVS131587 JFO131586:JFO131587 JPK131586:JPK131587 JZG131586:JZG131587 KJC131586:KJC131587 KSY131586:KSY131587 LCU131586:LCU131587 LMQ131586:LMQ131587 LWM131586:LWM131587 MGI131586:MGI131587 MQE131586:MQE131587 NAA131586:NAA131587 NJW131586:NJW131587 NTS131586:NTS131587 ODO131586:ODO131587 ONK131586:ONK131587 OXG131586:OXG131587 PHC131586:PHC131587 PQY131586:PQY131587 QAU131586:QAU131587 QKQ131586:QKQ131587 QUM131586:QUM131587 REI131586:REI131587 ROE131586:ROE131587 RYA131586:RYA131587 SHW131586:SHW131587 SRS131586:SRS131587 TBO131586:TBO131587 TLK131586:TLK131587 TVG131586:TVG131587 UFC131586:UFC131587 UOY131586:UOY131587 UYU131586:UYU131587 VIQ131586:VIQ131587 VSM131586:VSM131587 WCI131586:WCI131587 WME131586:WME131587 WWA131586:WWA131587 S197122:S197123 JO197122:JO197123 TK197122:TK197123 ADG197122:ADG197123 ANC197122:ANC197123 AWY197122:AWY197123 BGU197122:BGU197123 BQQ197122:BQQ197123 CAM197122:CAM197123 CKI197122:CKI197123 CUE197122:CUE197123 DEA197122:DEA197123 DNW197122:DNW197123 DXS197122:DXS197123 EHO197122:EHO197123 ERK197122:ERK197123 FBG197122:FBG197123 FLC197122:FLC197123 FUY197122:FUY197123 GEU197122:GEU197123 GOQ197122:GOQ197123 GYM197122:GYM197123 HII197122:HII197123 HSE197122:HSE197123 ICA197122:ICA197123 ILW197122:ILW197123 IVS197122:IVS197123 JFO197122:JFO197123 JPK197122:JPK197123 JZG197122:JZG197123 KJC197122:KJC197123 KSY197122:KSY197123 LCU197122:LCU197123 LMQ197122:LMQ197123 LWM197122:LWM197123 MGI197122:MGI197123 MQE197122:MQE197123 NAA197122:NAA197123 NJW197122:NJW197123 NTS197122:NTS197123 ODO197122:ODO197123 ONK197122:ONK197123 OXG197122:OXG197123 PHC197122:PHC197123 PQY197122:PQY197123 QAU197122:QAU197123 QKQ197122:QKQ197123 QUM197122:QUM197123 REI197122:REI197123 ROE197122:ROE197123 RYA197122:RYA197123 SHW197122:SHW197123 SRS197122:SRS197123 TBO197122:TBO197123 TLK197122:TLK197123 TVG197122:TVG197123 UFC197122:UFC197123 UOY197122:UOY197123 UYU197122:UYU197123 VIQ197122:VIQ197123 VSM197122:VSM197123 WCI197122:WCI197123 WME197122:WME197123 WWA197122:WWA197123 S262658:S262659 JO262658:JO262659 TK262658:TK262659 ADG262658:ADG262659 ANC262658:ANC262659 AWY262658:AWY262659 BGU262658:BGU262659 BQQ262658:BQQ262659 CAM262658:CAM262659 CKI262658:CKI262659 CUE262658:CUE262659 DEA262658:DEA262659 DNW262658:DNW262659 DXS262658:DXS262659 EHO262658:EHO262659 ERK262658:ERK262659 FBG262658:FBG262659 FLC262658:FLC262659 FUY262658:FUY262659 GEU262658:GEU262659 GOQ262658:GOQ262659 GYM262658:GYM262659 HII262658:HII262659 HSE262658:HSE262659 ICA262658:ICA262659 ILW262658:ILW262659 IVS262658:IVS262659 JFO262658:JFO262659 JPK262658:JPK262659 JZG262658:JZG262659 KJC262658:KJC262659 KSY262658:KSY262659 LCU262658:LCU262659 LMQ262658:LMQ262659 LWM262658:LWM262659 MGI262658:MGI262659 MQE262658:MQE262659 NAA262658:NAA262659 NJW262658:NJW262659 NTS262658:NTS262659 ODO262658:ODO262659 ONK262658:ONK262659 OXG262658:OXG262659 PHC262658:PHC262659 PQY262658:PQY262659 QAU262658:QAU262659 QKQ262658:QKQ262659 QUM262658:QUM262659 REI262658:REI262659 ROE262658:ROE262659 RYA262658:RYA262659 SHW262658:SHW262659 SRS262658:SRS262659 TBO262658:TBO262659 TLK262658:TLK262659 TVG262658:TVG262659 UFC262658:UFC262659 UOY262658:UOY262659 UYU262658:UYU262659 VIQ262658:VIQ262659 VSM262658:VSM262659 WCI262658:WCI262659 WME262658:WME262659 WWA262658:WWA262659 S328194:S328195 JO328194:JO328195 TK328194:TK328195 ADG328194:ADG328195 ANC328194:ANC328195 AWY328194:AWY328195 BGU328194:BGU328195 BQQ328194:BQQ328195 CAM328194:CAM328195 CKI328194:CKI328195 CUE328194:CUE328195 DEA328194:DEA328195 DNW328194:DNW328195 DXS328194:DXS328195 EHO328194:EHO328195 ERK328194:ERK328195 FBG328194:FBG328195 FLC328194:FLC328195 FUY328194:FUY328195 GEU328194:GEU328195 GOQ328194:GOQ328195 GYM328194:GYM328195 HII328194:HII328195 HSE328194:HSE328195 ICA328194:ICA328195 ILW328194:ILW328195 IVS328194:IVS328195 JFO328194:JFO328195 JPK328194:JPK328195 JZG328194:JZG328195 KJC328194:KJC328195 KSY328194:KSY328195 LCU328194:LCU328195 LMQ328194:LMQ328195 LWM328194:LWM328195 MGI328194:MGI328195 MQE328194:MQE328195 NAA328194:NAA328195 NJW328194:NJW328195 NTS328194:NTS328195 ODO328194:ODO328195 ONK328194:ONK328195 OXG328194:OXG328195 PHC328194:PHC328195 PQY328194:PQY328195 QAU328194:QAU328195 QKQ328194:QKQ328195 QUM328194:QUM328195 REI328194:REI328195 ROE328194:ROE328195 RYA328194:RYA328195 SHW328194:SHW328195 SRS328194:SRS328195 TBO328194:TBO328195 TLK328194:TLK328195 TVG328194:TVG328195 UFC328194:UFC328195 UOY328194:UOY328195 UYU328194:UYU328195 VIQ328194:VIQ328195 VSM328194:VSM328195 WCI328194:WCI328195 WME328194:WME328195 WWA328194:WWA328195 S393730:S393731 JO393730:JO393731 TK393730:TK393731 ADG393730:ADG393731 ANC393730:ANC393731 AWY393730:AWY393731 BGU393730:BGU393731 BQQ393730:BQQ393731 CAM393730:CAM393731 CKI393730:CKI393731 CUE393730:CUE393731 DEA393730:DEA393731 DNW393730:DNW393731 DXS393730:DXS393731 EHO393730:EHO393731 ERK393730:ERK393731 FBG393730:FBG393731 FLC393730:FLC393731 FUY393730:FUY393731 GEU393730:GEU393731 GOQ393730:GOQ393731 GYM393730:GYM393731 HII393730:HII393731 HSE393730:HSE393731 ICA393730:ICA393731 ILW393730:ILW393731 IVS393730:IVS393731 JFO393730:JFO393731 JPK393730:JPK393731 JZG393730:JZG393731 KJC393730:KJC393731 KSY393730:KSY393731 LCU393730:LCU393731 LMQ393730:LMQ393731 LWM393730:LWM393731 MGI393730:MGI393731 MQE393730:MQE393731 NAA393730:NAA393731 NJW393730:NJW393731 NTS393730:NTS393731 ODO393730:ODO393731 ONK393730:ONK393731 OXG393730:OXG393731 PHC393730:PHC393731 PQY393730:PQY393731 QAU393730:QAU393731 QKQ393730:QKQ393731 QUM393730:QUM393731 REI393730:REI393731 ROE393730:ROE393731 RYA393730:RYA393731 SHW393730:SHW393731 SRS393730:SRS393731 TBO393730:TBO393731 TLK393730:TLK393731 TVG393730:TVG393731 UFC393730:UFC393731 UOY393730:UOY393731 UYU393730:UYU393731 VIQ393730:VIQ393731 VSM393730:VSM393731 WCI393730:WCI393731 WME393730:WME393731 WWA393730:WWA393731 S459266:S459267 JO459266:JO459267 TK459266:TK459267 ADG459266:ADG459267 ANC459266:ANC459267 AWY459266:AWY459267 BGU459266:BGU459267 BQQ459266:BQQ459267 CAM459266:CAM459267 CKI459266:CKI459267 CUE459266:CUE459267 DEA459266:DEA459267 DNW459266:DNW459267 DXS459266:DXS459267 EHO459266:EHO459267 ERK459266:ERK459267 FBG459266:FBG459267 FLC459266:FLC459267 FUY459266:FUY459267 GEU459266:GEU459267 GOQ459266:GOQ459267 GYM459266:GYM459267 HII459266:HII459267 HSE459266:HSE459267 ICA459266:ICA459267 ILW459266:ILW459267 IVS459266:IVS459267 JFO459266:JFO459267 JPK459266:JPK459267 JZG459266:JZG459267 KJC459266:KJC459267 KSY459266:KSY459267 LCU459266:LCU459267 LMQ459266:LMQ459267 LWM459266:LWM459267 MGI459266:MGI459267 MQE459266:MQE459267 NAA459266:NAA459267 NJW459266:NJW459267 NTS459266:NTS459267 ODO459266:ODO459267 ONK459266:ONK459267 OXG459266:OXG459267 PHC459266:PHC459267 PQY459266:PQY459267 QAU459266:QAU459267 QKQ459266:QKQ459267 QUM459266:QUM459267 REI459266:REI459267 ROE459266:ROE459267 RYA459266:RYA459267 SHW459266:SHW459267 SRS459266:SRS459267 TBO459266:TBO459267 TLK459266:TLK459267 TVG459266:TVG459267 UFC459266:UFC459267 UOY459266:UOY459267 UYU459266:UYU459267 VIQ459266:VIQ459267 VSM459266:VSM459267 WCI459266:WCI459267 WME459266:WME459267 WWA459266:WWA459267 S524802:S524803 JO524802:JO524803 TK524802:TK524803 ADG524802:ADG524803 ANC524802:ANC524803 AWY524802:AWY524803 BGU524802:BGU524803 BQQ524802:BQQ524803 CAM524802:CAM524803 CKI524802:CKI524803 CUE524802:CUE524803 DEA524802:DEA524803 DNW524802:DNW524803 DXS524802:DXS524803 EHO524802:EHO524803 ERK524802:ERK524803 FBG524802:FBG524803 FLC524802:FLC524803 FUY524802:FUY524803 GEU524802:GEU524803 GOQ524802:GOQ524803 GYM524802:GYM524803 HII524802:HII524803 HSE524802:HSE524803 ICA524802:ICA524803 ILW524802:ILW524803 IVS524802:IVS524803 JFO524802:JFO524803 JPK524802:JPK524803 JZG524802:JZG524803 KJC524802:KJC524803 KSY524802:KSY524803 LCU524802:LCU524803 LMQ524802:LMQ524803 LWM524802:LWM524803 MGI524802:MGI524803 MQE524802:MQE524803 NAA524802:NAA524803 NJW524802:NJW524803 NTS524802:NTS524803 ODO524802:ODO524803 ONK524802:ONK524803 OXG524802:OXG524803 PHC524802:PHC524803 PQY524802:PQY524803 QAU524802:QAU524803 QKQ524802:QKQ524803 QUM524802:QUM524803 REI524802:REI524803 ROE524802:ROE524803 RYA524802:RYA524803 SHW524802:SHW524803 SRS524802:SRS524803 TBO524802:TBO524803 TLK524802:TLK524803 TVG524802:TVG524803 UFC524802:UFC524803 UOY524802:UOY524803 UYU524802:UYU524803 VIQ524802:VIQ524803 VSM524802:VSM524803 WCI524802:WCI524803 WME524802:WME524803 WWA524802:WWA524803 S590338:S590339 JO590338:JO590339 TK590338:TK590339 ADG590338:ADG590339 ANC590338:ANC590339 AWY590338:AWY590339 BGU590338:BGU590339 BQQ590338:BQQ590339 CAM590338:CAM590339 CKI590338:CKI590339 CUE590338:CUE590339 DEA590338:DEA590339 DNW590338:DNW590339 DXS590338:DXS590339 EHO590338:EHO590339 ERK590338:ERK590339 FBG590338:FBG590339 FLC590338:FLC590339 FUY590338:FUY590339 GEU590338:GEU590339 GOQ590338:GOQ590339 GYM590338:GYM590339 HII590338:HII590339 HSE590338:HSE590339 ICA590338:ICA590339 ILW590338:ILW590339 IVS590338:IVS590339 JFO590338:JFO590339 JPK590338:JPK590339 JZG590338:JZG590339 KJC590338:KJC590339 KSY590338:KSY590339 LCU590338:LCU590339 LMQ590338:LMQ590339 LWM590338:LWM590339 MGI590338:MGI590339 MQE590338:MQE590339 NAA590338:NAA590339 NJW590338:NJW590339 NTS590338:NTS590339 ODO590338:ODO590339 ONK590338:ONK590339 OXG590338:OXG590339 PHC590338:PHC590339 PQY590338:PQY590339 QAU590338:QAU590339 QKQ590338:QKQ590339 QUM590338:QUM590339 REI590338:REI590339 ROE590338:ROE590339 RYA590338:RYA590339 SHW590338:SHW590339 SRS590338:SRS590339 TBO590338:TBO590339 TLK590338:TLK590339 TVG590338:TVG590339 UFC590338:UFC590339 UOY590338:UOY590339 UYU590338:UYU590339 VIQ590338:VIQ590339 VSM590338:VSM590339 WCI590338:WCI590339 WME590338:WME590339 WWA590338:WWA590339 S655874:S655875 JO655874:JO655875 TK655874:TK655875 ADG655874:ADG655875 ANC655874:ANC655875 AWY655874:AWY655875 BGU655874:BGU655875 BQQ655874:BQQ655875 CAM655874:CAM655875 CKI655874:CKI655875 CUE655874:CUE655875 DEA655874:DEA655875 DNW655874:DNW655875 DXS655874:DXS655875 EHO655874:EHO655875 ERK655874:ERK655875 FBG655874:FBG655875 FLC655874:FLC655875 FUY655874:FUY655875 GEU655874:GEU655875 GOQ655874:GOQ655875 GYM655874:GYM655875 HII655874:HII655875 HSE655874:HSE655875 ICA655874:ICA655875 ILW655874:ILW655875 IVS655874:IVS655875 JFO655874:JFO655875 JPK655874:JPK655875 JZG655874:JZG655875 KJC655874:KJC655875 KSY655874:KSY655875 LCU655874:LCU655875 LMQ655874:LMQ655875 LWM655874:LWM655875 MGI655874:MGI655875 MQE655874:MQE655875 NAA655874:NAA655875 NJW655874:NJW655875 NTS655874:NTS655875 ODO655874:ODO655875 ONK655874:ONK655875 OXG655874:OXG655875 PHC655874:PHC655875 PQY655874:PQY655875 QAU655874:QAU655875 QKQ655874:QKQ655875 QUM655874:QUM655875 REI655874:REI655875 ROE655874:ROE655875 RYA655874:RYA655875 SHW655874:SHW655875 SRS655874:SRS655875 TBO655874:TBO655875 TLK655874:TLK655875 TVG655874:TVG655875 UFC655874:UFC655875 UOY655874:UOY655875 UYU655874:UYU655875 VIQ655874:VIQ655875 VSM655874:VSM655875 WCI655874:WCI655875 WME655874:WME655875 WWA655874:WWA655875 S721410:S721411 JO721410:JO721411 TK721410:TK721411 ADG721410:ADG721411 ANC721410:ANC721411 AWY721410:AWY721411 BGU721410:BGU721411 BQQ721410:BQQ721411 CAM721410:CAM721411 CKI721410:CKI721411 CUE721410:CUE721411 DEA721410:DEA721411 DNW721410:DNW721411 DXS721410:DXS721411 EHO721410:EHO721411 ERK721410:ERK721411 FBG721410:FBG721411 FLC721410:FLC721411 FUY721410:FUY721411 GEU721410:GEU721411 GOQ721410:GOQ721411 GYM721410:GYM721411 HII721410:HII721411 HSE721410:HSE721411 ICA721410:ICA721411 ILW721410:ILW721411 IVS721410:IVS721411 JFO721410:JFO721411 JPK721410:JPK721411 JZG721410:JZG721411 KJC721410:KJC721411 KSY721410:KSY721411 LCU721410:LCU721411 LMQ721410:LMQ721411 LWM721410:LWM721411 MGI721410:MGI721411 MQE721410:MQE721411 NAA721410:NAA721411 NJW721410:NJW721411 NTS721410:NTS721411 ODO721410:ODO721411 ONK721410:ONK721411 OXG721410:OXG721411 PHC721410:PHC721411 PQY721410:PQY721411 QAU721410:QAU721411 QKQ721410:QKQ721411 QUM721410:QUM721411 REI721410:REI721411 ROE721410:ROE721411 RYA721410:RYA721411 SHW721410:SHW721411 SRS721410:SRS721411 TBO721410:TBO721411 TLK721410:TLK721411 TVG721410:TVG721411 UFC721410:UFC721411 UOY721410:UOY721411 UYU721410:UYU721411 VIQ721410:VIQ721411 VSM721410:VSM721411 WCI721410:WCI721411 WME721410:WME721411 WWA721410:WWA721411 S786946:S786947 JO786946:JO786947 TK786946:TK786947 ADG786946:ADG786947 ANC786946:ANC786947 AWY786946:AWY786947 BGU786946:BGU786947 BQQ786946:BQQ786947 CAM786946:CAM786947 CKI786946:CKI786947 CUE786946:CUE786947 DEA786946:DEA786947 DNW786946:DNW786947 DXS786946:DXS786947 EHO786946:EHO786947 ERK786946:ERK786947 FBG786946:FBG786947 FLC786946:FLC786947 FUY786946:FUY786947 GEU786946:GEU786947 GOQ786946:GOQ786947 GYM786946:GYM786947 HII786946:HII786947 HSE786946:HSE786947 ICA786946:ICA786947 ILW786946:ILW786947 IVS786946:IVS786947 JFO786946:JFO786947 JPK786946:JPK786947 JZG786946:JZG786947 KJC786946:KJC786947 KSY786946:KSY786947 LCU786946:LCU786947 LMQ786946:LMQ786947 LWM786946:LWM786947 MGI786946:MGI786947 MQE786946:MQE786947 NAA786946:NAA786947 NJW786946:NJW786947 NTS786946:NTS786947 ODO786946:ODO786947 ONK786946:ONK786947 OXG786946:OXG786947 PHC786946:PHC786947 PQY786946:PQY786947 QAU786946:QAU786947 QKQ786946:QKQ786947 QUM786946:QUM786947 REI786946:REI786947 ROE786946:ROE786947 RYA786946:RYA786947 SHW786946:SHW786947 SRS786946:SRS786947 TBO786946:TBO786947 TLK786946:TLK786947 TVG786946:TVG786947 UFC786946:UFC786947 UOY786946:UOY786947 UYU786946:UYU786947 VIQ786946:VIQ786947 VSM786946:VSM786947 WCI786946:WCI786947 WME786946:WME786947 WWA786946:WWA786947 S852482:S852483 JO852482:JO852483 TK852482:TK852483 ADG852482:ADG852483 ANC852482:ANC852483 AWY852482:AWY852483 BGU852482:BGU852483 BQQ852482:BQQ852483 CAM852482:CAM852483 CKI852482:CKI852483 CUE852482:CUE852483 DEA852482:DEA852483 DNW852482:DNW852483 DXS852482:DXS852483 EHO852482:EHO852483 ERK852482:ERK852483 FBG852482:FBG852483 FLC852482:FLC852483 FUY852482:FUY852483 GEU852482:GEU852483 GOQ852482:GOQ852483 GYM852482:GYM852483 HII852482:HII852483 HSE852482:HSE852483 ICA852482:ICA852483 ILW852482:ILW852483 IVS852482:IVS852483 JFO852482:JFO852483 JPK852482:JPK852483 JZG852482:JZG852483 KJC852482:KJC852483 KSY852482:KSY852483 LCU852482:LCU852483 LMQ852482:LMQ852483 LWM852482:LWM852483 MGI852482:MGI852483 MQE852482:MQE852483 NAA852482:NAA852483 NJW852482:NJW852483 NTS852482:NTS852483 ODO852482:ODO852483 ONK852482:ONK852483 OXG852482:OXG852483 PHC852482:PHC852483 PQY852482:PQY852483 QAU852482:QAU852483 QKQ852482:QKQ852483 QUM852482:QUM852483 REI852482:REI852483 ROE852482:ROE852483 RYA852482:RYA852483 SHW852482:SHW852483 SRS852482:SRS852483 TBO852482:TBO852483 TLK852482:TLK852483 TVG852482:TVG852483 UFC852482:UFC852483 UOY852482:UOY852483 UYU852482:UYU852483 VIQ852482:VIQ852483 VSM852482:VSM852483 WCI852482:WCI852483 WME852482:WME852483 WWA852482:WWA852483 S918018:S918019 JO918018:JO918019 TK918018:TK918019 ADG918018:ADG918019 ANC918018:ANC918019 AWY918018:AWY918019 BGU918018:BGU918019 BQQ918018:BQQ918019 CAM918018:CAM918019 CKI918018:CKI918019 CUE918018:CUE918019 DEA918018:DEA918019 DNW918018:DNW918019 DXS918018:DXS918019 EHO918018:EHO918019 ERK918018:ERK918019 FBG918018:FBG918019 FLC918018:FLC918019 FUY918018:FUY918019 GEU918018:GEU918019 GOQ918018:GOQ918019 GYM918018:GYM918019 HII918018:HII918019 HSE918018:HSE918019 ICA918018:ICA918019 ILW918018:ILW918019 IVS918018:IVS918019 JFO918018:JFO918019 JPK918018:JPK918019 JZG918018:JZG918019 KJC918018:KJC918019 KSY918018:KSY918019 LCU918018:LCU918019 LMQ918018:LMQ918019 LWM918018:LWM918019 MGI918018:MGI918019 MQE918018:MQE918019 NAA918018:NAA918019 NJW918018:NJW918019 NTS918018:NTS918019 ODO918018:ODO918019 ONK918018:ONK918019 OXG918018:OXG918019 PHC918018:PHC918019 PQY918018:PQY918019 QAU918018:QAU918019 QKQ918018:QKQ918019 QUM918018:QUM918019 REI918018:REI918019 ROE918018:ROE918019 RYA918018:RYA918019 SHW918018:SHW918019 SRS918018:SRS918019 TBO918018:TBO918019 TLK918018:TLK918019 TVG918018:TVG918019 UFC918018:UFC918019 UOY918018:UOY918019 UYU918018:UYU918019 VIQ918018:VIQ918019 VSM918018:VSM918019 WCI918018:WCI918019 WME918018:WME918019 WWA918018:WWA918019 S983554:S983555 JO983554:JO983555 TK983554:TK983555 ADG983554:ADG983555 ANC983554:ANC983555 AWY983554:AWY983555 BGU983554:BGU983555 BQQ983554:BQQ983555 CAM983554:CAM983555 CKI983554:CKI983555 CUE983554:CUE983555 DEA983554:DEA983555 DNW983554:DNW983555 DXS983554:DXS983555 EHO983554:EHO983555 ERK983554:ERK983555 FBG983554:FBG983555 FLC983554:FLC983555 FUY983554:FUY983555 GEU983554:GEU983555 GOQ983554:GOQ983555 GYM983554:GYM983555 HII983554:HII983555 HSE983554:HSE983555 ICA983554:ICA983555 ILW983554:ILW983555 IVS983554:IVS983555 JFO983554:JFO983555 JPK983554:JPK983555 JZG983554:JZG983555 KJC983554:KJC983555 KSY983554:KSY983555 LCU983554:LCU983555 LMQ983554:LMQ983555 LWM983554:LWM983555 MGI983554:MGI983555 MQE983554:MQE983555 NAA983554:NAA983555 NJW983554:NJW983555 NTS983554:NTS983555 ODO983554:ODO983555 ONK983554:ONK983555 OXG983554:OXG983555 PHC983554:PHC983555 PQY983554:PQY983555 QAU983554:QAU983555 QKQ983554:QKQ983555 QUM983554:QUM983555 REI983554:REI983555 ROE983554:ROE983555 RYA983554:RYA983555 SHW983554:SHW983555 SRS983554:SRS983555 TBO983554:TBO983555 TLK983554:TLK983555 TVG983554:TVG983555 UFC983554:UFC983555 UOY983554:UOY983555 UYU983554:UYU983555 VIQ983554:VIQ983555 VSM983554:VSM983555 WCI983554:WCI983555 WME983554:WME983555 WWA983554:WWA983555 S545 JO545 TK545 ADG545 ANC545 AWY545 BGU545 BQQ545 CAM545 CKI545 CUE545 DEA545 DNW545 DXS545 EHO545 ERK545 FBG545 FLC545 FUY545 GEU545 GOQ545 GYM545 HII545 HSE545 ICA545 ILW545 IVS545 JFO545 JPK545 JZG545 KJC545 KSY545 LCU545 LMQ545 LWM545 MGI545 MQE545 NAA545 NJW545 NTS545 ODO545 ONK545 OXG545 PHC545 PQY545 QAU545 QKQ545 QUM545 REI545 ROE545 RYA545 SHW545 SRS545 TBO545 TLK545 TVG545 UFC545 UOY545 UYU545 VIQ545 VSM545 WCI545 WME545 WWA545 S66081 JO66081 TK66081 ADG66081 ANC66081 AWY66081 BGU66081 BQQ66081 CAM66081 CKI66081 CUE66081 DEA66081 DNW66081 DXS66081 EHO66081 ERK66081 FBG66081 FLC66081 FUY66081 GEU66081 GOQ66081 GYM66081 HII66081 HSE66081 ICA66081 ILW66081 IVS66081 JFO66081 JPK66081 JZG66081 KJC66081 KSY66081 LCU66081 LMQ66081 LWM66081 MGI66081 MQE66081 NAA66081 NJW66081 NTS66081 ODO66081 ONK66081 OXG66081 PHC66081 PQY66081 QAU66081 QKQ66081 QUM66081 REI66081 ROE66081 RYA66081 SHW66081 SRS66081 TBO66081 TLK66081 TVG66081 UFC66081 UOY66081 UYU66081 VIQ66081 VSM66081 WCI66081 WME66081 WWA66081 S131617 JO131617 TK131617 ADG131617 ANC131617 AWY131617 BGU131617 BQQ131617 CAM131617 CKI131617 CUE131617 DEA131617 DNW131617 DXS131617 EHO131617 ERK131617 FBG131617 FLC131617 FUY131617 GEU131617 GOQ131617 GYM131617 HII131617 HSE131617 ICA131617 ILW131617 IVS131617 JFO131617 JPK131617 JZG131617 KJC131617 KSY131617 LCU131617 LMQ131617 LWM131617 MGI131617 MQE131617 NAA131617 NJW131617 NTS131617 ODO131617 ONK131617 OXG131617 PHC131617 PQY131617 QAU131617 QKQ131617 QUM131617 REI131617 ROE131617 RYA131617 SHW131617 SRS131617 TBO131617 TLK131617 TVG131617 UFC131617 UOY131617 UYU131617 VIQ131617 VSM131617 WCI131617 WME131617 WWA131617 S197153 JO197153 TK197153 ADG197153 ANC197153 AWY197153 BGU197153 BQQ197153 CAM197153 CKI197153 CUE197153 DEA197153 DNW197153 DXS197153 EHO197153 ERK197153 FBG197153 FLC197153 FUY197153 GEU197153 GOQ197153 GYM197153 HII197153 HSE197153 ICA197153 ILW197153 IVS197153 JFO197153 JPK197153 JZG197153 KJC197153 KSY197153 LCU197153 LMQ197153 LWM197153 MGI197153 MQE197153 NAA197153 NJW197153 NTS197153 ODO197153 ONK197153 OXG197153 PHC197153 PQY197153 QAU197153 QKQ197153 QUM197153 REI197153 ROE197153 RYA197153 SHW197153 SRS197153 TBO197153 TLK197153 TVG197153 UFC197153 UOY197153 UYU197153 VIQ197153 VSM197153 WCI197153 WME197153 WWA197153 S262689 JO262689 TK262689 ADG262689 ANC262689 AWY262689 BGU262689 BQQ262689 CAM262689 CKI262689 CUE262689 DEA262689 DNW262689 DXS262689 EHO262689 ERK262689 FBG262689 FLC262689 FUY262689 GEU262689 GOQ262689 GYM262689 HII262689 HSE262689 ICA262689 ILW262689 IVS262689 JFO262689 JPK262689 JZG262689 KJC262689 KSY262689 LCU262689 LMQ262689 LWM262689 MGI262689 MQE262689 NAA262689 NJW262689 NTS262689 ODO262689 ONK262689 OXG262689 PHC262689 PQY262689 QAU262689 QKQ262689 QUM262689 REI262689 ROE262689 RYA262689 SHW262689 SRS262689 TBO262689 TLK262689 TVG262689 UFC262689 UOY262689 UYU262689 VIQ262689 VSM262689 WCI262689 WME262689 WWA262689 S328225 JO328225 TK328225 ADG328225 ANC328225 AWY328225 BGU328225 BQQ328225 CAM328225 CKI328225 CUE328225 DEA328225 DNW328225 DXS328225 EHO328225 ERK328225 FBG328225 FLC328225 FUY328225 GEU328225 GOQ328225 GYM328225 HII328225 HSE328225 ICA328225 ILW328225 IVS328225 JFO328225 JPK328225 JZG328225 KJC328225 KSY328225 LCU328225 LMQ328225 LWM328225 MGI328225 MQE328225 NAA328225 NJW328225 NTS328225 ODO328225 ONK328225 OXG328225 PHC328225 PQY328225 QAU328225 QKQ328225 QUM328225 REI328225 ROE328225 RYA328225 SHW328225 SRS328225 TBO328225 TLK328225 TVG328225 UFC328225 UOY328225 UYU328225 VIQ328225 VSM328225 WCI328225 WME328225 WWA328225 S393761 JO393761 TK393761 ADG393761 ANC393761 AWY393761 BGU393761 BQQ393761 CAM393761 CKI393761 CUE393761 DEA393761 DNW393761 DXS393761 EHO393761 ERK393761 FBG393761 FLC393761 FUY393761 GEU393761 GOQ393761 GYM393761 HII393761 HSE393761 ICA393761 ILW393761 IVS393761 JFO393761 JPK393761 JZG393761 KJC393761 KSY393761 LCU393761 LMQ393761 LWM393761 MGI393761 MQE393761 NAA393761 NJW393761 NTS393761 ODO393761 ONK393761 OXG393761 PHC393761 PQY393761 QAU393761 QKQ393761 QUM393761 REI393761 ROE393761 RYA393761 SHW393761 SRS393761 TBO393761 TLK393761 TVG393761 UFC393761 UOY393761 UYU393761 VIQ393761 VSM393761 WCI393761 WME393761 WWA393761 S459297 JO459297 TK459297 ADG459297 ANC459297 AWY459297 BGU459297 BQQ459297 CAM459297 CKI459297 CUE459297 DEA459297 DNW459297 DXS459297 EHO459297 ERK459297 FBG459297 FLC459297 FUY459297 GEU459297 GOQ459297 GYM459297 HII459297 HSE459297 ICA459297 ILW459297 IVS459297 JFO459297 JPK459297 JZG459297 KJC459297 KSY459297 LCU459297 LMQ459297 LWM459297 MGI459297 MQE459297 NAA459297 NJW459297 NTS459297 ODO459297 ONK459297 OXG459297 PHC459297 PQY459297 QAU459297 QKQ459297 QUM459297 REI459297 ROE459297 RYA459297 SHW459297 SRS459297 TBO459297 TLK459297 TVG459297 UFC459297 UOY459297 UYU459297 VIQ459297 VSM459297 WCI459297 WME459297 WWA459297 S524833 JO524833 TK524833 ADG524833 ANC524833 AWY524833 BGU524833 BQQ524833 CAM524833 CKI524833 CUE524833 DEA524833 DNW524833 DXS524833 EHO524833 ERK524833 FBG524833 FLC524833 FUY524833 GEU524833 GOQ524833 GYM524833 HII524833 HSE524833 ICA524833 ILW524833 IVS524833 JFO524833 JPK524833 JZG524833 KJC524833 KSY524833 LCU524833 LMQ524833 LWM524833 MGI524833 MQE524833 NAA524833 NJW524833 NTS524833 ODO524833 ONK524833 OXG524833 PHC524833 PQY524833 QAU524833 QKQ524833 QUM524833 REI524833 ROE524833 RYA524833 SHW524833 SRS524833 TBO524833 TLK524833 TVG524833 UFC524833 UOY524833 UYU524833 VIQ524833 VSM524833 WCI524833 WME524833 WWA524833 S590369 JO590369 TK590369 ADG590369 ANC590369 AWY590369 BGU590369 BQQ590369 CAM590369 CKI590369 CUE590369 DEA590369 DNW590369 DXS590369 EHO590369 ERK590369 FBG590369 FLC590369 FUY590369 GEU590369 GOQ590369 GYM590369 HII590369 HSE590369 ICA590369 ILW590369 IVS590369 JFO590369 JPK590369 JZG590369 KJC590369 KSY590369 LCU590369 LMQ590369 LWM590369 MGI590369 MQE590369 NAA590369 NJW590369 NTS590369 ODO590369 ONK590369 OXG590369 PHC590369 PQY590369 QAU590369 QKQ590369 QUM590369 REI590369 ROE590369 RYA590369 SHW590369 SRS590369 TBO590369 TLK590369 TVG590369 UFC590369 UOY590369 UYU590369 VIQ590369 VSM590369 WCI590369 WME590369 WWA590369 S655905 JO655905 TK655905 ADG655905 ANC655905 AWY655905 BGU655905 BQQ655905 CAM655905 CKI655905 CUE655905 DEA655905 DNW655905 DXS655905 EHO655905 ERK655905 FBG655905 FLC655905 FUY655905 GEU655905 GOQ655905 GYM655905 HII655905 HSE655905 ICA655905 ILW655905 IVS655905 JFO655905 JPK655905 JZG655905 KJC655905 KSY655905 LCU655905 LMQ655905 LWM655905 MGI655905 MQE655905 NAA655905 NJW655905 NTS655905 ODO655905 ONK655905 OXG655905 PHC655905 PQY655905 QAU655905 QKQ655905 QUM655905 REI655905 ROE655905 RYA655905 SHW655905 SRS655905 TBO655905 TLK655905 TVG655905 UFC655905 UOY655905 UYU655905 VIQ655905 VSM655905 WCI655905 WME655905 WWA655905 S721441 JO721441 TK721441 ADG721441 ANC721441 AWY721441 BGU721441 BQQ721441 CAM721441 CKI721441 CUE721441 DEA721441 DNW721441 DXS721441 EHO721441 ERK721441 FBG721441 FLC721441 FUY721441 GEU721441 GOQ721441 GYM721441 HII721441 HSE721441 ICA721441 ILW721441 IVS721441 JFO721441 JPK721441 JZG721441 KJC721441 KSY721441 LCU721441 LMQ721441 LWM721441 MGI721441 MQE721441 NAA721441 NJW721441 NTS721441 ODO721441 ONK721441 OXG721441 PHC721441 PQY721441 QAU721441 QKQ721441 QUM721441 REI721441 ROE721441 RYA721441 SHW721441 SRS721441 TBO721441 TLK721441 TVG721441 UFC721441 UOY721441 UYU721441 VIQ721441 VSM721441 WCI721441 WME721441 WWA721441 S786977 JO786977 TK786977 ADG786977 ANC786977 AWY786977 BGU786977 BQQ786977 CAM786977 CKI786977 CUE786977 DEA786977 DNW786977 DXS786977 EHO786977 ERK786977 FBG786977 FLC786977 FUY786977 GEU786977 GOQ786977 GYM786977 HII786977 HSE786977 ICA786977 ILW786977 IVS786977 JFO786977 JPK786977 JZG786977 KJC786977 KSY786977 LCU786977 LMQ786977 LWM786977 MGI786977 MQE786977 NAA786977 NJW786977 NTS786977 ODO786977 ONK786977 OXG786977 PHC786977 PQY786977 QAU786977 QKQ786977 QUM786977 REI786977 ROE786977 RYA786977 SHW786977 SRS786977 TBO786977 TLK786977 TVG786977 UFC786977 UOY786977 UYU786977 VIQ786977 VSM786977 WCI786977 WME786977 WWA786977 S852513 JO852513 TK852513 ADG852513 ANC852513 AWY852513 BGU852513 BQQ852513 CAM852513 CKI852513 CUE852513 DEA852513 DNW852513 DXS852513 EHO852513 ERK852513 FBG852513 FLC852513 FUY852513 GEU852513 GOQ852513 GYM852513 HII852513 HSE852513 ICA852513 ILW852513 IVS852513 JFO852513 JPK852513 JZG852513 KJC852513 KSY852513 LCU852513 LMQ852513 LWM852513 MGI852513 MQE852513 NAA852513 NJW852513 NTS852513 ODO852513 ONK852513 OXG852513 PHC852513 PQY852513 QAU852513 QKQ852513 QUM852513 REI852513 ROE852513 RYA852513 SHW852513 SRS852513 TBO852513 TLK852513 TVG852513 UFC852513 UOY852513 UYU852513 VIQ852513 VSM852513 WCI852513 WME852513 WWA852513 S918049 JO918049 TK918049 ADG918049 ANC918049 AWY918049 BGU918049 BQQ918049 CAM918049 CKI918049 CUE918049 DEA918049 DNW918049 DXS918049 EHO918049 ERK918049 FBG918049 FLC918049 FUY918049 GEU918049 GOQ918049 GYM918049 HII918049 HSE918049 ICA918049 ILW918049 IVS918049 JFO918049 JPK918049 JZG918049 KJC918049 KSY918049 LCU918049 LMQ918049 LWM918049 MGI918049 MQE918049 NAA918049 NJW918049 NTS918049 ODO918049 ONK918049 OXG918049 PHC918049 PQY918049 QAU918049 QKQ918049 QUM918049 REI918049 ROE918049 RYA918049 SHW918049 SRS918049 TBO918049 TLK918049 TVG918049 UFC918049 UOY918049 UYU918049 VIQ918049 VSM918049 WCI918049 WME918049 WWA918049 S983585 JO983585 TK983585 ADG983585 ANC983585 AWY983585 BGU983585 BQQ983585 CAM983585 CKI983585 CUE983585 DEA983585 DNW983585 DXS983585 EHO983585 ERK983585 FBG983585 FLC983585 FUY983585 GEU983585 GOQ983585 GYM983585 HII983585 HSE983585 ICA983585 ILW983585 IVS983585 JFO983585 JPK983585 JZG983585 KJC983585 KSY983585 LCU983585 LMQ983585 LWM983585 MGI983585 MQE983585 NAA983585 NJW983585 NTS983585 ODO983585 ONK983585 OXG983585 PHC983585 PQY983585 QAU983585 QKQ983585 QUM983585 REI983585 ROE983585 RYA983585 SHW983585 SRS983585 TBO983585 TLK983585 TVG983585 UFC983585 UOY983585 UYU983585 VIQ983585 VSM983585 WCI983585 WME983585 WWA983585 S554:S555 JO554:JO555 TK554:TK555 ADG554:ADG555 ANC554:ANC555 AWY554:AWY555 BGU554:BGU555 BQQ554:BQQ555 CAM554:CAM555 CKI554:CKI555 CUE554:CUE555 DEA554:DEA555 DNW554:DNW555 DXS554:DXS555 EHO554:EHO555 ERK554:ERK555 FBG554:FBG555 FLC554:FLC555 FUY554:FUY555 GEU554:GEU555 GOQ554:GOQ555 GYM554:GYM555 HII554:HII555 HSE554:HSE555 ICA554:ICA555 ILW554:ILW555 IVS554:IVS555 JFO554:JFO555 JPK554:JPK555 JZG554:JZG555 KJC554:KJC555 KSY554:KSY555 LCU554:LCU555 LMQ554:LMQ555 LWM554:LWM555 MGI554:MGI555 MQE554:MQE555 NAA554:NAA555 NJW554:NJW555 NTS554:NTS555 ODO554:ODO555 ONK554:ONK555 OXG554:OXG555 PHC554:PHC555 PQY554:PQY555 QAU554:QAU555 QKQ554:QKQ555 QUM554:QUM555 REI554:REI555 ROE554:ROE555 RYA554:RYA555 SHW554:SHW555 SRS554:SRS555 TBO554:TBO555 TLK554:TLK555 TVG554:TVG555 UFC554:UFC555 UOY554:UOY555 UYU554:UYU555 VIQ554:VIQ555 VSM554:VSM555 WCI554:WCI555 WME554:WME555 WWA554:WWA555 S66090:S66091 JO66090:JO66091 TK66090:TK66091 ADG66090:ADG66091 ANC66090:ANC66091 AWY66090:AWY66091 BGU66090:BGU66091 BQQ66090:BQQ66091 CAM66090:CAM66091 CKI66090:CKI66091 CUE66090:CUE66091 DEA66090:DEA66091 DNW66090:DNW66091 DXS66090:DXS66091 EHO66090:EHO66091 ERK66090:ERK66091 FBG66090:FBG66091 FLC66090:FLC66091 FUY66090:FUY66091 GEU66090:GEU66091 GOQ66090:GOQ66091 GYM66090:GYM66091 HII66090:HII66091 HSE66090:HSE66091 ICA66090:ICA66091 ILW66090:ILW66091 IVS66090:IVS66091 JFO66090:JFO66091 JPK66090:JPK66091 JZG66090:JZG66091 KJC66090:KJC66091 KSY66090:KSY66091 LCU66090:LCU66091 LMQ66090:LMQ66091 LWM66090:LWM66091 MGI66090:MGI66091 MQE66090:MQE66091 NAA66090:NAA66091 NJW66090:NJW66091 NTS66090:NTS66091 ODO66090:ODO66091 ONK66090:ONK66091 OXG66090:OXG66091 PHC66090:PHC66091 PQY66090:PQY66091 QAU66090:QAU66091 QKQ66090:QKQ66091 QUM66090:QUM66091 REI66090:REI66091 ROE66090:ROE66091 RYA66090:RYA66091 SHW66090:SHW66091 SRS66090:SRS66091 TBO66090:TBO66091 TLK66090:TLK66091 TVG66090:TVG66091 UFC66090:UFC66091 UOY66090:UOY66091 UYU66090:UYU66091 VIQ66090:VIQ66091 VSM66090:VSM66091 WCI66090:WCI66091 WME66090:WME66091 WWA66090:WWA66091 S131626:S131627 JO131626:JO131627 TK131626:TK131627 ADG131626:ADG131627 ANC131626:ANC131627 AWY131626:AWY131627 BGU131626:BGU131627 BQQ131626:BQQ131627 CAM131626:CAM131627 CKI131626:CKI131627 CUE131626:CUE131627 DEA131626:DEA131627 DNW131626:DNW131627 DXS131626:DXS131627 EHO131626:EHO131627 ERK131626:ERK131627 FBG131626:FBG131627 FLC131626:FLC131627 FUY131626:FUY131627 GEU131626:GEU131627 GOQ131626:GOQ131627 GYM131626:GYM131627 HII131626:HII131627 HSE131626:HSE131627 ICA131626:ICA131627 ILW131626:ILW131627 IVS131626:IVS131627 JFO131626:JFO131627 JPK131626:JPK131627 JZG131626:JZG131627 KJC131626:KJC131627 KSY131626:KSY131627 LCU131626:LCU131627 LMQ131626:LMQ131627 LWM131626:LWM131627 MGI131626:MGI131627 MQE131626:MQE131627 NAA131626:NAA131627 NJW131626:NJW131627 NTS131626:NTS131627 ODO131626:ODO131627 ONK131626:ONK131627 OXG131626:OXG131627 PHC131626:PHC131627 PQY131626:PQY131627 QAU131626:QAU131627 QKQ131626:QKQ131627 QUM131626:QUM131627 REI131626:REI131627 ROE131626:ROE131627 RYA131626:RYA131627 SHW131626:SHW131627 SRS131626:SRS131627 TBO131626:TBO131627 TLK131626:TLK131627 TVG131626:TVG131627 UFC131626:UFC131627 UOY131626:UOY131627 UYU131626:UYU131627 VIQ131626:VIQ131627 VSM131626:VSM131627 WCI131626:WCI131627 WME131626:WME131627 WWA131626:WWA131627 S197162:S197163 JO197162:JO197163 TK197162:TK197163 ADG197162:ADG197163 ANC197162:ANC197163 AWY197162:AWY197163 BGU197162:BGU197163 BQQ197162:BQQ197163 CAM197162:CAM197163 CKI197162:CKI197163 CUE197162:CUE197163 DEA197162:DEA197163 DNW197162:DNW197163 DXS197162:DXS197163 EHO197162:EHO197163 ERK197162:ERK197163 FBG197162:FBG197163 FLC197162:FLC197163 FUY197162:FUY197163 GEU197162:GEU197163 GOQ197162:GOQ197163 GYM197162:GYM197163 HII197162:HII197163 HSE197162:HSE197163 ICA197162:ICA197163 ILW197162:ILW197163 IVS197162:IVS197163 JFO197162:JFO197163 JPK197162:JPK197163 JZG197162:JZG197163 KJC197162:KJC197163 KSY197162:KSY197163 LCU197162:LCU197163 LMQ197162:LMQ197163 LWM197162:LWM197163 MGI197162:MGI197163 MQE197162:MQE197163 NAA197162:NAA197163 NJW197162:NJW197163 NTS197162:NTS197163 ODO197162:ODO197163 ONK197162:ONK197163 OXG197162:OXG197163 PHC197162:PHC197163 PQY197162:PQY197163 QAU197162:QAU197163 QKQ197162:QKQ197163 QUM197162:QUM197163 REI197162:REI197163 ROE197162:ROE197163 RYA197162:RYA197163 SHW197162:SHW197163 SRS197162:SRS197163 TBO197162:TBO197163 TLK197162:TLK197163 TVG197162:TVG197163 UFC197162:UFC197163 UOY197162:UOY197163 UYU197162:UYU197163 VIQ197162:VIQ197163 VSM197162:VSM197163 WCI197162:WCI197163 WME197162:WME197163 WWA197162:WWA197163 S262698:S262699 JO262698:JO262699 TK262698:TK262699 ADG262698:ADG262699 ANC262698:ANC262699 AWY262698:AWY262699 BGU262698:BGU262699 BQQ262698:BQQ262699 CAM262698:CAM262699 CKI262698:CKI262699 CUE262698:CUE262699 DEA262698:DEA262699 DNW262698:DNW262699 DXS262698:DXS262699 EHO262698:EHO262699 ERK262698:ERK262699 FBG262698:FBG262699 FLC262698:FLC262699 FUY262698:FUY262699 GEU262698:GEU262699 GOQ262698:GOQ262699 GYM262698:GYM262699 HII262698:HII262699 HSE262698:HSE262699 ICA262698:ICA262699 ILW262698:ILW262699 IVS262698:IVS262699 JFO262698:JFO262699 JPK262698:JPK262699 JZG262698:JZG262699 KJC262698:KJC262699 KSY262698:KSY262699 LCU262698:LCU262699 LMQ262698:LMQ262699 LWM262698:LWM262699 MGI262698:MGI262699 MQE262698:MQE262699 NAA262698:NAA262699 NJW262698:NJW262699 NTS262698:NTS262699 ODO262698:ODO262699 ONK262698:ONK262699 OXG262698:OXG262699 PHC262698:PHC262699 PQY262698:PQY262699 QAU262698:QAU262699 QKQ262698:QKQ262699 QUM262698:QUM262699 REI262698:REI262699 ROE262698:ROE262699 RYA262698:RYA262699 SHW262698:SHW262699 SRS262698:SRS262699 TBO262698:TBO262699 TLK262698:TLK262699 TVG262698:TVG262699 UFC262698:UFC262699 UOY262698:UOY262699 UYU262698:UYU262699 VIQ262698:VIQ262699 VSM262698:VSM262699 WCI262698:WCI262699 WME262698:WME262699 WWA262698:WWA262699 S328234:S328235 JO328234:JO328235 TK328234:TK328235 ADG328234:ADG328235 ANC328234:ANC328235 AWY328234:AWY328235 BGU328234:BGU328235 BQQ328234:BQQ328235 CAM328234:CAM328235 CKI328234:CKI328235 CUE328234:CUE328235 DEA328234:DEA328235 DNW328234:DNW328235 DXS328234:DXS328235 EHO328234:EHO328235 ERK328234:ERK328235 FBG328234:FBG328235 FLC328234:FLC328235 FUY328234:FUY328235 GEU328234:GEU328235 GOQ328234:GOQ328235 GYM328234:GYM328235 HII328234:HII328235 HSE328234:HSE328235 ICA328234:ICA328235 ILW328234:ILW328235 IVS328234:IVS328235 JFO328234:JFO328235 JPK328234:JPK328235 JZG328234:JZG328235 KJC328234:KJC328235 KSY328234:KSY328235 LCU328234:LCU328235 LMQ328234:LMQ328235 LWM328234:LWM328235 MGI328234:MGI328235 MQE328234:MQE328235 NAA328234:NAA328235 NJW328234:NJW328235 NTS328234:NTS328235 ODO328234:ODO328235 ONK328234:ONK328235 OXG328234:OXG328235 PHC328234:PHC328235 PQY328234:PQY328235 QAU328234:QAU328235 QKQ328234:QKQ328235 QUM328234:QUM328235 REI328234:REI328235 ROE328234:ROE328235 RYA328234:RYA328235 SHW328234:SHW328235 SRS328234:SRS328235 TBO328234:TBO328235 TLK328234:TLK328235 TVG328234:TVG328235 UFC328234:UFC328235 UOY328234:UOY328235 UYU328234:UYU328235 VIQ328234:VIQ328235 VSM328234:VSM328235 WCI328234:WCI328235 WME328234:WME328235 WWA328234:WWA328235 S393770:S393771 JO393770:JO393771 TK393770:TK393771 ADG393770:ADG393771 ANC393770:ANC393771 AWY393770:AWY393771 BGU393770:BGU393771 BQQ393770:BQQ393771 CAM393770:CAM393771 CKI393770:CKI393771 CUE393770:CUE393771 DEA393770:DEA393771 DNW393770:DNW393771 DXS393770:DXS393771 EHO393770:EHO393771 ERK393770:ERK393771 FBG393770:FBG393771 FLC393770:FLC393771 FUY393770:FUY393771 GEU393770:GEU393771 GOQ393770:GOQ393771 GYM393770:GYM393771 HII393770:HII393771 HSE393770:HSE393771 ICA393770:ICA393771 ILW393770:ILW393771 IVS393770:IVS393771 JFO393770:JFO393771 JPK393770:JPK393771 JZG393770:JZG393771 KJC393770:KJC393771 KSY393770:KSY393771 LCU393770:LCU393771 LMQ393770:LMQ393771 LWM393770:LWM393771 MGI393770:MGI393771 MQE393770:MQE393771 NAA393770:NAA393771 NJW393770:NJW393771 NTS393770:NTS393771 ODO393770:ODO393771 ONK393770:ONK393771 OXG393770:OXG393771 PHC393770:PHC393771 PQY393770:PQY393771 QAU393770:QAU393771 QKQ393770:QKQ393771 QUM393770:QUM393771 REI393770:REI393771 ROE393770:ROE393771 RYA393770:RYA393771 SHW393770:SHW393771 SRS393770:SRS393771 TBO393770:TBO393771 TLK393770:TLK393771 TVG393770:TVG393771 UFC393770:UFC393771 UOY393770:UOY393771 UYU393770:UYU393771 VIQ393770:VIQ393771 VSM393770:VSM393771 WCI393770:WCI393771 WME393770:WME393771 WWA393770:WWA393771 S459306:S459307 JO459306:JO459307 TK459306:TK459307 ADG459306:ADG459307 ANC459306:ANC459307 AWY459306:AWY459307 BGU459306:BGU459307 BQQ459306:BQQ459307 CAM459306:CAM459307 CKI459306:CKI459307 CUE459306:CUE459307 DEA459306:DEA459307 DNW459306:DNW459307 DXS459306:DXS459307 EHO459306:EHO459307 ERK459306:ERK459307 FBG459306:FBG459307 FLC459306:FLC459307 FUY459306:FUY459307 GEU459306:GEU459307 GOQ459306:GOQ459307 GYM459306:GYM459307 HII459306:HII459307 HSE459306:HSE459307 ICA459306:ICA459307 ILW459306:ILW459307 IVS459306:IVS459307 JFO459306:JFO459307 JPK459306:JPK459307 JZG459306:JZG459307 KJC459306:KJC459307 KSY459306:KSY459307 LCU459306:LCU459307 LMQ459306:LMQ459307 LWM459306:LWM459307 MGI459306:MGI459307 MQE459306:MQE459307 NAA459306:NAA459307 NJW459306:NJW459307 NTS459306:NTS459307 ODO459306:ODO459307 ONK459306:ONK459307 OXG459306:OXG459307 PHC459306:PHC459307 PQY459306:PQY459307 QAU459306:QAU459307 QKQ459306:QKQ459307 QUM459306:QUM459307 REI459306:REI459307 ROE459306:ROE459307 RYA459306:RYA459307 SHW459306:SHW459307 SRS459306:SRS459307 TBO459306:TBO459307 TLK459306:TLK459307 TVG459306:TVG459307 UFC459306:UFC459307 UOY459306:UOY459307 UYU459306:UYU459307 VIQ459306:VIQ459307 VSM459306:VSM459307 WCI459306:WCI459307 WME459306:WME459307 WWA459306:WWA459307 S524842:S524843 JO524842:JO524843 TK524842:TK524843 ADG524842:ADG524843 ANC524842:ANC524843 AWY524842:AWY524843 BGU524842:BGU524843 BQQ524842:BQQ524843 CAM524842:CAM524843 CKI524842:CKI524843 CUE524842:CUE524843 DEA524842:DEA524843 DNW524842:DNW524843 DXS524842:DXS524843 EHO524842:EHO524843 ERK524842:ERK524843 FBG524842:FBG524843 FLC524842:FLC524843 FUY524842:FUY524843 GEU524842:GEU524843 GOQ524842:GOQ524843 GYM524842:GYM524843 HII524842:HII524843 HSE524842:HSE524843 ICA524842:ICA524843 ILW524842:ILW524843 IVS524842:IVS524843 JFO524842:JFO524843 JPK524842:JPK524843 JZG524842:JZG524843 KJC524842:KJC524843 KSY524842:KSY524843 LCU524842:LCU524843 LMQ524842:LMQ524843 LWM524842:LWM524843 MGI524842:MGI524843 MQE524842:MQE524843 NAA524842:NAA524843 NJW524842:NJW524843 NTS524842:NTS524843 ODO524842:ODO524843 ONK524842:ONK524843 OXG524842:OXG524843 PHC524842:PHC524843 PQY524842:PQY524843 QAU524842:QAU524843 QKQ524842:QKQ524843 QUM524842:QUM524843 REI524842:REI524843 ROE524842:ROE524843 RYA524842:RYA524843 SHW524842:SHW524843 SRS524842:SRS524843 TBO524842:TBO524843 TLK524842:TLK524843 TVG524842:TVG524843 UFC524842:UFC524843 UOY524842:UOY524843 UYU524842:UYU524843 VIQ524842:VIQ524843 VSM524842:VSM524843 WCI524842:WCI524843 WME524842:WME524843 WWA524842:WWA524843 S590378:S590379 JO590378:JO590379 TK590378:TK590379 ADG590378:ADG590379 ANC590378:ANC590379 AWY590378:AWY590379 BGU590378:BGU590379 BQQ590378:BQQ590379 CAM590378:CAM590379 CKI590378:CKI590379 CUE590378:CUE590379 DEA590378:DEA590379 DNW590378:DNW590379 DXS590378:DXS590379 EHO590378:EHO590379 ERK590378:ERK590379 FBG590378:FBG590379 FLC590378:FLC590379 FUY590378:FUY590379 GEU590378:GEU590379 GOQ590378:GOQ590379 GYM590378:GYM590379 HII590378:HII590379 HSE590378:HSE590379 ICA590378:ICA590379 ILW590378:ILW590379 IVS590378:IVS590379 JFO590378:JFO590379 JPK590378:JPK590379 JZG590378:JZG590379 KJC590378:KJC590379 KSY590378:KSY590379 LCU590378:LCU590379 LMQ590378:LMQ590379 LWM590378:LWM590379 MGI590378:MGI590379 MQE590378:MQE590379 NAA590378:NAA590379 NJW590378:NJW590379 NTS590378:NTS590379 ODO590378:ODO590379 ONK590378:ONK590379 OXG590378:OXG590379 PHC590378:PHC590379 PQY590378:PQY590379 QAU590378:QAU590379 QKQ590378:QKQ590379 QUM590378:QUM590379 REI590378:REI590379 ROE590378:ROE590379 RYA590378:RYA590379 SHW590378:SHW590379 SRS590378:SRS590379 TBO590378:TBO590379 TLK590378:TLK590379 TVG590378:TVG590379 UFC590378:UFC590379 UOY590378:UOY590379 UYU590378:UYU590379 VIQ590378:VIQ590379 VSM590378:VSM590379 WCI590378:WCI590379 WME590378:WME590379 WWA590378:WWA590379 S655914:S655915 JO655914:JO655915 TK655914:TK655915 ADG655914:ADG655915 ANC655914:ANC655915 AWY655914:AWY655915 BGU655914:BGU655915 BQQ655914:BQQ655915 CAM655914:CAM655915 CKI655914:CKI655915 CUE655914:CUE655915 DEA655914:DEA655915 DNW655914:DNW655915 DXS655914:DXS655915 EHO655914:EHO655915 ERK655914:ERK655915 FBG655914:FBG655915 FLC655914:FLC655915 FUY655914:FUY655915 GEU655914:GEU655915 GOQ655914:GOQ655915 GYM655914:GYM655915 HII655914:HII655915 HSE655914:HSE655915 ICA655914:ICA655915 ILW655914:ILW655915 IVS655914:IVS655915 JFO655914:JFO655915 JPK655914:JPK655915 JZG655914:JZG655915 KJC655914:KJC655915 KSY655914:KSY655915 LCU655914:LCU655915 LMQ655914:LMQ655915 LWM655914:LWM655915 MGI655914:MGI655915 MQE655914:MQE655915 NAA655914:NAA655915 NJW655914:NJW655915 NTS655914:NTS655915 ODO655914:ODO655915 ONK655914:ONK655915 OXG655914:OXG655915 PHC655914:PHC655915 PQY655914:PQY655915 QAU655914:QAU655915 QKQ655914:QKQ655915 QUM655914:QUM655915 REI655914:REI655915 ROE655914:ROE655915 RYA655914:RYA655915 SHW655914:SHW655915 SRS655914:SRS655915 TBO655914:TBO655915 TLK655914:TLK655915 TVG655914:TVG655915 UFC655914:UFC655915 UOY655914:UOY655915 UYU655914:UYU655915 VIQ655914:VIQ655915 VSM655914:VSM655915 WCI655914:WCI655915 WME655914:WME655915 WWA655914:WWA655915 S721450:S721451 JO721450:JO721451 TK721450:TK721451 ADG721450:ADG721451 ANC721450:ANC721451 AWY721450:AWY721451 BGU721450:BGU721451 BQQ721450:BQQ721451 CAM721450:CAM721451 CKI721450:CKI721451 CUE721450:CUE721451 DEA721450:DEA721451 DNW721450:DNW721451 DXS721450:DXS721451 EHO721450:EHO721451 ERK721450:ERK721451 FBG721450:FBG721451 FLC721450:FLC721451 FUY721450:FUY721451 GEU721450:GEU721451 GOQ721450:GOQ721451 GYM721450:GYM721451 HII721450:HII721451 HSE721450:HSE721451 ICA721450:ICA721451 ILW721450:ILW721451 IVS721450:IVS721451 JFO721450:JFO721451 JPK721450:JPK721451 JZG721450:JZG721451 KJC721450:KJC721451 KSY721450:KSY721451 LCU721450:LCU721451 LMQ721450:LMQ721451 LWM721450:LWM721451 MGI721450:MGI721451 MQE721450:MQE721451 NAA721450:NAA721451 NJW721450:NJW721451 NTS721450:NTS721451 ODO721450:ODO721451 ONK721450:ONK721451 OXG721450:OXG721451 PHC721450:PHC721451 PQY721450:PQY721451 QAU721450:QAU721451 QKQ721450:QKQ721451 QUM721450:QUM721451 REI721450:REI721451 ROE721450:ROE721451 RYA721450:RYA721451 SHW721450:SHW721451 SRS721450:SRS721451 TBO721450:TBO721451 TLK721450:TLK721451 TVG721450:TVG721451 UFC721450:UFC721451 UOY721450:UOY721451 UYU721450:UYU721451 VIQ721450:VIQ721451 VSM721450:VSM721451 WCI721450:WCI721451 WME721450:WME721451 WWA721450:WWA721451 S786986:S786987 JO786986:JO786987 TK786986:TK786987 ADG786986:ADG786987 ANC786986:ANC786987 AWY786986:AWY786987 BGU786986:BGU786987 BQQ786986:BQQ786987 CAM786986:CAM786987 CKI786986:CKI786987 CUE786986:CUE786987 DEA786986:DEA786987 DNW786986:DNW786987 DXS786986:DXS786987 EHO786986:EHO786987 ERK786986:ERK786987 FBG786986:FBG786987 FLC786986:FLC786987 FUY786986:FUY786987 GEU786986:GEU786987 GOQ786986:GOQ786987 GYM786986:GYM786987 HII786986:HII786987 HSE786986:HSE786987 ICA786986:ICA786987 ILW786986:ILW786987 IVS786986:IVS786987 JFO786986:JFO786987 JPK786986:JPK786987 JZG786986:JZG786987 KJC786986:KJC786987 KSY786986:KSY786987 LCU786986:LCU786987 LMQ786986:LMQ786987 LWM786986:LWM786987 MGI786986:MGI786987 MQE786986:MQE786987 NAA786986:NAA786987 NJW786986:NJW786987 NTS786986:NTS786987 ODO786986:ODO786987 ONK786986:ONK786987 OXG786986:OXG786987 PHC786986:PHC786987 PQY786986:PQY786987 QAU786986:QAU786987 QKQ786986:QKQ786987 QUM786986:QUM786987 REI786986:REI786987 ROE786986:ROE786987 RYA786986:RYA786987 SHW786986:SHW786987 SRS786986:SRS786987 TBO786986:TBO786987 TLK786986:TLK786987 TVG786986:TVG786987 UFC786986:UFC786987 UOY786986:UOY786987 UYU786986:UYU786987 VIQ786986:VIQ786987 VSM786986:VSM786987 WCI786986:WCI786987 WME786986:WME786987 WWA786986:WWA786987 S852522:S852523 JO852522:JO852523 TK852522:TK852523 ADG852522:ADG852523 ANC852522:ANC852523 AWY852522:AWY852523 BGU852522:BGU852523 BQQ852522:BQQ852523 CAM852522:CAM852523 CKI852522:CKI852523 CUE852522:CUE852523 DEA852522:DEA852523 DNW852522:DNW852523 DXS852522:DXS852523 EHO852522:EHO852523 ERK852522:ERK852523 FBG852522:FBG852523 FLC852522:FLC852523 FUY852522:FUY852523 GEU852522:GEU852523 GOQ852522:GOQ852523 GYM852522:GYM852523 HII852522:HII852523 HSE852522:HSE852523 ICA852522:ICA852523 ILW852522:ILW852523 IVS852522:IVS852523 JFO852522:JFO852523 JPK852522:JPK852523 JZG852522:JZG852523 KJC852522:KJC852523 KSY852522:KSY852523 LCU852522:LCU852523 LMQ852522:LMQ852523 LWM852522:LWM852523 MGI852522:MGI852523 MQE852522:MQE852523 NAA852522:NAA852523 NJW852522:NJW852523 NTS852522:NTS852523 ODO852522:ODO852523 ONK852522:ONK852523 OXG852522:OXG852523 PHC852522:PHC852523 PQY852522:PQY852523 QAU852522:QAU852523 QKQ852522:QKQ852523 QUM852522:QUM852523 REI852522:REI852523 ROE852522:ROE852523 RYA852522:RYA852523 SHW852522:SHW852523 SRS852522:SRS852523 TBO852522:TBO852523 TLK852522:TLK852523 TVG852522:TVG852523 UFC852522:UFC852523 UOY852522:UOY852523 UYU852522:UYU852523 VIQ852522:VIQ852523 VSM852522:VSM852523 WCI852522:WCI852523 WME852522:WME852523 WWA852522:WWA852523 S918058:S918059 JO918058:JO918059 TK918058:TK918059 ADG918058:ADG918059 ANC918058:ANC918059 AWY918058:AWY918059 BGU918058:BGU918059 BQQ918058:BQQ918059 CAM918058:CAM918059 CKI918058:CKI918059 CUE918058:CUE918059 DEA918058:DEA918059 DNW918058:DNW918059 DXS918058:DXS918059 EHO918058:EHO918059 ERK918058:ERK918059 FBG918058:FBG918059 FLC918058:FLC918059 FUY918058:FUY918059 GEU918058:GEU918059 GOQ918058:GOQ918059 GYM918058:GYM918059 HII918058:HII918059 HSE918058:HSE918059 ICA918058:ICA918059 ILW918058:ILW918059 IVS918058:IVS918059 JFO918058:JFO918059 JPK918058:JPK918059 JZG918058:JZG918059 KJC918058:KJC918059 KSY918058:KSY918059 LCU918058:LCU918059 LMQ918058:LMQ918059 LWM918058:LWM918059 MGI918058:MGI918059 MQE918058:MQE918059 NAA918058:NAA918059 NJW918058:NJW918059 NTS918058:NTS918059 ODO918058:ODO918059 ONK918058:ONK918059 OXG918058:OXG918059 PHC918058:PHC918059 PQY918058:PQY918059 QAU918058:QAU918059 QKQ918058:QKQ918059 QUM918058:QUM918059 REI918058:REI918059 ROE918058:ROE918059 RYA918058:RYA918059 SHW918058:SHW918059 SRS918058:SRS918059 TBO918058:TBO918059 TLK918058:TLK918059 TVG918058:TVG918059 UFC918058:UFC918059 UOY918058:UOY918059 UYU918058:UYU918059 VIQ918058:VIQ918059 VSM918058:VSM918059 WCI918058:WCI918059 WME918058:WME918059 WWA918058:WWA918059 S983594:S983595 JO983594:JO983595 TK983594:TK983595 ADG983594:ADG983595 ANC983594:ANC983595 AWY983594:AWY983595 BGU983594:BGU983595 BQQ983594:BQQ983595 CAM983594:CAM983595 CKI983594:CKI983595 CUE983594:CUE983595 DEA983594:DEA983595 DNW983594:DNW983595 DXS983594:DXS983595 EHO983594:EHO983595 ERK983594:ERK983595 FBG983594:FBG983595 FLC983594:FLC983595 FUY983594:FUY983595 GEU983594:GEU983595 GOQ983594:GOQ983595 GYM983594:GYM983595 HII983594:HII983595 HSE983594:HSE983595 ICA983594:ICA983595 ILW983594:ILW983595 IVS983594:IVS983595 JFO983594:JFO983595 JPK983594:JPK983595 JZG983594:JZG983595 KJC983594:KJC983595 KSY983594:KSY983595 LCU983594:LCU983595 LMQ983594:LMQ983595 LWM983594:LWM983595 MGI983594:MGI983595 MQE983594:MQE983595 NAA983594:NAA983595 NJW983594:NJW983595 NTS983594:NTS983595 ODO983594:ODO983595 ONK983594:ONK983595 OXG983594:OXG983595 PHC983594:PHC983595 PQY983594:PQY983595 QAU983594:QAU983595 QKQ983594:QKQ983595 QUM983594:QUM983595 REI983594:REI983595 ROE983594:ROE983595 RYA983594:RYA983595 SHW983594:SHW983595 SRS983594:SRS983595 TBO983594:TBO983595 TLK983594:TLK983595 TVG983594:TVG983595 UFC983594:UFC983595 UOY983594:UOY983595 UYU983594:UYU983595 VIQ983594:VIQ983595 VSM983594:VSM983595 WCI983594:WCI983595 WME983594:WME983595 WWA983594:WWA983595 S564:S565 JO564:JO565 TK564:TK565 ADG564:ADG565 ANC564:ANC565 AWY564:AWY565 BGU564:BGU565 BQQ564:BQQ565 CAM564:CAM565 CKI564:CKI565 CUE564:CUE565 DEA564:DEA565 DNW564:DNW565 DXS564:DXS565 EHO564:EHO565 ERK564:ERK565 FBG564:FBG565 FLC564:FLC565 FUY564:FUY565 GEU564:GEU565 GOQ564:GOQ565 GYM564:GYM565 HII564:HII565 HSE564:HSE565 ICA564:ICA565 ILW564:ILW565 IVS564:IVS565 JFO564:JFO565 JPK564:JPK565 JZG564:JZG565 KJC564:KJC565 KSY564:KSY565 LCU564:LCU565 LMQ564:LMQ565 LWM564:LWM565 MGI564:MGI565 MQE564:MQE565 NAA564:NAA565 NJW564:NJW565 NTS564:NTS565 ODO564:ODO565 ONK564:ONK565 OXG564:OXG565 PHC564:PHC565 PQY564:PQY565 QAU564:QAU565 QKQ564:QKQ565 QUM564:QUM565 REI564:REI565 ROE564:ROE565 RYA564:RYA565 SHW564:SHW565 SRS564:SRS565 TBO564:TBO565 TLK564:TLK565 TVG564:TVG565 UFC564:UFC565 UOY564:UOY565 UYU564:UYU565 VIQ564:VIQ565 VSM564:VSM565 WCI564:WCI565 WME564:WME565 WWA564:WWA565 S66100:S66101 JO66100:JO66101 TK66100:TK66101 ADG66100:ADG66101 ANC66100:ANC66101 AWY66100:AWY66101 BGU66100:BGU66101 BQQ66100:BQQ66101 CAM66100:CAM66101 CKI66100:CKI66101 CUE66100:CUE66101 DEA66100:DEA66101 DNW66100:DNW66101 DXS66100:DXS66101 EHO66100:EHO66101 ERK66100:ERK66101 FBG66100:FBG66101 FLC66100:FLC66101 FUY66100:FUY66101 GEU66100:GEU66101 GOQ66100:GOQ66101 GYM66100:GYM66101 HII66100:HII66101 HSE66100:HSE66101 ICA66100:ICA66101 ILW66100:ILW66101 IVS66100:IVS66101 JFO66100:JFO66101 JPK66100:JPK66101 JZG66100:JZG66101 KJC66100:KJC66101 KSY66100:KSY66101 LCU66100:LCU66101 LMQ66100:LMQ66101 LWM66100:LWM66101 MGI66100:MGI66101 MQE66100:MQE66101 NAA66100:NAA66101 NJW66100:NJW66101 NTS66100:NTS66101 ODO66100:ODO66101 ONK66100:ONK66101 OXG66100:OXG66101 PHC66100:PHC66101 PQY66100:PQY66101 QAU66100:QAU66101 QKQ66100:QKQ66101 QUM66100:QUM66101 REI66100:REI66101 ROE66100:ROE66101 RYA66100:RYA66101 SHW66100:SHW66101 SRS66100:SRS66101 TBO66100:TBO66101 TLK66100:TLK66101 TVG66100:TVG66101 UFC66100:UFC66101 UOY66100:UOY66101 UYU66100:UYU66101 VIQ66100:VIQ66101 VSM66100:VSM66101 WCI66100:WCI66101 WME66100:WME66101 WWA66100:WWA66101 S131636:S131637 JO131636:JO131637 TK131636:TK131637 ADG131636:ADG131637 ANC131636:ANC131637 AWY131636:AWY131637 BGU131636:BGU131637 BQQ131636:BQQ131637 CAM131636:CAM131637 CKI131636:CKI131637 CUE131636:CUE131637 DEA131636:DEA131637 DNW131636:DNW131637 DXS131636:DXS131637 EHO131636:EHO131637 ERK131636:ERK131637 FBG131636:FBG131637 FLC131636:FLC131637 FUY131636:FUY131637 GEU131636:GEU131637 GOQ131636:GOQ131637 GYM131636:GYM131637 HII131636:HII131637 HSE131636:HSE131637 ICA131636:ICA131637 ILW131636:ILW131637 IVS131636:IVS131637 JFO131636:JFO131637 JPK131636:JPK131637 JZG131636:JZG131637 KJC131636:KJC131637 KSY131636:KSY131637 LCU131636:LCU131637 LMQ131636:LMQ131637 LWM131636:LWM131637 MGI131636:MGI131637 MQE131636:MQE131637 NAA131636:NAA131637 NJW131636:NJW131637 NTS131636:NTS131637 ODO131636:ODO131637 ONK131636:ONK131637 OXG131636:OXG131637 PHC131636:PHC131637 PQY131636:PQY131637 QAU131636:QAU131637 QKQ131636:QKQ131637 QUM131636:QUM131637 REI131636:REI131637 ROE131636:ROE131637 RYA131636:RYA131637 SHW131636:SHW131637 SRS131636:SRS131637 TBO131636:TBO131637 TLK131636:TLK131637 TVG131636:TVG131637 UFC131636:UFC131637 UOY131636:UOY131637 UYU131636:UYU131637 VIQ131636:VIQ131637 VSM131636:VSM131637 WCI131636:WCI131637 WME131636:WME131637 WWA131636:WWA131637 S197172:S197173 JO197172:JO197173 TK197172:TK197173 ADG197172:ADG197173 ANC197172:ANC197173 AWY197172:AWY197173 BGU197172:BGU197173 BQQ197172:BQQ197173 CAM197172:CAM197173 CKI197172:CKI197173 CUE197172:CUE197173 DEA197172:DEA197173 DNW197172:DNW197173 DXS197172:DXS197173 EHO197172:EHO197173 ERK197172:ERK197173 FBG197172:FBG197173 FLC197172:FLC197173 FUY197172:FUY197173 GEU197172:GEU197173 GOQ197172:GOQ197173 GYM197172:GYM197173 HII197172:HII197173 HSE197172:HSE197173 ICA197172:ICA197173 ILW197172:ILW197173 IVS197172:IVS197173 JFO197172:JFO197173 JPK197172:JPK197173 JZG197172:JZG197173 KJC197172:KJC197173 KSY197172:KSY197173 LCU197172:LCU197173 LMQ197172:LMQ197173 LWM197172:LWM197173 MGI197172:MGI197173 MQE197172:MQE197173 NAA197172:NAA197173 NJW197172:NJW197173 NTS197172:NTS197173 ODO197172:ODO197173 ONK197172:ONK197173 OXG197172:OXG197173 PHC197172:PHC197173 PQY197172:PQY197173 QAU197172:QAU197173 QKQ197172:QKQ197173 QUM197172:QUM197173 REI197172:REI197173 ROE197172:ROE197173 RYA197172:RYA197173 SHW197172:SHW197173 SRS197172:SRS197173 TBO197172:TBO197173 TLK197172:TLK197173 TVG197172:TVG197173 UFC197172:UFC197173 UOY197172:UOY197173 UYU197172:UYU197173 VIQ197172:VIQ197173 VSM197172:VSM197173 WCI197172:WCI197173 WME197172:WME197173 WWA197172:WWA197173 S262708:S262709 JO262708:JO262709 TK262708:TK262709 ADG262708:ADG262709 ANC262708:ANC262709 AWY262708:AWY262709 BGU262708:BGU262709 BQQ262708:BQQ262709 CAM262708:CAM262709 CKI262708:CKI262709 CUE262708:CUE262709 DEA262708:DEA262709 DNW262708:DNW262709 DXS262708:DXS262709 EHO262708:EHO262709 ERK262708:ERK262709 FBG262708:FBG262709 FLC262708:FLC262709 FUY262708:FUY262709 GEU262708:GEU262709 GOQ262708:GOQ262709 GYM262708:GYM262709 HII262708:HII262709 HSE262708:HSE262709 ICA262708:ICA262709 ILW262708:ILW262709 IVS262708:IVS262709 JFO262708:JFO262709 JPK262708:JPK262709 JZG262708:JZG262709 KJC262708:KJC262709 KSY262708:KSY262709 LCU262708:LCU262709 LMQ262708:LMQ262709 LWM262708:LWM262709 MGI262708:MGI262709 MQE262708:MQE262709 NAA262708:NAA262709 NJW262708:NJW262709 NTS262708:NTS262709 ODO262708:ODO262709 ONK262708:ONK262709 OXG262708:OXG262709 PHC262708:PHC262709 PQY262708:PQY262709 QAU262708:QAU262709 QKQ262708:QKQ262709 QUM262708:QUM262709 REI262708:REI262709 ROE262708:ROE262709 RYA262708:RYA262709 SHW262708:SHW262709 SRS262708:SRS262709 TBO262708:TBO262709 TLK262708:TLK262709 TVG262708:TVG262709 UFC262708:UFC262709 UOY262708:UOY262709 UYU262708:UYU262709 VIQ262708:VIQ262709 VSM262708:VSM262709 WCI262708:WCI262709 WME262708:WME262709 WWA262708:WWA262709 S328244:S328245 JO328244:JO328245 TK328244:TK328245 ADG328244:ADG328245 ANC328244:ANC328245 AWY328244:AWY328245 BGU328244:BGU328245 BQQ328244:BQQ328245 CAM328244:CAM328245 CKI328244:CKI328245 CUE328244:CUE328245 DEA328244:DEA328245 DNW328244:DNW328245 DXS328244:DXS328245 EHO328244:EHO328245 ERK328244:ERK328245 FBG328244:FBG328245 FLC328244:FLC328245 FUY328244:FUY328245 GEU328244:GEU328245 GOQ328244:GOQ328245 GYM328244:GYM328245 HII328244:HII328245 HSE328244:HSE328245 ICA328244:ICA328245 ILW328244:ILW328245 IVS328244:IVS328245 JFO328244:JFO328245 JPK328244:JPK328245 JZG328244:JZG328245 KJC328244:KJC328245 KSY328244:KSY328245 LCU328244:LCU328245 LMQ328244:LMQ328245 LWM328244:LWM328245 MGI328244:MGI328245 MQE328244:MQE328245 NAA328244:NAA328245 NJW328244:NJW328245 NTS328244:NTS328245 ODO328244:ODO328245 ONK328244:ONK328245 OXG328244:OXG328245 PHC328244:PHC328245 PQY328244:PQY328245 QAU328244:QAU328245 QKQ328244:QKQ328245 QUM328244:QUM328245 REI328244:REI328245 ROE328244:ROE328245 RYA328244:RYA328245 SHW328244:SHW328245 SRS328244:SRS328245 TBO328244:TBO328245 TLK328244:TLK328245 TVG328244:TVG328245 UFC328244:UFC328245 UOY328244:UOY328245 UYU328244:UYU328245 VIQ328244:VIQ328245 VSM328244:VSM328245 WCI328244:WCI328245 WME328244:WME328245 WWA328244:WWA328245 S393780:S393781 JO393780:JO393781 TK393780:TK393781 ADG393780:ADG393781 ANC393780:ANC393781 AWY393780:AWY393781 BGU393780:BGU393781 BQQ393780:BQQ393781 CAM393780:CAM393781 CKI393780:CKI393781 CUE393780:CUE393781 DEA393780:DEA393781 DNW393780:DNW393781 DXS393780:DXS393781 EHO393780:EHO393781 ERK393780:ERK393781 FBG393780:FBG393781 FLC393780:FLC393781 FUY393780:FUY393781 GEU393780:GEU393781 GOQ393780:GOQ393781 GYM393780:GYM393781 HII393780:HII393781 HSE393780:HSE393781 ICA393780:ICA393781 ILW393780:ILW393781 IVS393780:IVS393781 JFO393780:JFO393781 JPK393780:JPK393781 JZG393780:JZG393781 KJC393780:KJC393781 KSY393780:KSY393781 LCU393780:LCU393781 LMQ393780:LMQ393781 LWM393780:LWM393781 MGI393780:MGI393781 MQE393780:MQE393781 NAA393780:NAA393781 NJW393780:NJW393781 NTS393780:NTS393781 ODO393780:ODO393781 ONK393780:ONK393781 OXG393780:OXG393781 PHC393780:PHC393781 PQY393780:PQY393781 QAU393780:QAU393781 QKQ393780:QKQ393781 QUM393780:QUM393781 REI393780:REI393781 ROE393780:ROE393781 RYA393780:RYA393781 SHW393780:SHW393781 SRS393780:SRS393781 TBO393780:TBO393781 TLK393780:TLK393781 TVG393780:TVG393781 UFC393780:UFC393781 UOY393780:UOY393781 UYU393780:UYU393781 VIQ393780:VIQ393781 VSM393780:VSM393781 WCI393780:WCI393781 WME393780:WME393781 WWA393780:WWA393781 S459316:S459317 JO459316:JO459317 TK459316:TK459317 ADG459316:ADG459317 ANC459316:ANC459317 AWY459316:AWY459317 BGU459316:BGU459317 BQQ459316:BQQ459317 CAM459316:CAM459317 CKI459316:CKI459317 CUE459316:CUE459317 DEA459316:DEA459317 DNW459316:DNW459317 DXS459316:DXS459317 EHO459316:EHO459317 ERK459316:ERK459317 FBG459316:FBG459317 FLC459316:FLC459317 FUY459316:FUY459317 GEU459316:GEU459317 GOQ459316:GOQ459317 GYM459316:GYM459317 HII459316:HII459317 HSE459316:HSE459317 ICA459316:ICA459317 ILW459316:ILW459317 IVS459316:IVS459317 JFO459316:JFO459317 JPK459316:JPK459317 JZG459316:JZG459317 KJC459316:KJC459317 KSY459316:KSY459317 LCU459316:LCU459317 LMQ459316:LMQ459317 LWM459316:LWM459317 MGI459316:MGI459317 MQE459316:MQE459317 NAA459316:NAA459317 NJW459316:NJW459317 NTS459316:NTS459317 ODO459316:ODO459317 ONK459316:ONK459317 OXG459316:OXG459317 PHC459316:PHC459317 PQY459316:PQY459317 QAU459316:QAU459317 QKQ459316:QKQ459317 QUM459316:QUM459317 REI459316:REI459317 ROE459316:ROE459317 RYA459316:RYA459317 SHW459316:SHW459317 SRS459316:SRS459317 TBO459316:TBO459317 TLK459316:TLK459317 TVG459316:TVG459317 UFC459316:UFC459317 UOY459316:UOY459317 UYU459316:UYU459317 VIQ459316:VIQ459317 VSM459316:VSM459317 WCI459316:WCI459317 WME459316:WME459317 WWA459316:WWA459317 S524852:S524853 JO524852:JO524853 TK524852:TK524853 ADG524852:ADG524853 ANC524852:ANC524853 AWY524852:AWY524853 BGU524852:BGU524853 BQQ524852:BQQ524853 CAM524852:CAM524853 CKI524852:CKI524853 CUE524852:CUE524853 DEA524852:DEA524853 DNW524852:DNW524853 DXS524852:DXS524853 EHO524852:EHO524853 ERK524852:ERK524853 FBG524852:FBG524853 FLC524852:FLC524853 FUY524852:FUY524853 GEU524852:GEU524853 GOQ524852:GOQ524853 GYM524852:GYM524853 HII524852:HII524853 HSE524852:HSE524853 ICA524852:ICA524853 ILW524852:ILW524853 IVS524852:IVS524853 JFO524852:JFO524853 JPK524852:JPK524853 JZG524852:JZG524853 KJC524852:KJC524853 KSY524852:KSY524853 LCU524852:LCU524853 LMQ524852:LMQ524853 LWM524852:LWM524853 MGI524852:MGI524853 MQE524852:MQE524853 NAA524852:NAA524853 NJW524852:NJW524853 NTS524852:NTS524853 ODO524852:ODO524853 ONK524852:ONK524853 OXG524852:OXG524853 PHC524852:PHC524853 PQY524852:PQY524853 QAU524852:QAU524853 QKQ524852:QKQ524853 QUM524852:QUM524853 REI524852:REI524853 ROE524852:ROE524853 RYA524852:RYA524853 SHW524852:SHW524853 SRS524852:SRS524853 TBO524852:TBO524853 TLK524852:TLK524853 TVG524852:TVG524853 UFC524852:UFC524853 UOY524852:UOY524853 UYU524852:UYU524853 VIQ524852:VIQ524853 VSM524852:VSM524853 WCI524852:WCI524853 WME524852:WME524853 WWA524852:WWA524853 S590388:S590389 JO590388:JO590389 TK590388:TK590389 ADG590388:ADG590389 ANC590388:ANC590389 AWY590388:AWY590389 BGU590388:BGU590389 BQQ590388:BQQ590389 CAM590388:CAM590389 CKI590388:CKI590389 CUE590388:CUE590389 DEA590388:DEA590389 DNW590388:DNW590389 DXS590388:DXS590389 EHO590388:EHO590389 ERK590388:ERK590389 FBG590388:FBG590389 FLC590388:FLC590389 FUY590388:FUY590389 GEU590388:GEU590389 GOQ590388:GOQ590389 GYM590388:GYM590389 HII590388:HII590389 HSE590388:HSE590389 ICA590388:ICA590389 ILW590388:ILW590389 IVS590388:IVS590389 JFO590388:JFO590389 JPK590388:JPK590389 JZG590388:JZG590389 KJC590388:KJC590389 KSY590388:KSY590389 LCU590388:LCU590389 LMQ590388:LMQ590389 LWM590388:LWM590389 MGI590388:MGI590389 MQE590388:MQE590389 NAA590388:NAA590389 NJW590388:NJW590389 NTS590388:NTS590389 ODO590388:ODO590389 ONK590388:ONK590389 OXG590388:OXG590389 PHC590388:PHC590389 PQY590388:PQY590389 QAU590388:QAU590389 QKQ590388:QKQ590389 QUM590388:QUM590389 REI590388:REI590389 ROE590388:ROE590389 RYA590388:RYA590389 SHW590388:SHW590389 SRS590388:SRS590389 TBO590388:TBO590389 TLK590388:TLK590389 TVG590388:TVG590389 UFC590388:UFC590389 UOY590388:UOY590389 UYU590388:UYU590389 VIQ590388:VIQ590389 VSM590388:VSM590389 WCI590388:WCI590389 WME590388:WME590389 WWA590388:WWA590389 S655924:S655925 JO655924:JO655925 TK655924:TK655925 ADG655924:ADG655925 ANC655924:ANC655925 AWY655924:AWY655925 BGU655924:BGU655925 BQQ655924:BQQ655925 CAM655924:CAM655925 CKI655924:CKI655925 CUE655924:CUE655925 DEA655924:DEA655925 DNW655924:DNW655925 DXS655924:DXS655925 EHO655924:EHO655925 ERK655924:ERK655925 FBG655924:FBG655925 FLC655924:FLC655925 FUY655924:FUY655925 GEU655924:GEU655925 GOQ655924:GOQ655925 GYM655924:GYM655925 HII655924:HII655925 HSE655924:HSE655925 ICA655924:ICA655925 ILW655924:ILW655925 IVS655924:IVS655925 JFO655924:JFO655925 JPK655924:JPK655925 JZG655924:JZG655925 KJC655924:KJC655925 KSY655924:KSY655925 LCU655924:LCU655925 LMQ655924:LMQ655925 LWM655924:LWM655925 MGI655924:MGI655925 MQE655924:MQE655925 NAA655924:NAA655925 NJW655924:NJW655925 NTS655924:NTS655925 ODO655924:ODO655925 ONK655924:ONK655925 OXG655924:OXG655925 PHC655924:PHC655925 PQY655924:PQY655925 QAU655924:QAU655925 QKQ655924:QKQ655925 QUM655924:QUM655925 REI655924:REI655925 ROE655924:ROE655925 RYA655924:RYA655925 SHW655924:SHW655925 SRS655924:SRS655925 TBO655924:TBO655925 TLK655924:TLK655925 TVG655924:TVG655925 UFC655924:UFC655925 UOY655924:UOY655925 UYU655924:UYU655925 VIQ655924:VIQ655925 VSM655924:VSM655925 WCI655924:WCI655925 WME655924:WME655925 WWA655924:WWA655925 S721460:S721461 JO721460:JO721461 TK721460:TK721461 ADG721460:ADG721461 ANC721460:ANC721461 AWY721460:AWY721461 BGU721460:BGU721461 BQQ721460:BQQ721461 CAM721460:CAM721461 CKI721460:CKI721461 CUE721460:CUE721461 DEA721460:DEA721461 DNW721460:DNW721461 DXS721460:DXS721461 EHO721460:EHO721461 ERK721460:ERK721461 FBG721460:FBG721461 FLC721460:FLC721461 FUY721460:FUY721461 GEU721460:GEU721461 GOQ721460:GOQ721461 GYM721460:GYM721461 HII721460:HII721461 HSE721460:HSE721461 ICA721460:ICA721461 ILW721460:ILW721461 IVS721460:IVS721461 JFO721460:JFO721461 JPK721460:JPK721461 JZG721460:JZG721461 KJC721460:KJC721461 KSY721460:KSY721461 LCU721460:LCU721461 LMQ721460:LMQ721461 LWM721460:LWM721461 MGI721460:MGI721461 MQE721460:MQE721461 NAA721460:NAA721461 NJW721460:NJW721461 NTS721460:NTS721461 ODO721460:ODO721461 ONK721460:ONK721461 OXG721460:OXG721461 PHC721460:PHC721461 PQY721460:PQY721461 QAU721460:QAU721461 QKQ721460:QKQ721461 QUM721460:QUM721461 REI721460:REI721461 ROE721460:ROE721461 RYA721460:RYA721461 SHW721460:SHW721461 SRS721460:SRS721461 TBO721460:TBO721461 TLK721460:TLK721461 TVG721460:TVG721461 UFC721460:UFC721461 UOY721460:UOY721461 UYU721460:UYU721461 VIQ721460:VIQ721461 VSM721460:VSM721461 WCI721460:WCI721461 WME721460:WME721461 WWA721460:WWA721461 S786996:S786997 JO786996:JO786997 TK786996:TK786997 ADG786996:ADG786997 ANC786996:ANC786997 AWY786996:AWY786997 BGU786996:BGU786997 BQQ786996:BQQ786997 CAM786996:CAM786997 CKI786996:CKI786997 CUE786996:CUE786997 DEA786996:DEA786997 DNW786996:DNW786997 DXS786996:DXS786997 EHO786996:EHO786997 ERK786996:ERK786997 FBG786996:FBG786997 FLC786996:FLC786997 FUY786996:FUY786997 GEU786996:GEU786997 GOQ786996:GOQ786997 GYM786996:GYM786997 HII786996:HII786997 HSE786996:HSE786997 ICA786996:ICA786997 ILW786996:ILW786997 IVS786996:IVS786997 JFO786996:JFO786997 JPK786996:JPK786997 JZG786996:JZG786997 KJC786996:KJC786997 KSY786996:KSY786997 LCU786996:LCU786997 LMQ786996:LMQ786997 LWM786996:LWM786997 MGI786996:MGI786997 MQE786996:MQE786997 NAA786996:NAA786997 NJW786996:NJW786997 NTS786996:NTS786997 ODO786996:ODO786997 ONK786996:ONK786997 OXG786996:OXG786997 PHC786996:PHC786997 PQY786996:PQY786997 QAU786996:QAU786997 QKQ786996:QKQ786997 QUM786996:QUM786997 REI786996:REI786997 ROE786996:ROE786997 RYA786996:RYA786997 SHW786996:SHW786997 SRS786996:SRS786997 TBO786996:TBO786997 TLK786996:TLK786997 TVG786996:TVG786997 UFC786996:UFC786997 UOY786996:UOY786997 UYU786996:UYU786997 VIQ786996:VIQ786997 VSM786996:VSM786997 WCI786996:WCI786997 WME786996:WME786997 WWA786996:WWA786997 S852532:S852533 JO852532:JO852533 TK852532:TK852533 ADG852532:ADG852533 ANC852532:ANC852533 AWY852532:AWY852533 BGU852532:BGU852533 BQQ852532:BQQ852533 CAM852532:CAM852533 CKI852532:CKI852533 CUE852532:CUE852533 DEA852532:DEA852533 DNW852532:DNW852533 DXS852532:DXS852533 EHO852532:EHO852533 ERK852532:ERK852533 FBG852532:FBG852533 FLC852532:FLC852533 FUY852532:FUY852533 GEU852532:GEU852533 GOQ852532:GOQ852533 GYM852532:GYM852533 HII852532:HII852533 HSE852532:HSE852533 ICA852532:ICA852533 ILW852532:ILW852533 IVS852532:IVS852533 JFO852532:JFO852533 JPK852532:JPK852533 JZG852532:JZG852533 KJC852532:KJC852533 KSY852532:KSY852533 LCU852532:LCU852533 LMQ852532:LMQ852533 LWM852532:LWM852533 MGI852532:MGI852533 MQE852532:MQE852533 NAA852532:NAA852533 NJW852532:NJW852533 NTS852532:NTS852533 ODO852532:ODO852533 ONK852532:ONK852533 OXG852532:OXG852533 PHC852532:PHC852533 PQY852532:PQY852533 QAU852532:QAU852533 QKQ852532:QKQ852533 QUM852532:QUM852533 REI852532:REI852533 ROE852532:ROE852533 RYA852532:RYA852533 SHW852532:SHW852533 SRS852532:SRS852533 TBO852532:TBO852533 TLK852532:TLK852533 TVG852532:TVG852533 UFC852532:UFC852533 UOY852532:UOY852533 UYU852532:UYU852533 VIQ852532:VIQ852533 VSM852532:VSM852533 WCI852532:WCI852533 WME852532:WME852533 WWA852532:WWA852533 S918068:S918069 JO918068:JO918069 TK918068:TK918069 ADG918068:ADG918069 ANC918068:ANC918069 AWY918068:AWY918069 BGU918068:BGU918069 BQQ918068:BQQ918069 CAM918068:CAM918069 CKI918068:CKI918069 CUE918068:CUE918069 DEA918068:DEA918069 DNW918068:DNW918069 DXS918068:DXS918069 EHO918068:EHO918069 ERK918068:ERK918069 FBG918068:FBG918069 FLC918068:FLC918069 FUY918068:FUY918069 GEU918068:GEU918069 GOQ918068:GOQ918069 GYM918068:GYM918069 HII918068:HII918069 HSE918068:HSE918069 ICA918068:ICA918069 ILW918068:ILW918069 IVS918068:IVS918069 JFO918068:JFO918069 JPK918068:JPK918069 JZG918068:JZG918069 KJC918068:KJC918069 KSY918068:KSY918069 LCU918068:LCU918069 LMQ918068:LMQ918069 LWM918068:LWM918069 MGI918068:MGI918069 MQE918068:MQE918069 NAA918068:NAA918069 NJW918068:NJW918069 NTS918068:NTS918069 ODO918068:ODO918069 ONK918068:ONK918069 OXG918068:OXG918069 PHC918068:PHC918069 PQY918068:PQY918069 QAU918068:QAU918069 QKQ918068:QKQ918069 QUM918068:QUM918069 REI918068:REI918069 ROE918068:ROE918069 RYA918068:RYA918069 SHW918068:SHW918069 SRS918068:SRS918069 TBO918068:TBO918069 TLK918068:TLK918069 TVG918068:TVG918069 UFC918068:UFC918069 UOY918068:UOY918069 UYU918068:UYU918069 VIQ918068:VIQ918069 VSM918068:VSM918069 WCI918068:WCI918069 WME918068:WME918069 WWA918068:WWA918069 S983604:S983605 JO983604:JO983605 TK983604:TK983605 ADG983604:ADG983605 ANC983604:ANC983605 AWY983604:AWY983605 BGU983604:BGU983605 BQQ983604:BQQ983605 CAM983604:CAM983605 CKI983604:CKI983605 CUE983604:CUE983605 DEA983604:DEA983605 DNW983604:DNW983605 DXS983604:DXS983605 EHO983604:EHO983605 ERK983604:ERK983605 FBG983604:FBG983605 FLC983604:FLC983605 FUY983604:FUY983605 GEU983604:GEU983605 GOQ983604:GOQ983605 GYM983604:GYM983605 HII983604:HII983605 HSE983604:HSE983605 ICA983604:ICA983605 ILW983604:ILW983605 IVS983604:IVS983605 JFO983604:JFO983605 JPK983604:JPK983605 JZG983604:JZG983605 KJC983604:KJC983605 KSY983604:KSY983605 LCU983604:LCU983605 LMQ983604:LMQ983605 LWM983604:LWM983605 MGI983604:MGI983605 MQE983604:MQE983605 NAA983604:NAA983605 NJW983604:NJW983605 NTS983604:NTS983605 ODO983604:ODO983605 ONK983604:ONK983605 OXG983604:OXG983605 PHC983604:PHC983605 PQY983604:PQY983605 QAU983604:QAU983605 QKQ983604:QKQ983605 QUM983604:QUM983605 REI983604:REI983605 ROE983604:ROE983605 RYA983604:RYA983605 SHW983604:SHW983605 SRS983604:SRS983605 TBO983604:TBO983605 TLK983604:TLK983605 TVG983604:TVG983605 UFC983604:UFC983605 UOY983604:UOY983605 UYU983604:UYU983605 VIQ983604:VIQ983605 VSM983604:VSM983605 WCI983604:WCI983605 WME983604:WME983605 WWA983604:WWA983605 S574:S575 JO574:JO575 TK574:TK575 ADG574:ADG575 ANC574:ANC575 AWY574:AWY575 BGU574:BGU575 BQQ574:BQQ575 CAM574:CAM575 CKI574:CKI575 CUE574:CUE575 DEA574:DEA575 DNW574:DNW575 DXS574:DXS575 EHO574:EHO575 ERK574:ERK575 FBG574:FBG575 FLC574:FLC575 FUY574:FUY575 GEU574:GEU575 GOQ574:GOQ575 GYM574:GYM575 HII574:HII575 HSE574:HSE575 ICA574:ICA575 ILW574:ILW575 IVS574:IVS575 JFO574:JFO575 JPK574:JPK575 JZG574:JZG575 KJC574:KJC575 KSY574:KSY575 LCU574:LCU575 LMQ574:LMQ575 LWM574:LWM575 MGI574:MGI575 MQE574:MQE575 NAA574:NAA575 NJW574:NJW575 NTS574:NTS575 ODO574:ODO575 ONK574:ONK575 OXG574:OXG575 PHC574:PHC575 PQY574:PQY575 QAU574:QAU575 QKQ574:QKQ575 QUM574:QUM575 REI574:REI575 ROE574:ROE575 RYA574:RYA575 SHW574:SHW575 SRS574:SRS575 TBO574:TBO575 TLK574:TLK575 TVG574:TVG575 UFC574:UFC575 UOY574:UOY575 UYU574:UYU575 VIQ574:VIQ575 VSM574:VSM575 WCI574:WCI575 WME574:WME575 WWA574:WWA575 S66110:S66111 JO66110:JO66111 TK66110:TK66111 ADG66110:ADG66111 ANC66110:ANC66111 AWY66110:AWY66111 BGU66110:BGU66111 BQQ66110:BQQ66111 CAM66110:CAM66111 CKI66110:CKI66111 CUE66110:CUE66111 DEA66110:DEA66111 DNW66110:DNW66111 DXS66110:DXS66111 EHO66110:EHO66111 ERK66110:ERK66111 FBG66110:FBG66111 FLC66110:FLC66111 FUY66110:FUY66111 GEU66110:GEU66111 GOQ66110:GOQ66111 GYM66110:GYM66111 HII66110:HII66111 HSE66110:HSE66111 ICA66110:ICA66111 ILW66110:ILW66111 IVS66110:IVS66111 JFO66110:JFO66111 JPK66110:JPK66111 JZG66110:JZG66111 KJC66110:KJC66111 KSY66110:KSY66111 LCU66110:LCU66111 LMQ66110:LMQ66111 LWM66110:LWM66111 MGI66110:MGI66111 MQE66110:MQE66111 NAA66110:NAA66111 NJW66110:NJW66111 NTS66110:NTS66111 ODO66110:ODO66111 ONK66110:ONK66111 OXG66110:OXG66111 PHC66110:PHC66111 PQY66110:PQY66111 QAU66110:QAU66111 QKQ66110:QKQ66111 QUM66110:QUM66111 REI66110:REI66111 ROE66110:ROE66111 RYA66110:RYA66111 SHW66110:SHW66111 SRS66110:SRS66111 TBO66110:TBO66111 TLK66110:TLK66111 TVG66110:TVG66111 UFC66110:UFC66111 UOY66110:UOY66111 UYU66110:UYU66111 VIQ66110:VIQ66111 VSM66110:VSM66111 WCI66110:WCI66111 WME66110:WME66111 WWA66110:WWA66111 S131646:S131647 JO131646:JO131647 TK131646:TK131647 ADG131646:ADG131647 ANC131646:ANC131647 AWY131646:AWY131647 BGU131646:BGU131647 BQQ131646:BQQ131647 CAM131646:CAM131647 CKI131646:CKI131647 CUE131646:CUE131647 DEA131646:DEA131647 DNW131646:DNW131647 DXS131646:DXS131647 EHO131646:EHO131647 ERK131646:ERK131647 FBG131646:FBG131647 FLC131646:FLC131647 FUY131646:FUY131647 GEU131646:GEU131647 GOQ131646:GOQ131647 GYM131646:GYM131647 HII131646:HII131647 HSE131646:HSE131647 ICA131646:ICA131647 ILW131646:ILW131647 IVS131646:IVS131647 JFO131646:JFO131647 JPK131646:JPK131647 JZG131646:JZG131647 KJC131646:KJC131647 KSY131646:KSY131647 LCU131646:LCU131647 LMQ131646:LMQ131647 LWM131646:LWM131647 MGI131646:MGI131647 MQE131646:MQE131647 NAA131646:NAA131647 NJW131646:NJW131647 NTS131646:NTS131647 ODO131646:ODO131647 ONK131646:ONK131647 OXG131646:OXG131647 PHC131646:PHC131647 PQY131646:PQY131647 QAU131646:QAU131647 QKQ131646:QKQ131647 QUM131646:QUM131647 REI131646:REI131647 ROE131646:ROE131647 RYA131646:RYA131647 SHW131646:SHW131647 SRS131646:SRS131647 TBO131646:TBO131647 TLK131646:TLK131647 TVG131646:TVG131647 UFC131646:UFC131647 UOY131646:UOY131647 UYU131646:UYU131647 VIQ131646:VIQ131647 VSM131646:VSM131647 WCI131646:WCI131647 WME131646:WME131647 WWA131646:WWA131647 S197182:S197183 JO197182:JO197183 TK197182:TK197183 ADG197182:ADG197183 ANC197182:ANC197183 AWY197182:AWY197183 BGU197182:BGU197183 BQQ197182:BQQ197183 CAM197182:CAM197183 CKI197182:CKI197183 CUE197182:CUE197183 DEA197182:DEA197183 DNW197182:DNW197183 DXS197182:DXS197183 EHO197182:EHO197183 ERK197182:ERK197183 FBG197182:FBG197183 FLC197182:FLC197183 FUY197182:FUY197183 GEU197182:GEU197183 GOQ197182:GOQ197183 GYM197182:GYM197183 HII197182:HII197183 HSE197182:HSE197183 ICA197182:ICA197183 ILW197182:ILW197183 IVS197182:IVS197183 JFO197182:JFO197183 JPK197182:JPK197183 JZG197182:JZG197183 KJC197182:KJC197183 KSY197182:KSY197183 LCU197182:LCU197183 LMQ197182:LMQ197183 LWM197182:LWM197183 MGI197182:MGI197183 MQE197182:MQE197183 NAA197182:NAA197183 NJW197182:NJW197183 NTS197182:NTS197183 ODO197182:ODO197183 ONK197182:ONK197183 OXG197182:OXG197183 PHC197182:PHC197183 PQY197182:PQY197183 QAU197182:QAU197183 QKQ197182:QKQ197183 QUM197182:QUM197183 REI197182:REI197183 ROE197182:ROE197183 RYA197182:RYA197183 SHW197182:SHW197183 SRS197182:SRS197183 TBO197182:TBO197183 TLK197182:TLK197183 TVG197182:TVG197183 UFC197182:UFC197183 UOY197182:UOY197183 UYU197182:UYU197183 VIQ197182:VIQ197183 VSM197182:VSM197183 WCI197182:WCI197183 WME197182:WME197183 WWA197182:WWA197183 S262718:S262719 JO262718:JO262719 TK262718:TK262719 ADG262718:ADG262719 ANC262718:ANC262719 AWY262718:AWY262719 BGU262718:BGU262719 BQQ262718:BQQ262719 CAM262718:CAM262719 CKI262718:CKI262719 CUE262718:CUE262719 DEA262718:DEA262719 DNW262718:DNW262719 DXS262718:DXS262719 EHO262718:EHO262719 ERK262718:ERK262719 FBG262718:FBG262719 FLC262718:FLC262719 FUY262718:FUY262719 GEU262718:GEU262719 GOQ262718:GOQ262719 GYM262718:GYM262719 HII262718:HII262719 HSE262718:HSE262719 ICA262718:ICA262719 ILW262718:ILW262719 IVS262718:IVS262719 JFO262718:JFO262719 JPK262718:JPK262719 JZG262718:JZG262719 KJC262718:KJC262719 KSY262718:KSY262719 LCU262718:LCU262719 LMQ262718:LMQ262719 LWM262718:LWM262719 MGI262718:MGI262719 MQE262718:MQE262719 NAA262718:NAA262719 NJW262718:NJW262719 NTS262718:NTS262719 ODO262718:ODO262719 ONK262718:ONK262719 OXG262718:OXG262719 PHC262718:PHC262719 PQY262718:PQY262719 QAU262718:QAU262719 QKQ262718:QKQ262719 QUM262718:QUM262719 REI262718:REI262719 ROE262718:ROE262719 RYA262718:RYA262719 SHW262718:SHW262719 SRS262718:SRS262719 TBO262718:TBO262719 TLK262718:TLK262719 TVG262718:TVG262719 UFC262718:UFC262719 UOY262718:UOY262719 UYU262718:UYU262719 VIQ262718:VIQ262719 VSM262718:VSM262719 WCI262718:WCI262719 WME262718:WME262719 WWA262718:WWA262719 S328254:S328255 JO328254:JO328255 TK328254:TK328255 ADG328254:ADG328255 ANC328254:ANC328255 AWY328254:AWY328255 BGU328254:BGU328255 BQQ328254:BQQ328255 CAM328254:CAM328255 CKI328254:CKI328255 CUE328254:CUE328255 DEA328254:DEA328255 DNW328254:DNW328255 DXS328254:DXS328255 EHO328254:EHO328255 ERK328254:ERK328255 FBG328254:FBG328255 FLC328254:FLC328255 FUY328254:FUY328255 GEU328254:GEU328255 GOQ328254:GOQ328255 GYM328254:GYM328255 HII328254:HII328255 HSE328254:HSE328255 ICA328254:ICA328255 ILW328254:ILW328255 IVS328254:IVS328255 JFO328254:JFO328255 JPK328254:JPK328255 JZG328254:JZG328255 KJC328254:KJC328255 KSY328254:KSY328255 LCU328254:LCU328255 LMQ328254:LMQ328255 LWM328254:LWM328255 MGI328254:MGI328255 MQE328254:MQE328255 NAA328254:NAA328255 NJW328254:NJW328255 NTS328254:NTS328255 ODO328254:ODO328255 ONK328254:ONK328255 OXG328254:OXG328255 PHC328254:PHC328255 PQY328254:PQY328255 QAU328254:QAU328255 QKQ328254:QKQ328255 QUM328254:QUM328255 REI328254:REI328255 ROE328254:ROE328255 RYA328254:RYA328255 SHW328254:SHW328255 SRS328254:SRS328255 TBO328254:TBO328255 TLK328254:TLK328255 TVG328254:TVG328255 UFC328254:UFC328255 UOY328254:UOY328255 UYU328254:UYU328255 VIQ328254:VIQ328255 VSM328254:VSM328255 WCI328254:WCI328255 WME328254:WME328255 WWA328254:WWA328255 S393790:S393791 JO393790:JO393791 TK393790:TK393791 ADG393790:ADG393791 ANC393790:ANC393791 AWY393790:AWY393791 BGU393790:BGU393791 BQQ393790:BQQ393791 CAM393790:CAM393791 CKI393790:CKI393791 CUE393790:CUE393791 DEA393790:DEA393791 DNW393790:DNW393791 DXS393790:DXS393791 EHO393790:EHO393791 ERK393790:ERK393791 FBG393790:FBG393791 FLC393790:FLC393791 FUY393790:FUY393791 GEU393790:GEU393791 GOQ393790:GOQ393791 GYM393790:GYM393791 HII393790:HII393791 HSE393790:HSE393791 ICA393790:ICA393791 ILW393790:ILW393791 IVS393790:IVS393791 JFO393790:JFO393791 JPK393790:JPK393791 JZG393790:JZG393791 KJC393790:KJC393791 KSY393790:KSY393791 LCU393790:LCU393791 LMQ393790:LMQ393791 LWM393790:LWM393791 MGI393790:MGI393791 MQE393790:MQE393791 NAA393790:NAA393791 NJW393790:NJW393791 NTS393790:NTS393791 ODO393790:ODO393791 ONK393790:ONK393791 OXG393790:OXG393791 PHC393790:PHC393791 PQY393790:PQY393791 QAU393790:QAU393791 QKQ393790:QKQ393791 QUM393790:QUM393791 REI393790:REI393791 ROE393790:ROE393791 RYA393790:RYA393791 SHW393790:SHW393791 SRS393790:SRS393791 TBO393790:TBO393791 TLK393790:TLK393791 TVG393790:TVG393791 UFC393790:UFC393791 UOY393790:UOY393791 UYU393790:UYU393791 VIQ393790:VIQ393791 VSM393790:VSM393791 WCI393790:WCI393791 WME393790:WME393791 WWA393790:WWA393791 S459326:S459327 JO459326:JO459327 TK459326:TK459327 ADG459326:ADG459327 ANC459326:ANC459327 AWY459326:AWY459327 BGU459326:BGU459327 BQQ459326:BQQ459327 CAM459326:CAM459327 CKI459326:CKI459327 CUE459326:CUE459327 DEA459326:DEA459327 DNW459326:DNW459327 DXS459326:DXS459327 EHO459326:EHO459327 ERK459326:ERK459327 FBG459326:FBG459327 FLC459326:FLC459327 FUY459326:FUY459327 GEU459326:GEU459327 GOQ459326:GOQ459327 GYM459326:GYM459327 HII459326:HII459327 HSE459326:HSE459327 ICA459326:ICA459327 ILW459326:ILW459327 IVS459326:IVS459327 JFO459326:JFO459327 JPK459326:JPK459327 JZG459326:JZG459327 KJC459326:KJC459327 KSY459326:KSY459327 LCU459326:LCU459327 LMQ459326:LMQ459327 LWM459326:LWM459327 MGI459326:MGI459327 MQE459326:MQE459327 NAA459326:NAA459327 NJW459326:NJW459327 NTS459326:NTS459327 ODO459326:ODO459327 ONK459326:ONK459327 OXG459326:OXG459327 PHC459326:PHC459327 PQY459326:PQY459327 QAU459326:QAU459327 QKQ459326:QKQ459327 QUM459326:QUM459327 REI459326:REI459327 ROE459326:ROE459327 RYA459326:RYA459327 SHW459326:SHW459327 SRS459326:SRS459327 TBO459326:TBO459327 TLK459326:TLK459327 TVG459326:TVG459327 UFC459326:UFC459327 UOY459326:UOY459327 UYU459326:UYU459327 VIQ459326:VIQ459327 VSM459326:VSM459327 WCI459326:WCI459327 WME459326:WME459327 WWA459326:WWA459327 S524862:S524863 JO524862:JO524863 TK524862:TK524863 ADG524862:ADG524863 ANC524862:ANC524863 AWY524862:AWY524863 BGU524862:BGU524863 BQQ524862:BQQ524863 CAM524862:CAM524863 CKI524862:CKI524863 CUE524862:CUE524863 DEA524862:DEA524863 DNW524862:DNW524863 DXS524862:DXS524863 EHO524862:EHO524863 ERK524862:ERK524863 FBG524862:FBG524863 FLC524862:FLC524863 FUY524862:FUY524863 GEU524862:GEU524863 GOQ524862:GOQ524863 GYM524862:GYM524863 HII524862:HII524863 HSE524862:HSE524863 ICA524862:ICA524863 ILW524862:ILW524863 IVS524862:IVS524863 JFO524862:JFO524863 JPK524862:JPK524863 JZG524862:JZG524863 KJC524862:KJC524863 KSY524862:KSY524863 LCU524862:LCU524863 LMQ524862:LMQ524863 LWM524862:LWM524863 MGI524862:MGI524863 MQE524862:MQE524863 NAA524862:NAA524863 NJW524862:NJW524863 NTS524862:NTS524863 ODO524862:ODO524863 ONK524862:ONK524863 OXG524862:OXG524863 PHC524862:PHC524863 PQY524862:PQY524863 QAU524862:QAU524863 QKQ524862:QKQ524863 QUM524862:QUM524863 REI524862:REI524863 ROE524862:ROE524863 RYA524862:RYA524863 SHW524862:SHW524863 SRS524862:SRS524863 TBO524862:TBO524863 TLK524862:TLK524863 TVG524862:TVG524863 UFC524862:UFC524863 UOY524862:UOY524863 UYU524862:UYU524863 VIQ524862:VIQ524863 VSM524862:VSM524863 WCI524862:WCI524863 WME524862:WME524863 WWA524862:WWA524863 S590398:S590399 JO590398:JO590399 TK590398:TK590399 ADG590398:ADG590399 ANC590398:ANC590399 AWY590398:AWY590399 BGU590398:BGU590399 BQQ590398:BQQ590399 CAM590398:CAM590399 CKI590398:CKI590399 CUE590398:CUE590399 DEA590398:DEA590399 DNW590398:DNW590399 DXS590398:DXS590399 EHO590398:EHO590399 ERK590398:ERK590399 FBG590398:FBG590399 FLC590398:FLC590399 FUY590398:FUY590399 GEU590398:GEU590399 GOQ590398:GOQ590399 GYM590398:GYM590399 HII590398:HII590399 HSE590398:HSE590399 ICA590398:ICA590399 ILW590398:ILW590399 IVS590398:IVS590399 JFO590398:JFO590399 JPK590398:JPK590399 JZG590398:JZG590399 KJC590398:KJC590399 KSY590398:KSY590399 LCU590398:LCU590399 LMQ590398:LMQ590399 LWM590398:LWM590399 MGI590398:MGI590399 MQE590398:MQE590399 NAA590398:NAA590399 NJW590398:NJW590399 NTS590398:NTS590399 ODO590398:ODO590399 ONK590398:ONK590399 OXG590398:OXG590399 PHC590398:PHC590399 PQY590398:PQY590399 QAU590398:QAU590399 QKQ590398:QKQ590399 QUM590398:QUM590399 REI590398:REI590399 ROE590398:ROE590399 RYA590398:RYA590399 SHW590398:SHW590399 SRS590398:SRS590399 TBO590398:TBO590399 TLK590398:TLK590399 TVG590398:TVG590399 UFC590398:UFC590399 UOY590398:UOY590399 UYU590398:UYU590399 VIQ590398:VIQ590399 VSM590398:VSM590399 WCI590398:WCI590399 WME590398:WME590399 WWA590398:WWA590399 S655934:S655935 JO655934:JO655935 TK655934:TK655935 ADG655934:ADG655935 ANC655934:ANC655935 AWY655934:AWY655935 BGU655934:BGU655935 BQQ655934:BQQ655935 CAM655934:CAM655935 CKI655934:CKI655935 CUE655934:CUE655935 DEA655934:DEA655935 DNW655934:DNW655935 DXS655934:DXS655935 EHO655934:EHO655935 ERK655934:ERK655935 FBG655934:FBG655935 FLC655934:FLC655935 FUY655934:FUY655935 GEU655934:GEU655935 GOQ655934:GOQ655935 GYM655934:GYM655935 HII655934:HII655935 HSE655934:HSE655935 ICA655934:ICA655935 ILW655934:ILW655935 IVS655934:IVS655935 JFO655934:JFO655935 JPK655934:JPK655935 JZG655934:JZG655935 KJC655934:KJC655935 KSY655934:KSY655935 LCU655934:LCU655935 LMQ655934:LMQ655935 LWM655934:LWM655935 MGI655934:MGI655935 MQE655934:MQE655935 NAA655934:NAA655935 NJW655934:NJW655935 NTS655934:NTS655935 ODO655934:ODO655935 ONK655934:ONK655935 OXG655934:OXG655935 PHC655934:PHC655935 PQY655934:PQY655935 QAU655934:QAU655935 QKQ655934:QKQ655935 QUM655934:QUM655935 REI655934:REI655935 ROE655934:ROE655935 RYA655934:RYA655935 SHW655934:SHW655935 SRS655934:SRS655935 TBO655934:TBO655935 TLK655934:TLK655935 TVG655934:TVG655935 UFC655934:UFC655935 UOY655934:UOY655935 UYU655934:UYU655935 VIQ655934:VIQ655935 VSM655934:VSM655935 WCI655934:WCI655935 WME655934:WME655935 WWA655934:WWA655935 S721470:S721471 JO721470:JO721471 TK721470:TK721471 ADG721470:ADG721471 ANC721470:ANC721471 AWY721470:AWY721471 BGU721470:BGU721471 BQQ721470:BQQ721471 CAM721470:CAM721471 CKI721470:CKI721471 CUE721470:CUE721471 DEA721470:DEA721471 DNW721470:DNW721471 DXS721470:DXS721471 EHO721470:EHO721471 ERK721470:ERK721471 FBG721470:FBG721471 FLC721470:FLC721471 FUY721470:FUY721471 GEU721470:GEU721471 GOQ721470:GOQ721471 GYM721470:GYM721471 HII721470:HII721471 HSE721470:HSE721471 ICA721470:ICA721471 ILW721470:ILW721471 IVS721470:IVS721471 JFO721470:JFO721471 JPK721470:JPK721471 JZG721470:JZG721471 KJC721470:KJC721471 KSY721470:KSY721471 LCU721470:LCU721471 LMQ721470:LMQ721471 LWM721470:LWM721471 MGI721470:MGI721471 MQE721470:MQE721471 NAA721470:NAA721471 NJW721470:NJW721471 NTS721470:NTS721471 ODO721470:ODO721471 ONK721470:ONK721471 OXG721470:OXG721471 PHC721470:PHC721471 PQY721470:PQY721471 QAU721470:QAU721471 QKQ721470:QKQ721471 QUM721470:QUM721471 REI721470:REI721471 ROE721470:ROE721471 RYA721470:RYA721471 SHW721470:SHW721471 SRS721470:SRS721471 TBO721470:TBO721471 TLK721470:TLK721471 TVG721470:TVG721471 UFC721470:UFC721471 UOY721470:UOY721471 UYU721470:UYU721471 VIQ721470:VIQ721471 VSM721470:VSM721471 WCI721470:WCI721471 WME721470:WME721471 WWA721470:WWA721471 S787006:S787007 JO787006:JO787007 TK787006:TK787007 ADG787006:ADG787007 ANC787006:ANC787007 AWY787006:AWY787007 BGU787006:BGU787007 BQQ787006:BQQ787007 CAM787006:CAM787007 CKI787006:CKI787007 CUE787006:CUE787007 DEA787006:DEA787007 DNW787006:DNW787007 DXS787006:DXS787007 EHO787006:EHO787007 ERK787006:ERK787007 FBG787006:FBG787007 FLC787006:FLC787007 FUY787006:FUY787007 GEU787006:GEU787007 GOQ787006:GOQ787007 GYM787006:GYM787007 HII787006:HII787007 HSE787006:HSE787007 ICA787006:ICA787007 ILW787006:ILW787007 IVS787006:IVS787007 JFO787006:JFO787007 JPK787006:JPK787007 JZG787006:JZG787007 KJC787006:KJC787007 KSY787006:KSY787007 LCU787006:LCU787007 LMQ787006:LMQ787007 LWM787006:LWM787007 MGI787006:MGI787007 MQE787006:MQE787007 NAA787006:NAA787007 NJW787006:NJW787007 NTS787006:NTS787007 ODO787006:ODO787007 ONK787006:ONK787007 OXG787006:OXG787007 PHC787006:PHC787007 PQY787006:PQY787007 QAU787006:QAU787007 QKQ787006:QKQ787007 QUM787006:QUM787007 REI787006:REI787007 ROE787006:ROE787007 RYA787006:RYA787007 SHW787006:SHW787007 SRS787006:SRS787007 TBO787006:TBO787007 TLK787006:TLK787007 TVG787006:TVG787007 UFC787006:UFC787007 UOY787006:UOY787007 UYU787006:UYU787007 VIQ787006:VIQ787007 VSM787006:VSM787007 WCI787006:WCI787007 WME787006:WME787007 WWA787006:WWA787007 S852542:S852543 JO852542:JO852543 TK852542:TK852543 ADG852542:ADG852543 ANC852542:ANC852543 AWY852542:AWY852543 BGU852542:BGU852543 BQQ852542:BQQ852543 CAM852542:CAM852543 CKI852542:CKI852543 CUE852542:CUE852543 DEA852542:DEA852543 DNW852542:DNW852543 DXS852542:DXS852543 EHO852542:EHO852543 ERK852542:ERK852543 FBG852542:FBG852543 FLC852542:FLC852543 FUY852542:FUY852543 GEU852542:GEU852543 GOQ852542:GOQ852543 GYM852542:GYM852543 HII852542:HII852543 HSE852542:HSE852543 ICA852542:ICA852543 ILW852542:ILW852543 IVS852542:IVS852543 JFO852542:JFO852543 JPK852542:JPK852543 JZG852542:JZG852543 KJC852542:KJC852543 KSY852542:KSY852543 LCU852542:LCU852543 LMQ852542:LMQ852543 LWM852542:LWM852543 MGI852542:MGI852543 MQE852542:MQE852543 NAA852542:NAA852543 NJW852542:NJW852543 NTS852542:NTS852543 ODO852542:ODO852543 ONK852542:ONK852543 OXG852542:OXG852543 PHC852542:PHC852543 PQY852542:PQY852543 QAU852542:QAU852543 QKQ852542:QKQ852543 QUM852542:QUM852543 REI852542:REI852543 ROE852542:ROE852543 RYA852542:RYA852543 SHW852542:SHW852543 SRS852542:SRS852543 TBO852542:TBO852543 TLK852542:TLK852543 TVG852542:TVG852543 UFC852542:UFC852543 UOY852542:UOY852543 UYU852542:UYU852543 VIQ852542:VIQ852543 VSM852542:VSM852543 WCI852542:WCI852543 WME852542:WME852543 WWA852542:WWA852543 S918078:S918079 JO918078:JO918079 TK918078:TK918079 ADG918078:ADG918079 ANC918078:ANC918079 AWY918078:AWY918079 BGU918078:BGU918079 BQQ918078:BQQ918079 CAM918078:CAM918079 CKI918078:CKI918079 CUE918078:CUE918079 DEA918078:DEA918079 DNW918078:DNW918079 DXS918078:DXS918079 EHO918078:EHO918079 ERK918078:ERK918079 FBG918078:FBG918079 FLC918078:FLC918079 FUY918078:FUY918079 GEU918078:GEU918079 GOQ918078:GOQ918079 GYM918078:GYM918079 HII918078:HII918079 HSE918078:HSE918079 ICA918078:ICA918079 ILW918078:ILW918079 IVS918078:IVS918079 JFO918078:JFO918079 JPK918078:JPK918079 JZG918078:JZG918079 KJC918078:KJC918079 KSY918078:KSY918079 LCU918078:LCU918079 LMQ918078:LMQ918079 LWM918078:LWM918079 MGI918078:MGI918079 MQE918078:MQE918079 NAA918078:NAA918079 NJW918078:NJW918079 NTS918078:NTS918079 ODO918078:ODO918079 ONK918078:ONK918079 OXG918078:OXG918079 PHC918078:PHC918079 PQY918078:PQY918079 QAU918078:QAU918079 QKQ918078:QKQ918079 QUM918078:QUM918079 REI918078:REI918079 ROE918078:ROE918079 RYA918078:RYA918079 SHW918078:SHW918079 SRS918078:SRS918079 TBO918078:TBO918079 TLK918078:TLK918079 TVG918078:TVG918079 UFC918078:UFC918079 UOY918078:UOY918079 UYU918078:UYU918079 VIQ918078:VIQ918079 VSM918078:VSM918079 WCI918078:WCI918079 WME918078:WME918079 WWA918078:WWA918079 S983614:S983615 JO983614:JO983615 TK983614:TK983615 ADG983614:ADG983615 ANC983614:ANC983615 AWY983614:AWY983615 BGU983614:BGU983615 BQQ983614:BQQ983615 CAM983614:CAM983615 CKI983614:CKI983615 CUE983614:CUE983615 DEA983614:DEA983615 DNW983614:DNW983615 DXS983614:DXS983615 EHO983614:EHO983615 ERK983614:ERK983615 FBG983614:FBG983615 FLC983614:FLC983615 FUY983614:FUY983615 GEU983614:GEU983615 GOQ983614:GOQ983615 GYM983614:GYM983615 HII983614:HII983615 HSE983614:HSE983615 ICA983614:ICA983615 ILW983614:ILW983615 IVS983614:IVS983615 JFO983614:JFO983615 JPK983614:JPK983615 JZG983614:JZG983615 KJC983614:KJC983615 KSY983614:KSY983615 LCU983614:LCU983615 LMQ983614:LMQ983615 LWM983614:LWM983615 MGI983614:MGI983615 MQE983614:MQE983615 NAA983614:NAA983615 NJW983614:NJW983615 NTS983614:NTS983615 ODO983614:ODO983615 ONK983614:ONK983615 OXG983614:OXG983615 PHC983614:PHC983615 PQY983614:PQY983615 QAU983614:QAU983615 QKQ983614:QKQ983615 QUM983614:QUM983615 REI983614:REI983615 ROE983614:ROE983615 RYA983614:RYA983615 SHW983614:SHW983615 SRS983614:SRS983615 TBO983614:TBO983615 TLK983614:TLK983615 TVG983614:TVG983615 UFC983614:UFC983615 UOY983614:UOY983615 UYU983614:UYU983615 VIQ983614:VIQ983615 VSM983614:VSM983615 WCI983614:WCI983615 WME983614:WME983615 WWA983614:WWA983615 S588:S592 JO588:JO592 TK588:TK592 ADG588:ADG592 ANC588:ANC592 AWY588:AWY592 BGU588:BGU592 BQQ588:BQQ592 CAM588:CAM592 CKI588:CKI592 CUE588:CUE592 DEA588:DEA592 DNW588:DNW592 DXS588:DXS592 EHO588:EHO592 ERK588:ERK592 FBG588:FBG592 FLC588:FLC592 FUY588:FUY592 GEU588:GEU592 GOQ588:GOQ592 GYM588:GYM592 HII588:HII592 HSE588:HSE592 ICA588:ICA592 ILW588:ILW592 IVS588:IVS592 JFO588:JFO592 JPK588:JPK592 JZG588:JZG592 KJC588:KJC592 KSY588:KSY592 LCU588:LCU592 LMQ588:LMQ592 LWM588:LWM592 MGI588:MGI592 MQE588:MQE592 NAA588:NAA592 NJW588:NJW592 NTS588:NTS592 ODO588:ODO592 ONK588:ONK592 OXG588:OXG592 PHC588:PHC592 PQY588:PQY592 QAU588:QAU592 QKQ588:QKQ592 QUM588:QUM592 REI588:REI592 ROE588:ROE592 RYA588:RYA592 SHW588:SHW592 SRS588:SRS592 TBO588:TBO592 TLK588:TLK592 TVG588:TVG592 UFC588:UFC592 UOY588:UOY592 UYU588:UYU592 VIQ588:VIQ592 VSM588:VSM592 WCI588:WCI592 WME588:WME592 WWA588:WWA592 S66124:S66128 JO66124:JO66128 TK66124:TK66128 ADG66124:ADG66128 ANC66124:ANC66128 AWY66124:AWY66128 BGU66124:BGU66128 BQQ66124:BQQ66128 CAM66124:CAM66128 CKI66124:CKI66128 CUE66124:CUE66128 DEA66124:DEA66128 DNW66124:DNW66128 DXS66124:DXS66128 EHO66124:EHO66128 ERK66124:ERK66128 FBG66124:FBG66128 FLC66124:FLC66128 FUY66124:FUY66128 GEU66124:GEU66128 GOQ66124:GOQ66128 GYM66124:GYM66128 HII66124:HII66128 HSE66124:HSE66128 ICA66124:ICA66128 ILW66124:ILW66128 IVS66124:IVS66128 JFO66124:JFO66128 JPK66124:JPK66128 JZG66124:JZG66128 KJC66124:KJC66128 KSY66124:KSY66128 LCU66124:LCU66128 LMQ66124:LMQ66128 LWM66124:LWM66128 MGI66124:MGI66128 MQE66124:MQE66128 NAA66124:NAA66128 NJW66124:NJW66128 NTS66124:NTS66128 ODO66124:ODO66128 ONK66124:ONK66128 OXG66124:OXG66128 PHC66124:PHC66128 PQY66124:PQY66128 QAU66124:QAU66128 QKQ66124:QKQ66128 QUM66124:QUM66128 REI66124:REI66128 ROE66124:ROE66128 RYA66124:RYA66128 SHW66124:SHW66128 SRS66124:SRS66128 TBO66124:TBO66128 TLK66124:TLK66128 TVG66124:TVG66128 UFC66124:UFC66128 UOY66124:UOY66128 UYU66124:UYU66128 VIQ66124:VIQ66128 VSM66124:VSM66128 WCI66124:WCI66128 WME66124:WME66128 WWA66124:WWA66128 S131660:S131664 JO131660:JO131664 TK131660:TK131664 ADG131660:ADG131664 ANC131660:ANC131664 AWY131660:AWY131664 BGU131660:BGU131664 BQQ131660:BQQ131664 CAM131660:CAM131664 CKI131660:CKI131664 CUE131660:CUE131664 DEA131660:DEA131664 DNW131660:DNW131664 DXS131660:DXS131664 EHO131660:EHO131664 ERK131660:ERK131664 FBG131660:FBG131664 FLC131660:FLC131664 FUY131660:FUY131664 GEU131660:GEU131664 GOQ131660:GOQ131664 GYM131660:GYM131664 HII131660:HII131664 HSE131660:HSE131664 ICA131660:ICA131664 ILW131660:ILW131664 IVS131660:IVS131664 JFO131660:JFO131664 JPK131660:JPK131664 JZG131660:JZG131664 KJC131660:KJC131664 KSY131660:KSY131664 LCU131660:LCU131664 LMQ131660:LMQ131664 LWM131660:LWM131664 MGI131660:MGI131664 MQE131660:MQE131664 NAA131660:NAA131664 NJW131660:NJW131664 NTS131660:NTS131664 ODO131660:ODO131664 ONK131660:ONK131664 OXG131660:OXG131664 PHC131660:PHC131664 PQY131660:PQY131664 QAU131660:QAU131664 QKQ131660:QKQ131664 QUM131660:QUM131664 REI131660:REI131664 ROE131660:ROE131664 RYA131660:RYA131664 SHW131660:SHW131664 SRS131660:SRS131664 TBO131660:TBO131664 TLK131660:TLK131664 TVG131660:TVG131664 UFC131660:UFC131664 UOY131660:UOY131664 UYU131660:UYU131664 VIQ131660:VIQ131664 VSM131660:VSM131664 WCI131660:WCI131664 WME131660:WME131664 WWA131660:WWA131664 S197196:S197200 JO197196:JO197200 TK197196:TK197200 ADG197196:ADG197200 ANC197196:ANC197200 AWY197196:AWY197200 BGU197196:BGU197200 BQQ197196:BQQ197200 CAM197196:CAM197200 CKI197196:CKI197200 CUE197196:CUE197200 DEA197196:DEA197200 DNW197196:DNW197200 DXS197196:DXS197200 EHO197196:EHO197200 ERK197196:ERK197200 FBG197196:FBG197200 FLC197196:FLC197200 FUY197196:FUY197200 GEU197196:GEU197200 GOQ197196:GOQ197200 GYM197196:GYM197200 HII197196:HII197200 HSE197196:HSE197200 ICA197196:ICA197200 ILW197196:ILW197200 IVS197196:IVS197200 JFO197196:JFO197200 JPK197196:JPK197200 JZG197196:JZG197200 KJC197196:KJC197200 KSY197196:KSY197200 LCU197196:LCU197200 LMQ197196:LMQ197200 LWM197196:LWM197200 MGI197196:MGI197200 MQE197196:MQE197200 NAA197196:NAA197200 NJW197196:NJW197200 NTS197196:NTS197200 ODO197196:ODO197200 ONK197196:ONK197200 OXG197196:OXG197200 PHC197196:PHC197200 PQY197196:PQY197200 QAU197196:QAU197200 QKQ197196:QKQ197200 QUM197196:QUM197200 REI197196:REI197200 ROE197196:ROE197200 RYA197196:RYA197200 SHW197196:SHW197200 SRS197196:SRS197200 TBO197196:TBO197200 TLK197196:TLK197200 TVG197196:TVG197200 UFC197196:UFC197200 UOY197196:UOY197200 UYU197196:UYU197200 VIQ197196:VIQ197200 VSM197196:VSM197200 WCI197196:WCI197200 WME197196:WME197200 WWA197196:WWA197200 S262732:S262736 JO262732:JO262736 TK262732:TK262736 ADG262732:ADG262736 ANC262732:ANC262736 AWY262732:AWY262736 BGU262732:BGU262736 BQQ262732:BQQ262736 CAM262732:CAM262736 CKI262732:CKI262736 CUE262732:CUE262736 DEA262732:DEA262736 DNW262732:DNW262736 DXS262732:DXS262736 EHO262732:EHO262736 ERK262732:ERK262736 FBG262732:FBG262736 FLC262732:FLC262736 FUY262732:FUY262736 GEU262732:GEU262736 GOQ262732:GOQ262736 GYM262732:GYM262736 HII262732:HII262736 HSE262732:HSE262736 ICA262732:ICA262736 ILW262732:ILW262736 IVS262732:IVS262736 JFO262732:JFO262736 JPK262732:JPK262736 JZG262732:JZG262736 KJC262732:KJC262736 KSY262732:KSY262736 LCU262732:LCU262736 LMQ262732:LMQ262736 LWM262732:LWM262736 MGI262732:MGI262736 MQE262732:MQE262736 NAA262732:NAA262736 NJW262732:NJW262736 NTS262732:NTS262736 ODO262732:ODO262736 ONK262732:ONK262736 OXG262732:OXG262736 PHC262732:PHC262736 PQY262732:PQY262736 QAU262732:QAU262736 QKQ262732:QKQ262736 QUM262732:QUM262736 REI262732:REI262736 ROE262732:ROE262736 RYA262732:RYA262736 SHW262732:SHW262736 SRS262732:SRS262736 TBO262732:TBO262736 TLK262732:TLK262736 TVG262732:TVG262736 UFC262732:UFC262736 UOY262732:UOY262736 UYU262732:UYU262736 VIQ262732:VIQ262736 VSM262732:VSM262736 WCI262732:WCI262736 WME262732:WME262736 WWA262732:WWA262736 S328268:S328272 JO328268:JO328272 TK328268:TK328272 ADG328268:ADG328272 ANC328268:ANC328272 AWY328268:AWY328272 BGU328268:BGU328272 BQQ328268:BQQ328272 CAM328268:CAM328272 CKI328268:CKI328272 CUE328268:CUE328272 DEA328268:DEA328272 DNW328268:DNW328272 DXS328268:DXS328272 EHO328268:EHO328272 ERK328268:ERK328272 FBG328268:FBG328272 FLC328268:FLC328272 FUY328268:FUY328272 GEU328268:GEU328272 GOQ328268:GOQ328272 GYM328268:GYM328272 HII328268:HII328272 HSE328268:HSE328272 ICA328268:ICA328272 ILW328268:ILW328272 IVS328268:IVS328272 JFO328268:JFO328272 JPK328268:JPK328272 JZG328268:JZG328272 KJC328268:KJC328272 KSY328268:KSY328272 LCU328268:LCU328272 LMQ328268:LMQ328272 LWM328268:LWM328272 MGI328268:MGI328272 MQE328268:MQE328272 NAA328268:NAA328272 NJW328268:NJW328272 NTS328268:NTS328272 ODO328268:ODO328272 ONK328268:ONK328272 OXG328268:OXG328272 PHC328268:PHC328272 PQY328268:PQY328272 QAU328268:QAU328272 QKQ328268:QKQ328272 QUM328268:QUM328272 REI328268:REI328272 ROE328268:ROE328272 RYA328268:RYA328272 SHW328268:SHW328272 SRS328268:SRS328272 TBO328268:TBO328272 TLK328268:TLK328272 TVG328268:TVG328272 UFC328268:UFC328272 UOY328268:UOY328272 UYU328268:UYU328272 VIQ328268:VIQ328272 VSM328268:VSM328272 WCI328268:WCI328272 WME328268:WME328272 WWA328268:WWA328272 S393804:S393808 JO393804:JO393808 TK393804:TK393808 ADG393804:ADG393808 ANC393804:ANC393808 AWY393804:AWY393808 BGU393804:BGU393808 BQQ393804:BQQ393808 CAM393804:CAM393808 CKI393804:CKI393808 CUE393804:CUE393808 DEA393804:DEA393808 DNW393804:DNW393808 DXS393804:DXS393808 EHO393804:EHO393808 ERK393804:ERK393808 FBG393804:FBG393808 FLC393804:FLC393808 FUY393804:FUY393808 GEU393804:GEU393808 GOQ393804:GOQ393808 GYM393804:GYM393808 HII393804:HII393808 HSE393804:HSE393808 ICA393804:ICA393808 ILW393804:ILW393808 IVS393804:IVS393808 JFO393804:JFO393808 JPK393804:JPK393808 JZG393804:JZG393808 KJC393804:KJC393808 KSY393804:KSY393808 LCU393804:LCU393808 LMQ393804:LMQ393808 LWM393804:LWM393808 MGI393804:MGI393808 MQE393804:MQE393808 NAA393804:NAA393808 NJW393804:NJW393808 NTS393804:NTS393808 ODO393804:ODO393808 ONK393804:ONK393808 OXG393804:OXG393808 PHC393804:PHC393808 PQY393804:PQY393808 QAU393804:QAU393808 QKQ393804:QKQ393808 QUM393804:QUM393808 REI393804:REI393808 ROE393804:ROE393808 RYA393804:RYA393808 SHW393804:SHW393808 SRS393804:SRS393808 TBO393804:TBO393808 TLK393804:TLK393808 TVG393804:TVG393808 UFC393804:UFC393808 UOY393804:UOY393808 UYU393804:UYU393808 VIQ393804:VIQ393808 VSM393804:VSM393808 WCI393804:WCI393808 WME393804:WME393808 WWA393804:WWA393808 S459340:S459344 JO459340:JO459344 TK459340:TK459344 ADG459340:ADG459344 ANC459340:ANC459344 AWY459340:AWY459344 BGU459340:BGU459344 BQQ459340:BQQ459344 CAM459340:CAM459344 CKI459340:CKI459344 CUE459340:CUE459344 DEA459340:DEA459344 DNW459340:DNW459344 DXS459340:DXS459344 EHO459340:EHO459344 ERK459340:ERK459344 FBG459340:FBG459344 FLC459340:FLC459344 FUY459340:FUY459344 GEU459340:GEU459344 GOQ459340:GOQ459344 GYM459340:GYM459344 HII459340:HII459344 HSE459340:HSE459344 ICA459340:ICA459344 ILW459340:ILW459344 IVS459340:IVS459344 JFO459340:JFO459344 JPK459340:JPK459344 JZG459340:JZG459344 KJC459340:KJC459344 KSY459340:KSY459344 LCU459340:LCU459344 LMQ459340:LMQ459344 LWM459340:LWM459344 MGI459340:MGI459344 MQE459340:MQE459344 NAA459340:NAA459344 NJW459340:NJW459344 NTS459340:NTS459344 ODO459340:ODO459344 ONK459340:ONK459344 OXG459340:OXG459344 PHC459340:PHC459344 PQY459340:PQY459344 QAU459340:QAU459344 QKQ459340:QKQ459344 QUM459340:QUM459344 REI459340:REI459344 ROE459340:ROE459344 RYA459340:RYA459344 SHW459340:SHW459344 SRS459340:SRS459344 TBO459340:TBO459344 TLK459340:TLK459344 TVG459340:TVG459344 UFC459340:UFC459344 UOY459340:UOY459344 UYU459340:UYU459344 VIQ459340:VIQ459344 VSM459340:VSM459344 WCI459340:WCI459344 WME459340:WME459344 WWA459340:WWA459344 S524876:S524880 JO524876:JO524880 TK524876:TK524880 ADG524876:ADG524880 ANC524876:ANC524880 AWY524876:AWY524880 BGU524876:BGU524880 BQQ524876:BQQ524880 CAM524876:CAM524880 CKI524876:CKI524880 CUE524876:CUE524880 DEA524876:DEA524880 DNW524876:DNW524880 DXS524876:DXS524880 EHO524876:EHO524880 ERK524876:ERK524880 FBG524876:FBG524880 FLC524876:FLC524880 FUY524876:FUY524880 GEU524876:GEU524880 GOQ524876:GOQ524880 GYM524876:GYM524880 HII524876:HII524880 HSE524876:HSE524880 ICA524876:ICA524880 ILW524876:ILW524880 IVS524876:IVS524880 JFO524876:JFO524880 JPK524876:JPK524880 JZG524876:JZG524880 KJC524876:KJC524880 KSY524876:KSY524880 LCU524876:LCU524880 LMQ524876:LMQ524880 LWM524876:LWM524880 MGI524876:MGI524880 MQE524876:MQE524880 NAA524876:NAA524880 NJW524876:NJW524880 NTS524876:NTS524880 ODO524876:ODO524880 ONK524876:ONK524880 OXG524876:OXG524880 PHC524876:PHC524880 PQY524876:PQY524880 QAU524876:QAU524880 QKQ524876:QKQ524880 QUM524876:QUM524880 REI524876:REI524880 ROE524876:ROE524880 RYA524876:RYA524880 SHW524876:SHW524880 SRS524876:SRS524880 TBO524876:TBO524880 TLK524876:TLK524880 TVG524876:TVG524880 UFC524876:UFC524880 UOY524876:UOY524880 UYU524876:UYU524880 VIQ524876:VIQ524880 VSM524876:VSM524880 WCI524876:WCI524880 WME524876:WME524880 WWA524876:WWA524880 S590412:S590416 JO590412:JO590416 TK590412:TK590416 ADG590412:ADG590416 ANC590412:ANC590416 AWY590412:AWY590416 BGU590412:BGU590416 BQQ590412:BQQ590416 CAM590412:CAM590416 CKI590412:CKI590416 CUE590412:CUE590416 DEA590412:DEA590416 DNW590412:DNW590416 DXS590412:DXS590416 EHO590412:EHO590416 ERK590412:ERK590416 FBG590412:FBG590416 FLC590412:FLC590416 FUY590412:FUY590416 GEU590412:GEU590416 GOQ590412:GOQ590416 GYM590412:GYM590416 HII590412:HII590416 HSE590412:HSE590416 ICA590412:ICA590416 ILW590412:ILW590416 IVS590412:IVS590416 JFO590412:JFO590416 JPK590412:JPK590416 JZG590412:JZG590416 KJC590412:KJC590416 KSY590412:KSY590416 LCU590412:LCU590416 LMQ590412:LMQ590416 LWM590412:LWM590416 MGI590412:MGI590416 MQE590412:MQE590416 NAA590412:NAA590416 NJW590412:NJW590416 NTS590412:NTS590416 ODO590412:ODO590416 ONK590412:ONK590416 OXG590412:OXG590416 PHC590412:PHC590416 PQY590412:PQY590416 QAU590412:QAU590416 QKQ590412:QKQ590416 QUM590412:QUM590416 REI590412:REI590416 ROE590412:ROE590416 RYA590412:RYA590416 SHW590412:SHW590416 SRS590412:SRS590416 TBO590412:TBO590416 TLK590412:TLK590416 TVG590412:TVG590416 UFC590412:UFC590416 UOY590412:UOY590416 UYU590412:UYU590416 VIQ590412:VIQ590416 VSM590412:VSM590416 WCI590412:WCI590416 WME590412:WME590416 WWA590412:WWA590416 S655948:S655952 JO655948:JO655952 TK655948:TK655952 ADG655948:ADG655952 ANC655948:ANC655952 AWY655948:AWY655952 BGU655948:BGU655952 BQQ655948:BQQ655952 CAM655948:CAM655952 CKI655948:CKI655952 CUE655948:CUE655952 DEA655948:DEA655952 DNW655948:DNW655952 DXS655948:DXS655952 EHO655948:EHO655952 ERK655948:ERK655952 FBG655948:FBG655952 FLC655948:FLC655952 FUY655948:FUY655952 GEU655948:GEU655952 GOQ655948:GOQ655952 GYM655948:GYM655952 HII655948:HII655952 HSE655948:HSE655952 ICA655948:ICA655952 ILW655948:ILW655952 IVS655948:IVS655952 JFO655948:JFO655952 JPK655948:JPK655952 JZG655948:JZG655952 KJC655948:KJC655952 KSY655948:KSY655952 LCU655948:LCU655952 LMQ655948:LMQ655952 LWM655948:LWM655952 MGI655948:MGI655952 MQE655948:MQE655952 NAA655948:NAA655952 NJW655948:NJW655952 NTS655948:NTS655952 ODO655948:ODO655952 ONK655948:ONK655952 OXG655948:OXG655952 PHC655948:PHC655952 PQY655948:PQY655952 QAU655948:QAU655952 QKQ655948:QKQ655952 QUM655948:QUM655952 REI655948:REI655952 ROE655948:ROE655952 RYA655948:RYA655952 SHW655948:SHW655952 SRS655948:SRS655952 TBO655948:TBO655952 TLK655948:TLK655952 TVG655948:TVG655952 UFC655948:UFC655952 UOY655948:UOY655952 UYU655948:UYU655952 VIQ655948:VIQ655952 VSM655948:VSM655952 WCI655948:WCI655952 WME655948:WME655952 WWA655948:WWA655952 S721484:S721488 JO721484:JO721488 TK721484:TK721488 ADG721484:ADG721488 ANC721484:ANC721488 AWY721484:AWY721488 BGU721484:BGU721488 BQQ721484:BQQ721488 CAM721484:CAM721488 CKI721484:CKI721488 CUE721484:CUE721488 DEA721484:DEA721488 DNW721484:DNW721488 DXS721484:DXS721488 EHO721484:EHO721488 ERK721484:ERK721488 FBG721484:FBG721488 FLC721484:FLC721488 FUY721484:FUY721488 GEU721484:GEU721488 GOQ721484:GOQ721488 GYM721484:GYM721488 HII721484:HII721488 HSE721484:HSE721488 ICA721484:ICA721488 ILW721484:ILW721488 IVS721484:IVS721488 JFO721484:JFO721488 JPK721484:JPK721488 JZG721484:JZG721488 KJC721484:KJC721488 KSY721484:KSY721488 LCU721484:LCU721488 LMQ721484:LMQ721488 LWM721484:LWM721488 MGI721484:MGI721488 MQE721484:MQE721488 NAA721484:NAA721488 NJW721484:NJW721488 NTS721484:NTS721488 ODO721484:ODO721488 ONK721484:ONK721488 OXG721484:OXG721488 PHC721484:PHC721488 PQY721484:PQY721488 QAU721484:QAU721488 QKQ721484:QKQ721488 QUM721484:QUM721488 REI721484:REI721488 ROE721484:ROE721488 RYA721484:RYA721488 SHW721484:SHW721488 SRS721484:SRS721488 TBO721484:TBO721488 TLK721484:TLK721488 TVG721484:TVG721488 UFC721484:UFC721488 UOY721484:UOY721488 UYU721484:UYU721488 VIQ721484:VIQ721488 VSM721484:VSM721488 WCI721484:WCI721488 WME721484:WME721488 WWA721484:WWA721488 S787020:S787024 JO787020:JO787024 TK787020:TK787024 ADG787020:ADG787024 ANC787020:ANC787024 AWY787020:AWY787024 BGU787020:BGU787024 BQQ787020:BQQ787024 CAM787020:CAM787024 CKI787020:CKI787024 CUE787020:CUE787024 DEA787020:DEA787024 DNW787020:DNW787024 DXS787020:DXS787024 EHO787020:EHO787024 ERK787020:ERK787024 FBG787020:FBG787024 FLC787020:FLC787024 FUY787020:FUY787024 GEU787020:GEU787024 GOQ787020:GOQ787024 GYM787020:GYM787024 HII787020:HII787024 HSE787020:HSE787024 ICA787020:ICA787024 ILW787020:ILW787024 IVS787020:IVS787024 JFO787020:JFO787024 JPK787020:JPK787024 JZG787020:JZG787024 KJC787020:KJC787024 KSY787020:KSY787024 LCU787020:LCU787024 LMQ787020:LMQ787024 LWM787020:LWM787024 MGI787020:MGI787024 MQE787020:MQE787024 NAA787020:NAA787024 NJW787020:NJW787024 NTS787020:NTS787024 ODO787020:ODO787024 ONK787020:ONK787024 OXG787020:OXG787024 PHC787020:PHC787024 PQY787020:PQY787024 QAU787020:QAU787024 QKQ787020:QKQ787024 QUM787020:QUM787024 REI787020:REI787024 ROE787020:ROE787024 RYA787020:RYA787024 SHW787020:SHW787024 SRS787020:SRS787024 TBO787020:TBO787024 TLK787020:TLK787024 TVG787020:TVG787024 UFC787020:UFC787024 UOY787020:UOY787024 UYU787020:UYU787024 VIQ787020:VIQ787024 VSM787020:VSM787024 WCI787020:WCI787024 WME787020:WME787024 WWA787020:WWA787024 S852556:S852560 JO852556:JO852560 TK852556:TK852560 ADG852556:ADG852560 ANC852556:ANC852560 AWY852556:AWY852560 BGU852556:BGU852560 BQQ852556:BQQ852560 CAM852556:CAM852560 CKI852556:CKI852560 CUE852556:CUE852560 DEA852556:DEA852560 DNW852556:DNW852560 DXS852556:DXS852560 EHO852556:EHO852560 ERK852556:ERK852560 FBG852556:FBG852560 FLC852556:FLC852560 FUY852556:FUY852560 GEU852556:GEU852560 GOQ852556:GOQ852560 GYM852556:GYM852560 HII852556:HII852560 HSE852556:HSE852560 ICA852556:ICA852560 ILW852556:ILW852560 IVS852556:IVS852560 JFO852556:JFO852560 JPK852556:JPK852560 JZG852556:JZG852560 KJC852556:KJC852560 KSY852556:KSY852560 LCU852556:LCU852560 LMQ852556:LMQ852560 LWM852556:LWM852560 MGI852556:MGI852560 MQE852556:MQE852560 NAA852556:NAA852560 NJW852556:NJW852560 NTS852556:NTS852560 ODO852556:ODO852560 ONK852556:ONK852560 OXG852556:OXG852560 PHC852556:PHC852560 PQY852556:PQY852560 QAU852556:QAU852560 QKQ852556:QKQ852560 QUM852556:QUM852560 REI852556:REI852560 ROE852556:ROE852560 RYA852556:RYA852560 SHW852556:SHW852560 SRS852556:SRS852560 TBO852556:TBO852560 TLK852556:TLK852560 TVG852556:TVG852560 UFC852556:UFC852560 UOY852556:UOY852560 UYU852556:UYU852560 VIQ852556:VIQ852560 VSM852556:VSM852560 WCI852556:WCI852560 WME852556:WME852560 WWA852556:WWA852560 S918092:S918096 JO918092:JO918096 TK918092:TK918096 ADG918092:ADG918096 ANC918092:ANC918096 AWY918092:AWY918096 BGU918092:BGU918096 BQQ918092:BQQ918096 CAM918092:CAM918096 CKI918092:CKI918096 CUE918092:CUE918096 DEA918092:DEA918096 DNW918092:DNW918096 DXS918092:DXS918096 EHO918092:EHO918096 ERK918092:ERK918096 FBG918092:FBG918096 FLC918092:FLC918096 FUY918092:FUY918096 GEU918092:GEU918096 GOQ918092:GOQ918096 GYM918092:GYM918096 HII918092:HII918096 HSE918092:HSE918096 ICA918092:ICA918096 ILW918092:ILW918096 IVS918092:IVS918096 JFO918092:JFO918096 JPK918092:JPK918096 JZG918092:JZG918096 KJC918092:KJC918096 KSY918092:KSY918096 LCU918092:LCU918096 LMQ918092:LMQ918096 LWM918092:LWM918096 MGI918092:MGI918096 MQE918092:MQE918096 NAA918092:NAA918096 NJW918092:NJW918096 NTS918092:NTS918096 ODO918092:ODO918096 ONK918092:ONK918096 OXG918092:OXG918096 PHC918092:PHC918096 PQY918092:PQY918096 QAU918092:QAU918096 QKQ918092:QKQ918096 QUM918092:QUM918096 REI918092:REI918096 ROE918092:ROE918096 RYA918092:RYA918096 SHW918092:SHW918096 SRS918092:SRS918096 TBO918092:TBO918096 TLK918092:TLK918096 TVG918092:TVG918096 UFC918092:UFC918096 UOY918092:UOY918096 UYU918092:UYU918096 VIQ918092:VIQ918096 VSM918092:VSM918096 WCI918092:WCI918096 WME918092:WME918096 WWA918092:WWA918096 S983628:S983632 JO983628:JO983632 TK983628:TK983632 ADG983628:ADG983632 ANC983628:ANC983632 AWY983628:AWY983632 BGU983628:BGU983632 BQQ983628:BQQ983632 CAM983628:CAM983632 CKI983628:CKI983632 CUE983628:CUE983632 DEA983628:DEA983632 DNW983628:DNW983632 DXS983628:DXS983632 EHO983628:EHO983632 ERK983628:ERK983632 FBG983628:FBG983632 FLC983628:FLC983632 FUY983628:FUY983632 GEU983628:GEU983632 GOQ983628:GOQ983632 GYM983628:GYM983632 HII983628:HII983632 HSE983628:HSE983632 ICA983628:ICA983632 ILW983628:ILW983632 IVS983628:IVS983632 JFO983628:JFO983632 JPK983628:JPK983632 JZG983628:JZG983632 KJC983628:KJC983632 KSY983628:KSY983632 LCU983628:LCU983632 LMQ983628:LMQ983632 LWM983628:LWM983632 MGI983628:MGI983632 MQE983628:MQE983632 NAA983628:NAA983632 NJW983628:NJW983632 NTS983628:NTS983632 ODO983628:ODO983632 ONK983628:ONK983632 OXG983628:OXG983632 PHC983628:PHC983632 PQY983628:PQY983632 QAU983628:QAU983632 QKQ983628:QKQ983632 QUM983628:QUM983632 REI983628:REI983632 ROE983628:ROE983632 RYA983628:RYA983632 SHW983628:SHW983632 SRS983628:SRS983632 TBO983628:TBO983632 TLK983628:TLK983632 TVG983628:TVG983632 UFC983628:UFC983632 UOY983628:UOY983632 UYU983628:UYU983632 VIQ983628:VIQ983632 VSM983628:VSM983632 WCI983628:WCI983632 WME983628:WME983632 WWA983628:WWA983632 S462 JO462 TK462 ADG462 ANC462 AWY462 BGU462 BQQ462 CAM462 CKI462 CUE462 DEA462 DNW462 DXS462 EHO462 ERK462 FBG462 FLC462 FUY462 GEU462 GOQ462 GYM462 HII462 HSE462 ICA462 ILW462 IVS462 JFO462 JPK462 JZG462 KJC462 KSY462 LCU462 LMQ462 LWM462 MGI462 MQE462 NAA462 NJW462 NTS462 ODO462 ONK462 OXG462 PHC462 PQY462 QAU462 QKQ462 QUM462 REI462 ROE462 RYA462 SHW462 SRS462 TBO462 TLK462 TVG462 UFC462 UOY462 UYU462 VIQ462 VSM462 WCI462 WME462 WWA462 S65998 JO65998 TK65998 ADG65998 ANC65998 AWY65998 BGU65998 BQQ65998 CAM65998 CKI65998 CUE65998 DEA65998 DNW65998 DXS65998 EHO65998 ERK65998 FBG65998 FLC65998 FUY65998 GEU65998 GOQ65998 GYM65998 HII65998 HSE65998 ICA65998 ILW65998 IVS65998 JFO65998 JPK65998 JZG65998 KJC65998 KSY65998 LCU65998 LMQ65998 LWM65998 MGI65998 MQE65998 NAA65998 NJW65998 NTS65998 ODO65998 ONK65998 OXG65998 PHC65998 PQY65998 QAU65998 QKQ65998 QUM65998 REI65998 ROE65998 RYA65998 SHW65998 SRS65998 TBO65998 TLK65998 TVG65998 UFC65998 UOY65998 UYU65998 VIQ65998 VSM65998 WCI65998 WME65998 WWA65998 S131534 JO131534 TK131534 ADG131534 ANC131534 AWY131534 BGU131534 BQQ131534 CAM131534 CKI131534 CUE131534 DEA131534 DNW131534 DXS131534 EHO131534 ERK131534 FBG131534 FLC131534 FUY131534 GEU131534 GOQ131534 GYM131534 HII131534 HSE131534 ICA131534 ILW131534 IVS131534 JFO131534 JPK131534 JZG131534 KJC131534 KSY131534 LCU131534 LMQ131534 LWM131534 MGI131534 MQE131534 NAA131534 NJW131534 NTS131534 ODO131534 ONK131534 OXG131534 PHC131534 PQY131534 QAU131534 QKQ131534 QUM131534 REI131534 ROE131534 RYA131534 SHW131534 SRS131534 TBO131534 TLK131534 TVG131534 UFC131534 UOY131534 UYU131534 VIQ131534 VSM131534 WCI131534 WME131534 WWA131534 S197070 JO197070 TK197070 ADG197070 ANC197070 AWY197070 BGU197070 BQQ197070 CAM197070 CKI197070 CUE197070 DEA197070 DNW197070 DXS197070 EHO197070 ERK197070 FBG197070 FLC197070 FUY197070 GEU197070 GOQ197070 GYM197070 HII197070 HSE197070 ICA197070 ILW197070 IVS197070 JFO197070 JPK197070 JZG197070 KJC197070 KSY197070 LCU197070 LMQ197070 LWM197070 MGI197070 MQE197070 NAA197070 NJW197070 NTS197070 ODO197070 ONK197070 OXG197070 PHC197070 PQY197070 QAU197070 QKQ197070 QUM197070 REI197070 ROE197070 RYA197070 SHW197070 SRS197070 TBO197070 TLK197070 TVG197070 UFC197070 UOY197070 UYU197070 VIQ197070 VSM197070 WCI197070 WME197070 WWA197070 S262606 JO262606 TK262606 ADG262606 ANC262606 AWY262606 BGU262606 BQQ262606 CAM262606 CKI262606 CUE262606 DEA262606 DNW262606 DXS262606 EHO262606 ERK262606 FBG262606 FLC262606 FUY262606 GEU262606 GOQ262606 GYM262606 HII262606 HSE262606 ICA262606 ILW262606 IVS262606 JFO262606 JPK262606 JZG262606 KJC262606 KSY262606 LCU262606 LMQ262606 LWM262606 MGI262606 MQE262606 NAA262606 NJW262606 NTS262606 ODO262606 ONK262606 OXG262606 PHC262606 PQY262606 QAU262606 QKQ262606 QUM262606 REI262606 ROE262606 RYA262606 SHW262606 SRS262606 TBO262606 TLK262606 TVG262606 UFC262606 UOY262606 UYU262606 VIQ262606 VSM262606 WCI262606 WME262606 WWA262606 S328142 JO328142 TK328142 ADG328142 ANC328142 AWY328142 BGU328142 BQQ328142 CAM328142 CKI328142 CUE328142 DEA328142 DNW328142 DXS328142 EHO328142 ERK328142 FBG328142 FLC328142 FUY328142 GEU328142 GOQ328142 GYM328142 HII328142 HSE328142 ICA328142 ILW328142 IVS328142 JFO328142 JPK328142 JZG328142 KJC328142 KSY328142 LCU328142 LMQ328142 LWM328142 MGI328142 MQE328142 NAA328142 NJW328142 NTS328142 ODO328142 ONK328142 OXG328142 PHC328142 PQY328142 QAU328142 QKQ328142 QUM328142 REI328142 ROE328142 RYA328142 SHW328142 SRS328142 TBO328142 TLK328142 TVG328142 UFC328142 UOY328142 UYU328142 VIQ328142 VSM328142 WCI328142 WME328142 WWA328142 S393678 JO393678 TK393678 ADG393678 ANC393678 AWY393678 BGU393678 BQQ393678 CAM393678 CKI393678 CUE393678 DEA393678 DNW393678 DXS393678 EHO393678 ERK393678 FBG393678 FLC393678 FUY393678 GEU393678 GOQ393678 GYM393678 HII393678 HSE393678 ICA393678 ILW393678 IVS393678 JFO393678 JPK393678 JZG393678 KJC393678 KSY393678 LCU393678 LMQ393678 LWM393678 MGI393678 MQE393678 NAA393678 NJW393678 NTS393678 ODO393678 ONK393678 OXG393678 PHC393678 PQY393678 QAU393678 QKQ393678 QUM393678 REI393678 ROE393678 RYA393678 SHW393678 SRS393678 TBO393678 TLK393678 TVG393678 UFC393678 UOY393678 UYU393678 VIQ393678 VSM393678 WCI393678 WME393678 WWA393678 S459214 JO459214 TK459214 ADG459214 ANC459214 AWY459214 BGU459214 BQQ459214 CAM459214 CKI459214 CUE459214 DEA459214 DNW459214 DXS459214 EHO459214 ERK459214 FBG459214 FLC459214 FUY459214 GEU459214 GOQ459214 GYM459214 HII459214 HSE459214 ICA459214 ILW459214 IVS459214 JFO459214 JPK459214 JZG459214 KJC459214 KSY459214 LCU459214 LMQ459214 LWM459214 MGI459214 MQE459214 NAA459214 NJW459214 NTS459214 ODO459214 ONK459214 OXG459214 PHC459214 PQY459214 QAU459214 QKQ459214 QUM459214 REI459214 ROE459214 RYA459214 SHW459214 SRS459214 TBO459214 TLK459214 TVG459214 UFC459214 UOY459214 UYU459214 VIQ459214 VSM459214 WCI459214 WME459214 WWA459214 S524750 JO524750 TK524750 ADG524750 ANC524750 AWY524750 BGU524750 BQQ524750 CAM524750 CKI524750 CUE524750 DEA524750 DNW524750 DXS524750 EHO524750 ERK524750 FBG524750 FLC524750 FUY524750 GEU524750 GOQ524750 GYM524750 HII524750 HSE524750 ICA524750 ILW524750 IVS524750 JFO524750 JPK524750 JZG524750 KJC524750 KSY524750 LCU524750 LMQ524750 LWM524750 MGI524750 MQE524750 NAA524750 NJW524750 NTS524750 ODO524750 ONK524750 OXG524750 PHC524750 PQY524750 QAU524750 QKQ524750 QUM524750 REI524750 ROE524750 RYA524750 SHW524750 SRS524750 TBO524750 TLK524750 TVG524750 UFC524750 UOY524750 UYU524750 VIQ524750 VSM524750 WCI524750 WME524750 WWA524750 S590286 JO590286 TK590286 ADG590286 ANC590286 AWY590286 BGU590286 BQQ590286 CAM590286 CKI590286 CUE590286 DEA590286 DNW590286 DXS590286 EHO590286 ERK590286 FBG590286 FLC590286 FUY590286 GEU590286 GOQ590286 GYM590286 HII590286 HSE590286 ICA590286 ILW590286 IVS590286 JFO590286 JPK590286 JZG590286 KJC590286 KSY590286 LCU590286 LMQ590286 LWM590286 MGI590286 MQE590286 NAA590286 NJW590286 NTS590286 ODO590286 ONK590286 OXG590286 PHC590286 PQY590286 QAU590286 QKQ590286 QUM590286 REI590286 ROE590286 RYA590286 SHW590286 SRS590286 TBO590286 TLK590286 TVG590286 UFC590286 UOY590286 UYU590286 VIQ590286 VSM590286 WCI590286 WME590286 WWA590286 S655822 JO655822 TK655822 ADG655822 ANC655822 AWY655822 BGU655822 BQQ655822 CAM655822 CKI655822 CUE655822 DEA655822 DNW655822 DXS655822 EHO655822 ERK655822 FBG655822 FLC655822 FUY655822 GEU655822 GOQ655822 GYM655822 HII655822 HSE655822 ICA655822 ILW655822 IVS655822 JFO655822 JPK655822 JZG655822 KJC655822 KSY655822 LCU655822 LMQ655822 LWM655822 MGI655822 MQE655822 NAA655822 NJW655822 NTS655822 ODO655822 ONK655822 OXG655822 PHC655822 PQY655822 QAU655822 QKQ655822 QUM655822 REI655822 ROE655822 RYA655822 SHW655822 SRS655822 TBO655822 TLK655822 TVG655822 UFC655822 UOY655822 UYU655822 VIQ655822 VSM655822 WCI655822 WME655822 WWA655822 S721358 JO721358 TK721358 ADG721358 ANC721358 AWY721358 BGU721358 BQQ721358 CAM721358 CKI721358 CUE721358 DEA721358 DNW721358 DXS721358 EHO721358 ERK721358 FBG721358 FLC721358 FUY721358 GEU721358 GOQ721358 GYM721358 HII721358 HSE721358 ICA721358 ILW721358 IVS721358 JFO721358 JPK721358 JZG721358 KJC721358 KSY721358 LCU721358 LMQ721358 LWM721358 MGI721358 MQE721358 NAA721358 NJW721358 NTS721358 ODO721358 ONK721358 OXG721358 PHC721358 PQY721358 QAU721358 QKQ721358 QUM721358 REI721358 ROE721358 RYA721358 SHW721358 SRS721358 TBO721358 TLK721358 TVG721358 UFC721358 UOY721358 UYU721358 VIQ721358 VSM721358 WCI721358 WME721358 WWA721358 S786894 JO786894 TK786894 ADG786894 ANC786894 AWY786894 BGU786894 BQQ786894 CAM786894 CKI786894 CUE786894 DEA786894 DNW786894 DXS786894 EHO786894 ERK786894 FBG786894 FLC786894 FUY786894 GEU786894 GOQ786894 GYM786894 HII786894 HSE786894 ICA786894 ILW786894 IVS786894 JFO786894 JPK786894 JZG786894 KJC786894 KSY786894 LCU786894 LMQ786894 LWM786894 MGI786894 MQE786894 NAA786894 NJW786894 NTS786894 ODO786894 ONK786894 OXG786894 PHC786894 PQY786894 QAU786894 QKQ786894 QUM786894 REI786894 ROE786894 RYA786894 SHW786894 SRS786894 TBO786894 TLK786894 TVG786894 UFC786894 UOY786894 UYU786894 VIQ786894 VSM786894 WCI786894 WME786894 WWA786894 S852430 JO852430 TK852430 ADG852430 ANC852430 AWY852430 BGU852430 BQQ852430 CAM852430 CKI852430 CUE852430 DEA852430 DNW852430 DXS852430 EHO852430 ERK852430 FBG852430 FLC852430 FUY852430 GEU852430 GOQ852430 GYM852430 HII852430 HSE852430 ICA852430 ILW852430 IVS852430 JFO852430 JPK852430 JZG852430 KJC852430 KSY852430 LCU852430 LMQ852430 LWM852430 MGI852430 MQE852430 NAA852430 NJW852430 NTS852430 ODO852430 ONK852430 OXG852430 PHC852430 PQY852430 QAU852430 QKQ852430 QUM852430 REI852430 ROE852430 RYA852430 SHW852430 SRS852430 TBO852430 TLK852430 TVG852430 UFC852430 UOY852430 UYU852430 VIQ852430 VSM852430 WCI852430 WME852430 WWA852430 S917966 JO917966 TK917966 ADG917966 ANC917966 AWY917966 BGU917966 BQQ917966 CAM917966 CKI917966 CUE917966 DEA917966 DNW917966 DXS917966 EHO917966 ERK917966 FBG917966 FLC917966 FUY917966 GEU917966 GOQ917966 GYM917966 HII917966 HSE917966 ICA917966 ILW917966 IVS917966 JFO917966 JPK917966 JZG917966 KJC917966 KSY917966 LCU917966 LMQ917966 LWM917966 MGI917966 MQE917966 NAA917966 NJW917966 NTS917966 ODO917966 ONK917966 OXG917966 PHC917966 PQY917966 QAU917966 QKQ917966 QUM917966 REI917966 ROE917966 RYA917966 SHW917966 SRS917966 TBO917966 TLK917966 TVG917966 UFC917966 UOY917966 UYU917966 VIQ917966 VSM917966 WCI917966 WME917966 WWA917966 S983502 JO983502 TK983502 ADG983502 ANC983502 AWY983502 BGU983502 BQQ983502 CAM983502 CKI983502 CUE983502 DEA983502 DNW983502 DXS983502 EHO983502 ERK983502 FBG983502 FLC983502 FUY983502 GEU983502 GOQ983502 GYM983502 HII983502 HSE983502 ICA983502 ILW983502 IVS983502 JFO983502 JPK983502 JZG983502 KJC983502 KSY983502 LCU983502 LMQ983502 LWM983502 MGI983502 MQE983502 NAA983502 NJW983502 NTS983502 ODO983502 ONK983502 OXG983502 PHC983502 PQY983502 QAU983502 QKQ983502 QUM983502 REI983502 ROE983502 RYA983502 SHW983502 SRS983502 TBO983502 TLK983502 TVG983502 UFC983502 UOY983502 UYU983502 VIQ983502 VSM983502 WCI983502 WME983502 WWA983502 S427:S432 JO427:JO432 TK427:TK432 ADG427:ADG432 ANC427:ANC432 AWY427:AWY432 BGU427:BGU432 BQQ427:BQQ432 CAM427:CAM432 CKI427:CKI432 CUE427:CUE432 DEA427:DEA432 DNW427:DNW432 DXS427:DXS432 EHO427:EHO432 ERK427:ERK432 FBG427:FBG432 FLC427:FLC432 FUY427:FUY432 GEU427:GEU432 GOQ427:GOQ432 GYM427:GYM432 HII427:HII432 HSE427:HSE432 ICA427:ICA432 ILW427:ILW432 IVS427:IVS432 JFO427:JFO432 JPK427:JPK432 JZG427:JZG432 KJC427:KJC432 KSY427:KSY432 LCU427:LCU432 LMQ427:LMQ432 LWM427:LWM432 MGI427:MGI432 MQE427:MQE432 NAA427:NAA432 NJW427:NJW432 NTS427:NTS432 ODO427:ODO432 ONK427:ONK432 OXG427:OXG432 PHC427:PHC432 PQY427:PQY432 QAU427:QAU432 QKQ427:QKQ432 QUM427:QUM432 REI427:REI432 ROE427:ROE432 RYA427:RYA432 SHW427:SHW432 SRS427:SRS432 TBO427:TBO432 TLK427:TLK432 TVG427:TVG432 UFC427:UFC432 UOY427:UOY432 UYU427:UYU432 VIQ427:VIQ432 VSM427:VSM432 WCI427:WCI432 WME427:WME432 WWA427:WWA432 S65963:S65968 JO65963:JO65968 TK65963:TK65968 ADG65963:ADG65968 ANC65963:ANC65968 AWY65963:AWY65968 BGU65963:BGU65968 BQQ65963:BQQ65968 CAM65963:CAM65968 CKI65963:CKI65968 CUE65963:CUE65968 DEA65963:DEA65968 DNW65963:DNW65968 DXS65963:DXS65968 EHO65963:EHO65968 ERK65963:ERK65968 FBG65963:FBG65968 FLC65963:FLC65968 FUY65963:FUY65968 GEU65963:GEU65968 GOQ65963:GOQ65968 GYM65963:GYM65968 HII65963:HII65968 HSE65963:HSE65968 ICA65963:ICA65968 ILW65963:ILW65968 IVS65963:IVS65968 JFO65963:JFO65968 JPK65963:JPK65968 JZG65963:JZG65968 KJC65963:KJC65968 KSY65963:KSY65968 LCU65963:LCU65968 LMQ65963:LMQ65968 LWM65963:LWM65968 MGI65963:MGI65968 MQE65963:MQE65968 NAA65963:NAA65968 NJW65963:NJW65968 NTS65963:NTS65968 ODO65963:ODO65968 ONK65963:ONK65968 OXG65963:OXG65968 PHC65963:PHC65968 PQY65963:PQY65968 QAU65963:QAU65968 QKQ65963:QKQ65968 QUM65963:QUM65968 REI65963:REI65968 ROE65963:ROE65968 RYA65963:RYA65968 SHW65963:SHW65968 SRS65963:SRS65968 TBO65963:TBO65968 TLK65963:TLK65968 TVG65963:TVG65968 UFC65963:UFC65968 UOY65963:UOY65968 UYU65963:UYU65968 VIQ65963:VIQ65968 VSM65963:VSM65968 WCI65963:WCI65968 WME65963:WME65968 WWA65963:WWA65968 S131499:S131504 JO131499:JO131504 TK131499:TK131504 ADG131499:ADG131504 ANC131499:ANC131504 AWY131499:AWY131504 BGU131499:BGU131504 BQQ131499:BQQ131504 CAM131499:CAM131504 CKI131499:CKI131504 CUE131499:CUE131504 DEA131499:DEA131504 DNW131499:DNW131504 DXS131499:DXS131504 EHO131499:EHO131504 ERK131499:ERK131504 FBG131499:FBG131504 FLC131499:FLC131504 FUY131499:FUY131504 GEU131499:GEU131504 GOQ131499:GOQ131504 GYM131499:GYM131504 HII131499:HII131504 HSE131499:HSE131504 ICA131499:ICA131504 ILW131499:ILW131504 IVS131499:IVS131504 JFO131499:JFO131504 JPK131499:JPK131504 JZG131499:JZG131504 KJC131499:KJC131504 KSY131499:KSY131504 LCU131499:LCU131504 LMQ131499:LMQ131504 LWM131499:LWM131504 MGI131499:MGI131504 MQE131499:MQE131504 NAA131499:NAA131504 NJW131499:NJW131504 NTS131499:NTS131504 ODO131499:ODO131504 ONK131499:ONK131504 OXG131499:OXG131504 PHC131499:PHC131504 PQY131499:PQY131504 QAU131499:QAU131504 QKQ131499:QKQ131504 QUM131499:QUM131504 REI131499:REI131504 ROE131499:ROE131504 RYA131499:RYA131504 SHW131499:SHW131504 SRS131499:SRS131504 TBO131499:TBO131504 TLK131499:TLK131504 TVG131499:TVG131504 UFC131499:UFC131504 UOY131499:UOY131504 UYU131499:UYU131504 VIQ131499:VIQ131504 VSM131499:VSM131504 WCI131499:WCI131504 WME131499:WME131504 WWA131499:WWA131504 S197035:S197040 JO197035:JO197040 TK197035:TK197040 ADG197035:ADG197040 ANC197035:ANC197040 AWY197035:AWY197040 BGU197035:BGU197040 BQQ197035:BQQ197040 CAM197035:CAM197040 CKI197035:CKI197040 CUE197035:CUE197040 DEA197035:DEA197040 DNW197035:DNW197040 DXS197035:DXS197040 EHO197035:EHO197040 ERK197035:ERK197040 FBG197035:FBG197040 FLC197035:FLC197040 FUY197035:FUY197040 GEU197035:GEU197040 GOQ197035:GOQ197040 GYM197035:GYM197040 HII197035:HII197040 HSE197035:HSE197040 ICA197035:ICA197040 ILW197035:ILW197040 IVS197035:IVS197040 JFO197035:JFO197040 JPK197035:JPK197040 JZG197035:JZG197040 KJC197035:KJC197040 KSY197035:KSY197040 LCU197035:LCU197040 LMQ197035:LMQ197040 LWM197035:LWM197040 MGI197035:MGI197040 MQE197035:MQE197040 NAA197035:NAA197040 NJW197035:NJW197040 NTS197035:NTS197040 ODO197035:ODO197040 ONK197035:ONK197040 OXG197035:OXG197040 PHC197035:PHC197040 PQY197035:PQY197040 QAU197035:QAU197040 QKQ197035:QKQ197040 QUM197035:QUM197040 REI197035:REI197040 ROE197035:ROE197040 RYA197035:RYA197040 SHW197035:SHW197040 SRS197035:SRS197040 TBO197035:TBO197040 TLK197035:TLK197040 TVG197035:TVG197040 UFC197035:UFC197040 UOY197035:UOY197040 UYU197035:UYU197040 VIQ197035:VIQ197040 VSM197035:VSM197040 WCI197035:WCI197040 WME197035:WME197040 WWA197035:WWA197040 S262571:S262576 JO262571:JO262576 TK262571:TK262576 ADG262571:ADG262576 ANC262571:ANC262576 AWY262571:AWY262576 BGU262571:BGU262576 BQQ262571:BQQ262576 CAM262571:CAM262576 CKI262571:CKI262576 CUE262571:CUE262576 DEA262571:DEA262576 DNW262571:DNW262576 DXS262571:DXS262576 EHO262571:EHO262576 ERK262571:ERK262576 FBG262571:FBG262576 FLC262571:FLC262576 FUY262571:FUY262576 GEU262571:GEU262576 GOQ262571:GOQ262576 GYM262571:GYM262576 HII262571:HII262576 HSE262571:HSE262576 ICA262571:ICA262576 ILW262571:ILW262576 IVS262571:IVS262576 JFO262571:JFO262576 JPK262571:JPK262576 JZG262571:JZG262576 KJC262571:KJC262576 KSY262571:KSY262576 LCU262571:LCU262576 LMQ262571:LMQ262576 LWM262571:LWM262576 MGI262571:MGI262576 MQE262571:MQE262576 NAA262571:NAA262576 NJW262571:NJW262576 NTS262571:NTS262576 ODO262571:ODO262576 ONK262571:ONK262576 OXG262571:OXG262576 PHC262571:PHC262576 PQY262571:PQY262576 QAU262571:QAU262576 QKQ262571:QKQ262576 QUM262571:QUM262576 REI262571:REI262576 ROE262571:ROE262576 RYA262571:RYA262576 SHW262571:SHW262576 SRS262571:SRS262576 TBO262571:TBO262576 TLK262571:TLK262576 TVG262571:TVG262576 UFC262571:UFC262576 UOY262571:UOY262576 UYU262571:UYU262576 VIQ262571:VIQ262576 VSM262571:VSM262576 WCI262571:WCI262576 WME262571:WME262576 WWA262571:WWA262576 S328107:S328112 JO328107:JO328112 TK328107:TK328112 ADG328107:ADG328112 ANC328107:ANC328112 AWY328107:AWY328112 BGU328107:BGU328112 BQQ328107:BQQ328112 CAM328107:CAM328112 CKI328107:CKI328112 CUE328107:CUE328112 DEA328107:DEA328112 DNW328107:DNW328112 DXS328107:DXS328112 EHO328107:EHO328112 ERK328107:ERK328112 FBG328107:FBG328112 FLC328107:FLC328112 FUY328107:FUY328112 GEU328107:GEU328112 GOQ328107:GOQ328112 GYM328107:GYM328112 HII328107:HII328112 HSE328107:HSE328112 ICA328107:ICA328112 ILW328107:ILW328112 IVS328107:IVS328112 JFO328107:JFO328112 JPK328107:JPK328112 JZG328107:JZG328112 KJC328107:KJC328112 KSY328107:KSY328112 LCU328107:LCU328112 LMQ328107:LMQ328112 LWM328107:LWM328112 MGI328107:MGI328112 MQE328107:MQE328112 NAA328107:NAA328112 NJW328107:NJW328112 NTS328107:NTS328112 ODO328107:ODO328112 ONK328107:ONK328112 OXG328107:OXG328112 PHC328107:PHC328112 PQY328107:PQY328112 QAU328107:QAU328112 QKQ328107:QKQ328112 QUM328107:QUM328112 REI328107:REI328112 ROE328107:ROE328112 RYA328107:RYA328112 SHW328107:SHW328112 SRS328107:SRS328112 TBO328107:TBO328112 TLK328107:TLK328112 TVG328107:TVG328112 UFC328107:UFC328112 UOY328107:UOY328112 UYU328107:UYU328112 VIQ328107:VIQ328112 VSM328107:VSM328112 WCI328107:WCI328112 WME328107:WME328112 WWA328107:WWA328112 S393643:S393648 JO393643:JO393648 TK393643:TK393648 ADG393643:ADG393648 ANC393643:ANC393648 AWY393643:AWY393648 BGU393643:BGU393648 BQQ393643:BQQ393648 CAM393643:CAM393648 CKI393643:CKI393648 CUE393643:CUE393648 DEA393643:DEA393648 DNW393643:DNW393648 DXS393643:DXS393648 EHO393643:EHO393648 ERK393643:ERK393648 FBG393643:FBG393648 FLC393643:FLC393648 FUY393643:FUY393648 GEU393643:GEU393648 GOQ393643:GOQ393648 GYM393643:GYM393648 HII393643:HII393648 HSE393643:HSE393648 ICA393643:ICA393648 ILW393643:ILW393648 IVS393643:IVS393648 JFO393643:JFO393648 JPK393643:JPK393648 JZG393643:JZG393648 KJC393643:KJC393648 KSY393643:KSY393648 LCU393643:LCU393648 LMQ393643:LMQ393648 LWM393643:LWM393648 MGI393643:MGI393648 MQE393643:MQE393648 NAA393643:NAA393648 NJW393643:NJW393648 NTS393643:NTS393648 ODO393643:ODO393648 ONK393643:ONK393648 OXG393643:OXG393648 PHC393643:PHC393648 PQY393643:PQY393648 QAU393643:QAU393648 QKQ393643:QKQ393648 QUM393643:QUM393648 REI393643:REI393648 ROE393643:ROE393648 RYA393643:RYA393648 SHW393643:SHW393648 SRS393643:SRS393648 TBO393643:TBO393648 TLK393643:TLK393648 TVG393643:TVG393648 UFC393643:UFC393648 UOY393643:UOY393648 UYU393643:UYU393648 VIQ393643:VIQ393648 VSM393643:VSM393648 WCI393643:WCI393648 WME393643:WME393648 WWA393643:WWA393648 S459179:S459184 JO459179:JO459184 TK459179:TK459184 ADG459179:ADG459184 ANC459179:ANC459184 AWY459179:AWY459184 BGU459179:BGU459184 BQQ459179:BQQ459184 CAM459179:CAM459184 CKI459179:CKI459184 CUE459179:CUE459184 DEA459179:DEA459184 DNW459179:DNW459184 DXS459179:DXS459184 EHO459179:EHO459184 ERK459179:ERK459184 FBG459179:FBG459184 FLC459179:FLC459184 FUY459179:FUY459184 GEU459179:GEU459184 GOQ459179:GOQ459184 GYM459179:GYM459184 HII459179:HII459184 HSE459179:HSE459184 ICA459179:ICA459184 ILW459179:ILW459184 IVS459179:IVS459184 JFO459179:JFO459184 JPK459179:JPK459184 JZG459179:JZG459184 KJC459179:KJC459184 KSY459179:KSY459184 LCU459179:LCU459184 LMQ459179:LMQ459184 LWM459179:LWM459184 MGI459179:MGI459184 MQE459179:MQE459184 NAA459179:NAA459184 NJW459179:NJW459184 NTS459179:NTS459184 ODO459179:ODO459184 ONK459179:ONK459184 OXG459179:OXG459184 PHC459179:PHC459184 PQY459179:PQY459184 QAU459179:QAU459184 QKQ459179:QKQ459184 QUM459179:QUM459184 REI459179:REI459184 ROE459179:ROE459184 RYA459179:RYA459184 SHW459179:SHW459184 SRS459179:SRS459184 TBO459179:TBO459184 TLK459179:TLK459184 TVG459179:TVG459184 UFC459179:UFC459184 UOY459179:UOY459184 UYU459179:UYU459184 VIQ459179:VIQ459184 VSM459179:VSM459184 WCI459179:WCI459184 WME459179:WME459184 WWA459179:WWA459184 S524715:S524720 JO524715:JO524720 TK524715:TK524720 ADG524715:ADG524720 ANC524715:ANC524720 AWY524715:AWY524720 BGU524715:BGU524720 BQQ524715:BQQ524720 CAM524715:CAM524720 CKI524715:CKI524720 CUE524715:CUE524720 DEA524715:DEA524720 DNW524715:DNW524720 DXS524715:DXS524720 EHO524715:EHO524720 ERK524715:ERK524720 FBG524715:FBG524720 FLC524715:FLC524720 FUY524715:FUY524720 GEU524715:GEU524720 GOQ524715:GOQ524720 GYM524715:GYM524720 HII524715:HII524720 HSE524715:HSE524720 ICA524715:ICA524720 ILW524715:ILW524720 IVS524715:IVS524720 JFO524715:JFO524720 JPK524715:JPK524720 JZG524715:JZG524720 KJC524715:KJC524720 KSY524715:KSY524720 LCU524715:LCU524720 LMQ524715:LMQ524720 LWM524715:LWM524720 MGI524715:MGI524720 MQE524715:MQE524720 NAA524715:NAA524720 NJW524715:NJW524720 NTS524715:NTS524720 ODO524715:ODO524720 ONK524715:ONK524720 OXG524715:OXG524720 PHC524715:PHC524720 PQY524715:PQY524720 QAU524715:QAU524720 QKQ524715:QKQ524720 QUM524715:QUM524720 REI524715:REI524720 ROE524715:ROE524720 RYA524715:RYA524720 SHW524715:SHW524720 SRS524715:SRS524720 TBO524715:TBO524720 TLK524715:TLK524720 TVG524715:TVG524720 UFC524715:UFC524720 UOY524715:UOY524720 UYU524715:UYU524720 VIQ524715:VIQ524720 VSM524715:VSM524720 WCI524715:WCI524720 WME524715:WME524720 WWA524715:WWA524720 S590251:S590256 JO590251:JO590256 TK590251:TK590256 ADG590251:ADG590256 ANC590251:ANC590256 AWY590251:AWY590256 BGU590251:BGU590256 BQQ590251:BQQ590256 CAM590251:CAM590256 CKI590251:CKI590256 CUE590251:CUE590256 DEA590251:DEA590256 DNW590251:DNW590256 DXS590251:DXS590256 EHO590251:EHO590256 ERK590251:ERK590256 FBG590251:FBG590256 FLC590251:FLC590256 FUY590251:FUY590256 GEU590251:GEU590256 GOQ590251:GOQ590256 GYM590251:GYM590256 HII590251:HII590256 HSE590251:HSE590256 ICA590251:ICA590256 ILW590251:ILW590256 IVS590251:IVS590256 JFO590251:JFO590256 JPK590251:JPK590256 JZG590251:JZG590256 KJC590251:KJC590256 KSY590251:KSY590256 LCU590251:LCU590256 LMQ590251:LMQ590256 LWM590251:LWM590256 MGI590251:MGI590256 MQE590251:MQE590256 NAA590251:NAA590256 NJW590251:NJW590256 NTS590251:NTS590256 ODO590251:ODO590256 ONK590251:ONK590256 OXG590251:OXG590256 PHC590251:PHC590256 PQY590251:PQY590256 QAU590251:QAU590256 QKQ590251:QKQ590256 QUM590251:QUM590256 REI590251:REI590256 ROE590251:ROE590256 RYA590251:RYA590256 SHW590251:SHW590256 SRS590251:SRS590256 TBO590251:TBO590256 TLK590251:TLK590256 TVG590251:TVG590256 UFC590251:UFC590256 UOY590251:UOY590256 UYU590251:UYU590256 VIQ590251:VIQ590256 VSM590251:VSM590256 WCI590251:WCI590256 WME590251:WME590256 WWA590251:WWA590256 S655787:S655792 JO655787:JO655792 TK655787:TK655792 ADG655787:ADG655792 ANC655787:ANC655792 AWY655787:AWY655792 BGU655787:BGU655792 BQQ655787:BQQ655792 CAM655787:CAM655792 CKI655787:CKI655792 CUE655787:CUE655792 DEA655787:DEA655792 DNW655787:DNW655792 DXS655787:DXS655792 EHO655787:EHO655792 ERK655787:ERK655792 FBG655787:FBG655792 FLC655787:FLC655792 FUY655787:FUY655792 GEU655787:GEU655792 GOQ655787:GOQ655792 GYM655787:GYM655792 HII655787:HII655792 HSE655787:HSE655792 ICA655787:ICA655792 ILW655787:ILW655792 IVS655787:IVS655792 JFO655787:JFO655792 JPK655787:JPK655792 JZG655787:JZG655792 KJC655787:KJC655792 KSY655787:KSY655792 LCU655787:LCU655792 LMQ655787:LMQ655792 LWM655787:LWM655792 MGI655787:MGI655792 MQE655787:MQE655792 NAA655787:NAA655792 NJW655787:NJW655792 NTS655787:NTS655792 ODO655787:ODO655792 ONK655787:ONK655792 OXG655787:OXG655792 PHC655787:PHC655792 PQY655787:PQY655792 QAU655787:QAU655792 QKQ655787:QKQ655792 QUM655787:QUM655792 REI655787:REI655792 ROE655787:ROE655792 RYA655787:RYA655792 SHW655787:SHW655792 SRS655787:SRS655792 TBO655787:TBO655792 TLK655787:TLK655792 TVG655787:TVG655792 UFC655787:UFC655792 UOY655787:UOY655792 UYU655787:UYU655792 VIQ655787:VIQ655792 VSM655787:VSM655792 WCI655787:WCI655792 WME655787:WME655792 WWA655787:WWA655792 S721323:S721328 JO721323:JO721328 TK721323:TK721328 ADG721323:ADG721328 ANC721323:ANC721328 AWY721323:AWY721328 BGU721323:BGU721328 BQQ721323:BQQ721328 CAM721323:CAM721328 CKI721323:CKI721328 CUE721323:CUE721328 DEA721323:DEA721328 DNW721323:DNW721328 DXS721323:DXS721328 EHO721323:EHO721328 ERK721323:ERK721328 FBG721323:FBG721328 FLC721323:FLC721328 FUY721323:FUY721328 GEU721323:GEU721328 GOQ721323:GOQ721328 GYM721323:GYM721328 HII721323:HII721328 HSE721323:HSE721328 ICA721323:ICA721328 ILW721323:ILW721328 IVS721323:IVS721328 JFO721323:JFO721328 JPK721323:JPK721328 JZG721323:JZG721328 KJC721323:KJC721328 KSY721323:KSY721328 LCU721323:LCU721328 LMQ721323:LMQ721328 LWM721323:LWM721328 MGI721323:MGI721328 MQE721323:MQE721328 NAA721323:NAA721328 NJW721323:NJW721328 NTS721323:NTS721328 ODO721323:ODO721328 ONK721323:ONK721328 OXG721323:OXG721328 PHC721323:PHC721328 PQY721323:PQY721328 QAU721323:QAU721328 QKQ721323:QKQ721328 QUM721323:QUM721328 REI721323:REI721328 ROE721323:ROE721328 RYA721323:RYA721328 SHW721323:SHW721328 SRS721323:SRS721328 TBO721323:TBO721328 TLK721323:TLK721328 TVG721323:TVG721328 UFC721323:UFC721328 UOY721323:UOY721328 UYU721323:UYU721328 VIQ721323:VIQ721328 VSM721323:VSM721328 WCI721323:WCI721328 WME721323:WME721328 WWA721323:WWA721328 S786859:S786864 JO786859:JO786864 TK786859:TK786864 ADG786859:ADG786864 ANC786859:ANC786864 AWY786859:AWY786864 BGU786859:BGU786864 BQQ786859:BQQ786864 CAM786859:CAM786864 CKI786859:CKI786864 CUE786859:CUE786864 DEA786859:DEA786864 DNW786859:DNW786864 DXS786859:DXS786864 EHO786859:EHO786864 ERK786859:ERK786864 FBG786859:FBG786864 FLC786859:FLC786864 FUY786859:FUY786864 GEU786859:GEU786864 GOQ786859:GOQ786864 GYM786859:GYM786864 HII786859:HII786864 HSE786859:HSE786864 ICA786859:ICA786864 ILW786859:ILW786864 IVS786859:IVS786864 JFO786859:JFO786864 JPK786859:JPK786864 JZG786859:JZG786864 KJC786859:KJC786864 KSY786859:KSY786864 LCU786859:LCU786864 LMQ786859:LMQ786864 LWM786859:LWM786864 MGI786859:MGI786864 MQE786859:MQE786864 NAA786859:NAA786864 NJW786859:NJW786864 NTS786859:NTS786864 ODO786859:ODO786864 ONK786859:ONK786864 OXG786859:OXG786864 PHC786859:PHC786864 PQY786859:PQY786864 QAU786859:QAU786864 QKQ786859:QKQ786864 QUM786859:QUM786864 REI786859:REI786864 ROE786859:ROE786864 RYA786859:RYA786864 SHW786859:SHW786864 SRS786859:SRS786864 TBO786859:TBO786864 TLK786859:TLK786864 TVG786859:TVG786864 UFC786859:UFC786864 UOY786859:UOY786864 UYU786859:UYU786864 VIQ786859:VIQ786864 VSM786859:VSM786864 WCI786859:WCI786864 WME786859:WME786864 WWA786859:WWA786864 S852395:S852400 JO852395:JO852400 TK852395:TK852400 ADG852395:ADG852400 ANC852395:ANC852400 AWY852395:AWY852400 BGU852395:BGU852400 BQQ852395:BQQ852400 CAM852395:CAM852400 CKI852395:CKI852400 CUE852395:CUE852400 DEA852395:DEA852400 DNW852395:DNW852400 DXS852395:DXS852400 EHO852395:EHO852400 ERK852395:ERK852400 FBG852395:FBG852400 FLC852395:FLC852400 FUY852395:FUY852400 GEU852395:GEU852400 GOQ852395:GOQ852400 GYM852395:GYM852400 HII852395:HII852400 HSE852395:HSE852400 ICA852395:ICA852400 ILW852395:ILW852400 IVS852395:IVS852400 JFO852395:JFO852400 JPK852395:JPK852400 JZG852395:JZG852400 KJC852395:KJC852400 KSY852395:KSY852400 LCU852395:LCU852400 LMQ852395:LMQ852400 LWM852395:LWM852400 MGI852395:MGI852400 MQE852395:MQE852400 NAA852395:NAA852400 NJW852395:NJW852400 NTS852395:NTS852400 ODO852395:ODO852400 ONK852395:ONK852400 OXG852395:OXG852400 PHC852395:PHC852400 PQY852395:PQY852400 QAU852395:QAU852400 QKQ852395:QKQ852400 QUM852395:QUM852400 REI852395:REI852400 ROE852395:ROE852400 RYA852395:RYA852400 SHW852395:SHW852400 SRS852395:SRS852400 TBO852395:TBO852400 TLK852395:TLK852400 TVG852395:TVG852400 UFC852395:UFC852400 UOY852395:UOY852400 UYU852395:UYU852400 VIQ852395:VIQ852400 VSM852395:VSM852400 WCI852395:WCI852400 WME852395:WME852400 WWA852395:WWA852400 S917931:S917936 JO917931:JO917936 TK917931:TK917936 ADG917931:ADG917936 ANC917931:ANC917936 AWY917931:AWY917936 BGU917931:BGU917936 BQQ917931:BQQ917936 CAM917931:CAM917936 CKI917931:CKI917936 CUE917931:CUE917936 DEA917931:DEA917936 DNW917931:DNW917936 DXS917931:DXS917936 EHO917931:EHO917936 ERK917931:ERK917936 FBG917931:FBG917936 FLC917931:FLC917936 FUY917931:FUY917936 GEU917931:GEU917936 GOQ917931:GOQ917936 GYM917931:GYM917936 HII917931:HII917936 HSE917931:HSE917936 ICA917931:ICA917936 ILW917931:ILW917936 IVS917931:IVS917936 JFO917931:JFO917936 JPK917931:JPK917936 JZG917931:JZG917936 KJC917931:KJC917936 KSY917931:KSY917936 LCU917931:LCU917936 LMQ917931:LMQ917936 LWM917931:LWM917936 MGI917931:MGI917936 MQE917931:MQE917936 NAA917931:NAA917936 NJW917931:NJW917936 NTS917931:NTS917936 ODO917931:ODO917936 ONK917931:ONK917936 OXG917931:OXG917936 PHC917931:PHC917936 PQY917931:PQY917936 QAU917931:QAU917936 QKQ917931:QKQ917936 QUM917931:QUM917936 REI917931:REI917936 ROE917931:ROE917936 RYA917931:RYA917936 SHW917931:SHW917936 SRS917931:SRS917936 TBO917931:TBO917936 TLK917931:TLK917936 TVG917931:TVG917936 UFC917931:UFC917936 UOY917931:UOY917936 UYU917931:UYU917936 VIQ917931:VIQ917936 VSM917931:VSM917936 WCI917931:WCI917936 WME917931:WME917936 WWA917931:WWA917936 S983467:S983472 JO983467:JO983472 TK983467:TK983472 ADG983467:ADG983472 ANC983467:ANC983472 AWY983467:AWY983472 BGU983467:BGU983472 BQQ983467:BQQ983472 CAM983467:CAM983472 CKI983467:CKI983472 CUE983467:CUE983472 DEA983467:DEA983472 DNW983467:DNW983472 DXS983467:DXS983472 EHO983467:EHO983472 ERK983467:ERK983472 FBG983467:FBG983472 FLC983467:FLC983472 FUY983467:FUY983472 GEU983467:GEU983472 GOQ983467:GOQ983472 GYM983467:GYM983472 HII983467:HII983472 HSE983467:HSE983472 ICA983467:ICA983472 ILW983467:ILW983472 IVS983467:IVS983472 JFO983467:JFO983472 JPK983467:JPK983472 JZG983467:JZG983472 KJC983467:KJC983472 KSY983467:KSY983472 LCU983467:LCU983472 LMQ983467:LMQ983472 LWM983467:LWM983472 MGI983467:MGI983472 MQE983467:MQE983472 NAA983467:NAA983472 NJW983467:NJW983472 NTS983467:NTS983472 ODO983467:ODO983472 ONK983467:ONK983472 OXG983467:OXG983472 PHC983467:PHC983472 PQY983467:PQY983472 QAU983467:QAU983472 QKQ983467:QKQ983472 QUM983467:QUM983472 REI983467:REI983472 ROE983467:ROE983472 RYA983467:RYA983472 SHW983467:SHW983472 SRS983467:SRS983472 TBO983467:TBO983472 TLK983467:TLK983472 TVG983467:TVG983472 UFC983467:UFC983472 UOY983467:UOY983472 UYU983467:UYU983472 VIQ983467:VIQ983472 VSM983467:VSM983472 WCI983467:WCI983472 WME983467:WME983472 WWA983467:WWA983472 S414:S418 JO414:JO418 TK414:TK418 ADG414:ADG418 ANC414:ANC418 AWY414:AWY418 BGU414:BGU418 BQQ414:BQQ418 CAM414:CAM418 CKI414:CKI418 CUE414:CUE418 DEA414:DEA418 DNW414:DNW418 DXS414:DXS418 EHO414:EHO418 ERK414:ERK418 FBG414:FBG418 FLC414:FLC418 FUY414:FUY418 GEU414:GEU418 GOQ414:GOQ418 GYM414:GYM418 HII414:HII418 HSE414:HSE418 ICA414:ICA418 ILW414:ILW418 IVS414:IVS418 JFO414:JFO418 JPK414:JPK418 JZG414:JZG418 KJC414:KJC418 KSY414:KSY418 LCU414:LCU418 LMQ414:LMQ418 LWM414:LWM418 MGI414:MGI418 MQE414:MQE418 NAA414:NAA418 NJW414:NJW418 NTS414:NTS418 ODO414:ODO418 ONK414:ONK418 OXG414:OXG418 PHC414:PHC418 PQY414:PQY418 QAU414:QAU418 QKQ414:QKQ418 QUM414:QUM418 REI414:REI418 ROE414:ROE418 RYA414:RYA418 SHW414:SHW418 SRS414:SRS418 TBO414:TBO418 TLK414:TLK418 TVG414:TVG418 UFC414:UFC418 UOY414:UOY418 UYU414:UYU418 VIQ414:VIQ418 VSM414:VSM418 WCI414:WCI418 WME414:WME418 WWA414:WWA418 S65950:S65954 JO65950:JO65954 TK65950:TK65954 ADG65950:ADG65954 ANC65950:ANC65954 AWY65950:AWY65954 BGU65950:BGU65954 BQQ65950:BQQ65954 CAM65950:CAM65954 CKI65950:CKI65954 CUE65950:CUE65954 DEA65950:DEA65954 DNW65950:DNW65954 DXS65950:DXS65954 EHO65950:EHO65954 ERK65950:ERK65954 FBG65950:FBG65954 FLC65950:FLC65954 FUY65950:FUY65954 GEU65950:GEU65954 GOQ65950:GOQ65954 GYM65950:GYM65954 HII65950:HII65954 HSE65950:HSE65954 ICA65950:ICA65954 ILW65950:ILW65954 IVS65950:IVS65954 JFO65950:JFO65954 JPK65950:JPK65954 JZG65950:JZG65954 KJC65950:KJC65954 KSY65950:KSY65954 LCU65950:LCU65954 LMQ65950:LMQ65954 LWM65950:LWM65954 MGI65950:MGI65954 MQE65950:MQE65954 NAA65950:NAA65954 NJW65950:NJW65954 NTS65950:NTS65954 ODO65950:ODO65954 ONK65950:ONK65954 OXG65950:OXG65954 PHC65950:PHC65954 PQY65950:PQY65954 QAU65950:QAU65954 QKQ65950:QKQ65954 QUM65950:QUM65954 REI65950:REI65954 ROE65950:ROE65954 RYA65950:RYA65954 SHW65950:SHW65954 SRS65950:SRS65954 TBO65950:TBO65954 TLK65950:TLK65954 TVG65950:TVG65954 UFC65950:UFC65954 UOY65950:UOY65954 UYU65950:UYU65954 VIQ65950:VIQ65954 VSM65950:VSM65954 WCI65950:WCI65954 WME65950:WME65954 WWA65950:WWA65954 S131486:S131490 JO131486:JO131490 TK131486:TK131490 ADG131486:ADG131490 ANC131486:ANC131490 AWY131486:AWY131490 BGU131486:BGU131490 BQQ131486:BQQ131490 CAM131486:CAM131490 CKI131486:CKI131490 CUE131486:CUE131490 DEA131486:DEA131490 DNW131486:DNW131490 DXS131486:DXS131490 EHO131486:EHO131490 ERK131486:ERK131490 FBG131486:FBG131490 FLC131486:FLC131490 FUY131486:FUY131490 GEU131486:GEU131490 GOQ131486:GOQ131490 GYM131486:GYM131490 HII131486:HII131490 HSE131486:HSE131490 ICA131486:ICA131490 ILW131486:ILW131490 IVS131486:IVS131490 JFO131486:JFO131490 JPK131486:JPK131490 JZG131486:JZG131490 KJC131486:KJC131490 KSY131486:KSY131490 LCU131486:LCU131490 LMQ131486:LMQ131490 LWM131486:LWM131490 MGI131486:MGI131490 MQE131486:MQE131490 NAA131486:NAA131490 NJW131486:NJW131490 NTS131486:NTS131490 ODO131486:ODO131490 ONK131486:ONK131490 OXG131486:OXG131490 PHC131486:PHC131490 PQY131486:PQY131490 QAU131486:QAU131490 QKQ131486:QKQ131490 QUM131486:QUM131490 REI131486:REI131490 ROE131486:ROE131490 RYA131486:RYA131490 SHW131486:SHW131490 SRS131486:SRS131490 TBO131486:TBO131490 TLK131486:TLK131490 TVG131486:TVG131490 UFC131486:UFC131490 UOY131486:UOY131490 UYU131486:UYU131490 VIQ131486:VIQ131490 VSM131486:VSM131490 WCI131486:WCI131490 WME131486:WME131490 WWA131486:WWA131490 S197022:S197026 JO197022:JO197026 TK197022:TK197026 ADG197022:ADG197026 ANC197022:ANC197026 AWY197022:AWY197026 BGU197022:BGU197026 BQQ197022:BQQ197026 CAM197022:CAM197026 CKI197022:CKI197026 CUE197022:CUE197026 DEA197022:DEA197026 DNW197022:DNW197026 DXS197022:DXS197026 EHO197022:EHO197026 ERK197022:ERK197026 FBG197022:FBG197026 FLC197022:FLC197026 FUY197022:FUY197026 GEU197022:GEU197026 GOQ197022:GOQ197026 GYM197022:GYM197026 HII197022:HII197026 HSE197022:HSE197026 ICA197022:ICA197026 ILW197022:ILW197026 IVS197022:IVS197026 JFO197022:JFO197026 JPK197022:JPK197026 JZG197022:JZG197026 KJC197022:KJC197026 KSY197022:KSY197026 LCU197022:LCU197026 LMQ197022:LMQ197026 LWM197022:LWM197026 MGI197022:MGI197026 MQE197022:MQE197026 NAA197022:NAA197026 NJW197022:NJW197026 NTS197022:NTS197026 ODO197022:ODO197026 ONK197022:ONK197026 OXG197022:OXG197026 PHC197022:PHC197026 PQY197022:PQY197026 QAU197022:QAU197026 QKQ197022:QKQ197026 QUM197022:QUM197026 REI197022:REI197026 ROE197022:ROE197026 RYA197022:RYA197026 SHW197022:SHW197026 SRS197022:SRS197026 TBO197022:TBO197026 TLK197022:TLK197026 TVG197022:TVG197026 UFC197022:UFC197026 UOY197022:UOY197026 UYU197022:UYU197026 VIQ197022:VIQ197026 VSM197022:VSM197026 WCI197022:WCI197026 WME197022:WME197026 WWA197022:WWA197026 S262558:S262562 JO262558:JO262562 TK262558:TK262562 ADG262558:ADG262562 ANC262558:ANC262562 AWY262558:AWY262562 BGU262558:BGU262562 BQQ262558:BQQ262562 CAM262558:CAM262562 CKI262558:CKI262562 CUE262558:CUE262562 DEA262558:DEA262562 DNW262558:DNW262562 DXS262558:DXS262562 EHO262558:EHO262562 ERK262558:ERK262562 FBG262558:FBG262562 FLC262558:FLC262562 FUY262558:FUY262562 GEU262558:GEU262562 GOQ262558:GOQ262562 GYM262558:GYM262562 HII262558:HII262562 HSE262558:HSE262562 ICA262558:ICA262562 ILW262558:ILW262562 IVS262558:IVS262562 JFO262558:JFO262562 JPK262558:JPK262562 JZG262558:JZG262562 KJC262558:KJC262562 KSY262558:KSY262562 LCU262558:LCU262562 LMQ262558:LMQ262562 LWM262558:LWM262562 MGI262558:MGI262562 MQE262558:MQE262562 NAA262558:NAA262562 NJW262558:NJW262562 NTS262558:NTS262562 ODO262558:ODO262562 ONK262558:ONK262562 OXG262558:OXG262562 PHC262558:PHC262562 PQY262558:PQY262562 QAU262558:QAU262562 QKQ262558:QKQ262562 QUM262558:QUM262562 REI262558:REI262562 ROE262558:ROE262562 RYA262558:RYA262562 SHW262558:SHW262562 SRS262558:SRS262562 TBO262558:TBO262562 TLK262558:TLK262562 TVG262558:TVG262562 UFC262558:UFC262562 UOY262558:UOY262562 UYU262558:UYU262562 VIQ262558:VIQ262562 VSM262558:VSM262562 WCI262558:WCI262562 WME262558:WME262562 WWA262558:WWA262562 S328094:S328098 JO328094:JO328098 TK328094:TK328098 ADG328094:ADG328098 ANC328094:ANC328098 AWY328094:AWY328098 BGU328094:BGU328098 BQQ328094:BQQ328098 CAM328094:CAM328098 CKI328094:CKI328098 CUE328094:CUE328098 DEA328094:DEA328098 DNW328094:DNW328098 DXS328094:DXS328098 EHO328094:EHO328098 ERK328094:ERK328098 FBG328094:FBG328098 FLC328094:FLC328098 FUY328094:FUY328098 GEU328094:GEU328098 GOQ328094:GOQ328098 GYM328094:GYM328098 HII328094:HII328098 HSE328094:HSE328098 ICA328094:ICA328098 ILW328094:ILW328098 IVS328094:IVS328098 JFO328094:JFO328098 JPK328094:JPK328098 JZG328094:JZG328098 KJC328094:KJC328098 KSY328094:KSY328098 LCU328094:LCU328098 LMQ328094:LMQ328098 LWM328094:LWM328098 MGI328094:MGI328098 MQE328094:MQE328098 NAA328094:NAA328098 NJW328094:NJW328098 NTS328094:NTS328098 ODO328094:ODO328098 ONK328094:ONK328098 OXG328094:OXG328098 PHC328094:PHC328098 PQY328094:PQY328098 QAU328094:QAU328098 QKQ328094:QKQ328098 QUM328094:QUM328098 REI328094:REI328098 ROE328094:ROE328098 RYA328094:RYA328098 SHW328094:SHW328098 SRS328094:SRS328098 TBO328094:TBO328098 TLK328094:TLK328098 TVG328094:TVG328098 UFC328094:UFC328098 UOY328094:UOY328098 UYU328094:UYU328098 VIQ328094:VIQ328098 VSM328094:VSM328098 WCI328094:WCI328098 WME328094:WME328098 WWA328094:WWA328098 S393630:S393634 JO393630:JO393634 TK393630:TK393634 ADG393630:ADG393634 ANC393630:ANC393634 AWY393630:AWY393634 BGU393630:BGU393634 BQQ393630:BQQ393634 CAM393630:CAM393634 CKI393630:CKI393634 CUE393630:CUE393634 DEA393630:DEA393634 DNW393630:DNW393634 DXS393630:DXS393634 EHO393630:EHO393634 ERK393630:ERK393634 FBG393630:FBG393634 FLC393630:FLC393634 FUY393630:FUY393634 GEU393630:GEU393634 GOQ393630:GOQ393634 GYM393630:GYM393634 HII393630:HII393634 HSE393630:HSE393634 ICA393630:ICA393634 ILW393630:ILW393634 IVS393630:IVS393634 JFO393630:JFO393634 JPK393630:JPK393634 JZG393630:JZG393634 KJC393630:KJC393634 KSY393630:KSY393634 LCU393630:LCU393634 LMQ393630:LMQ393634 LWM393630:LWM393634 MGI393630:MGI393634 MQE393630:MQE393634 NAA393630:NAA393634 NJW393630:NJW393634 NTS393630:NTS393634 ODO393630:ODO393634 ONK393630:ONK393634 OXG393630:OXG393634 PHC393630:PHC393634 PQY393630:PQY393634 QAU393630:QAU393634 QKQ393630:QKQ393634 QUM393630:QUM393634 REI393630:REI393634 ROE393630:ROE393634 RYA393630:RYA393634 SHW393630:SHW393634 SRS393630:SRS393634 TBO393630:TBO393634 TLK393630:TLK393634 TVG393630:TVG393634 UFC393630:UFC393634 UOY393630:UOY393634 UYU393630:UYU393634 VIQ393630:VIQ393634 VSM393630:VSM393634 WCI393630:WCI393634 WME393630:WME393634 WWA393630:WWA393634 S459166:S459170 JO459166:JO459170 TK459166:TK459170 ADG459166:ADG459170 ANC459166:ANC459170 AWY459166:AWY459170 BGU459166:BGU459170 BQQ459166:BQQ459170 CAM459166:CAM459170 CKI459166:CKI459170 CUE459166:CUE459170 DEA459166:DEA459170 DNW459166:DNW459170 DXS459166:DXS459170 EHO459166:EHO459170 ERK459166:ERK459170 FBG459166:FBG459170 FLC459166:FLC459170 FUY459166:FUY459170 GEU459166:GEU459170 GOQ459166:GOQ459170 GYM459166:GYM459170 HII459166:HII459170 HSE459166:HSE459170 ICA459166:ICA459170 ILW459166:ILW459170 IVS459166:IVS459170 JFO459166:JFO459170 JPK459166:JPK459170 JZG459166:JZG459170 KJC459166:KJC459170 KSY459166:KSY459170 LCU459166:LCU459170 LMQ459166:LMQ459170 LWM459166:LWM459170 MGI459166:MGI459170 MQE459166:MQE459170 NAA459166:NAA459170 NJW459166:NJW459170 NTS459166:NTS459170 ODO459166:ODO459170 ONK459166:ONK459170 OXG459166:OXG459170 PHC459166:PHC459170 PQY459166:PQY459170 QAU459166:QAU459170 QKQ459166:QKQ459170 QUM459166:QUM459170 REI459166:REI459170 ROE459166:ROE459170 RYA459166:RYA459170 SHW459166:SHW459170 SRS459166:SRS459170 TBO459166:TBO459170 TLK459166:TLK459170 TVG459166:TVG459170 UFC459166:UFC459170 UOY459166:UOY459170 UYU459166:UYU459170 VIQ459166:VIQ459170 VSM459166:VSM459170 WCI459166:WCI459170 WME459166:WME459170 WWA459166:WWA459170 S524702:S524706 JO524702:JO524706 TK524702:TK524706 ADG524702:ADG524706 ANC524702:ANC524706 AWY524702:AWY524706 BGU524702:BGU524706 BQQ524702:BQQ524706 CAM524702:CAM524706 CKI524702:CKI524706 CUE524702:CUE524706 DEA524702:DEA524706 DNW524702:DNW524706 DXS524702:DXS524706 EHO524702:EHO524706 ERK524702:ERK524706 FBG524702:FBG524706 FLC524702:FLC524706 FUY524702:FUY524706 GEU524702:GEU524706 GOQ524702:GOQ524706 GYM524702:GYM524706 HII524702:HII524706 HSE524702:HSE524706 ICA524702:ICA524706 ILW524702:ILW524706 IVS524702:IVS524706 JFO524702:JFO524706 JPK524702:JPK524706 JZG524702:JZG524706 KJC524702:KJC524706 KSY524702:KSY524706 LCU524702:LCU524706 LMQ524702:LMQ524706 LWM524702:LWM524706 MGI524702:MGI524706 MQE524702:MQE524706 NAA524702:NAA524706 NJW524702:NJW524706 NTS524702:NTS524706 ODO524702:ODO524706 ONK524702:ONK524706 OXG524702:OXG524706 PHC524702:PHC524706 PQY524702:PQY524706 QAU524702:QAU524706 QKQ524702:QKQ524706 QUM524702:QUM524706 REI524702:REI524706 ROE524702:ROE524706 RYA524702:RYA524706 SHW524702:SHW524706 SRS524702:SRS524706 TBO524702:TBO524706 TLK524702:TLK524706 TVG524702:TVG524706 UFC524702:UFC524706 UOY524702:UOY524706 UYU524702:UYU524706 VIQ524702:VIQ524706 VSM524702:VSM524706 WCI524702:WCI524706 WME524702:WME524706 WWA524702:WWA524706 S590238:S590242 JO590238:JO590242 TK590238:TK590242 ADG590238:ADG590242 ANC590238:ANC590242 AWY590238:AWY590242 BGU590238:BGU590242 BQQ590238:BQQ590242 CAM590238:CAM590242 CKI590238:CKI590242 CUE590238:CUE590242 DEA590238:DEA590242 DNW590238:DNW590242 DXS590238:DXS590242 EHO590238:EHO590242 ERK590238:ERK590242 FBG590238:FBG590242 FLC590238:FLC590242 FUY590238:FUY590242 GEU590238:GEU590242 GOQ590238:GOQ590242 GYM590238:GYM590242 HII590238:HII590242 HSE590238:HSE590242 ICA590238:ICA590242 ILW590238:ILW590242 IVS590238:IVS590242 JFO590238:JFO590242 JPK590238:JPK590242 JZG590238:JZG590242 KJC590238:KJC590242 KSY590238:KSY590242 LCU590238:LCU590242 LMQ590238:LMQ590242 LWM590238:LWM590242 MGI590238:MGI590242 MQE590238:MQE590242 NAA590238:NAA590242 NJW590238:NJW590242 NTS590238:NTS590242 ODO590238:ODO590242 ONK590238:ONK590242 OXG590238:OXG590242 PHC590238:PHC590242 PQY590238:PQY590242 QAU590238:QAU590242 QKQ590238:QKQ590242 QUM590238:QUM590242 REI590238:REI590242 ROE590238:ROE590242 RYA590238:RYA590242 SHW590238:SHW590242 SRS590238:SRS590242 TBO590238:TBO590242 TLK590238:TLK590242 TVG590238:TVG590242 UFC590238:UFC590242 UOY590238:UOY590242 UYU590238:UYU590242 VIQ590238:VIQ590242 VSM590238:VSM590242 WCI590238:WCI590242 WME590238:WME590242 WWA590238:WWA590242 S655774:S655778 JO655774:JO655778 TK655774:TK655778 ADG655774:ADG655778 ANC655774:ANC655778 AWY655774:AWY655778 BGU655774:BGU655778 BQQ655774:BQQ655778 CAM655774:CAM655778 CKI655774:CKI655778 CUE655774:CUE655778 DEA655774:DEA655778 DNW655774:DNW655778 DXS655774:DXS655778 EHO655774:EHO655778 ERK655774:ERK655778 FBG655774:FBG655778 FLC655774:FLC655778 FUY655774:FUY655778 GEU655774:GEU655778 GOQ655774:GOQ655778 GYM655774:GYM655778 HII655774:HII655778 HSE655774:HSE655778 ICA655774:ICA655778 ILW655774:ILW655778 IVS655774:IVS655778 JFO655774:JFO655778 JPK655774:JPK655778 JZG655774:JZG655778 KJC655774:KJC655778 KSY655774:KSY655778 LCU655774:LCU655778 LMQ655774:LMQ655778 LWM655774:LWM655778 MGI655774:MGI655778 MQE655774:MQE655778 NAA655774:NAA655778 NJW655774:NJW655778 NTS655774:NTS655778 ODO655774:ODO655778 ONK655774:ONK655778 OXG655774:OXG655778 PHC655774:PHC655778 PQY655774:PQY655778 QAU655774:QAU655778 QKQ655774:QKQ655778 QUM655774:QUM655778 REI655774:REI655778 ROE655774:ROE655778 RYA655774:RYA655778 SHW655774:SHW655778 SRS655774:SRS655778 TBO655774:TBO655778 TLK655774:TLK655778 TVG655774:TVG655778 UFC655774:UFC655778 UOY655774:UOY655778 UYU655774:UYU655778 VIQ655774:VIQ655778 VSM655774:VSM655778 WCI655774:WCI655778 WME655774:WME655778 WWA655774:WWA655778 S721310:S721314 JO721310:JO721314 TK721310:TK721314 ADG721310:ADG721314 ANC721310:ANC721314 AWY721310:AWY721314 BGU721310:BGU721314 BQQ721310:BQQ721314 CAM721310:CAM721314 CKI721310:CKI721314 CUE721310:CUE721314 DEA721310:DEA721314 DNW721310:DNW721314 DXS721310:DXS721314 EHO721310:EHO721314 ERK721310:ERK721314 FBG721310:FBG721314 FLC721310:FLC721314 FUY721310:FUY721314 GEU721310:GEU721314 GOQ721310:GOQ721314 GYM721310:GYM721314 HII721310:HII721314 HSE721310:HSE721314 ICA721310:ICA721314 ILW721310:ILW721314 IVS721310:IVS721314 JFO721310:JFO721314 JPK721310:JPK721314 JZG721310:JZG721314 KJC721310:KJC721314 KSY721310:KSY721314 LCU721310:LCU721314 LMQ721310:LMQ721314 LWM721310:LWM721314 MGI721310:MGI721314 MQE721310:MQE721314 NAA721310:NAA721314 NJW721310:NJW721314 NTS721310:NTS721314 ODO721310:ODO721314 ONK721310:ONK721314 OXG721310:OXG721314 PHC721310:PHC721314 PQY721310:PQY721314 QAU721310:QAU721314 QKQ721310:QKQ721314 QUM721310:QUM721314 REI721310:REI721314 ROE721310:ROE721314 RYA721310:RYA721314 SHW721310:SHW721314 SRS721310:SRS721314 TBO721310:TBO721314 TLK721310:TLK721314 TVG721310:TVG721314 UFC721310:UFC721314 UOY721310:UOY721314 UYU721310:UYU721314 VIQ721310:VIQ721314 VSM721310:VSM721314 WCI721310:WCI721314 WME721310:WME721314 WWA721310:WWA721314 S786846:S786850 JO786846:JO786850 TK786846:TK786850 ADG786846:ADG786850 ANC786846:ANC786850 AWY786846:AWY786850 BGU786846:BGU786850 BQQ786846:BQQ786850 CAM786846:CAM786850 CKI786846:CKI786850 CUE786846:CUE786850 DEA786846:DEA786850 DNW786846:DNW786850 DXS786846:DXS786850 EHO786846:EHO786850 ERK786846:ERK786850 FBG786846:FBG786850 FLC786846:FLC786850 FUY786846:FUY786850 GEU786846:GEU786850 GOQ786846:GOQ786850 GYM786846:GYM786850 HII786846:HII786850 HSE786846:HSE786850 ICA786846:ICA786850 ILW786846:ILW786850 IVS786846:IVS786850 JFO786846:JFO786850 JPK786846:JPK786850 JZG786846:JZG786850 KJC786846:KJC786850 KSY786846:KSY786850 LCU786846:LCU786850 LMQ786846:LMQ786850 LWM786846:LWM786850 MGI786846:MGI786850 MQE786846:MQE786850 NAA786846:NAA786850 NJW786846:NJW786850 NTS786846:NTS786850 ODO786846:ODO786850 ONK786846:ONK786850 OXG786846:OXG786850 PHC786846:PHC786850 PQY786846:PQY786850 QAU786846:QAU786850 QKQ786846:QKQ786850 QUM786846:QUM786850 REI786846:REI786850 ROE786846:ROE786850 RYA786846:RYA786850 SHW786846:SHW786850 SRS786846:SRS786850 TBO786846:TBO786850 TLK786846:TLK786850 TVG786846:TVG786850 UFC786846:UFC786850 UOY786846:UOY786850 UYU786846:UYU786850 VIQ786846:VIQ786850 VSM786846:VSM786850 WCI786846:WCI786850 WME786846:WME786850 WWA786846:WWA786850 S852382:S852386 JO852382:JO852386 TK852382:TK852386 ADG852382:ADG852386 ANC852382:ANC852386 AWY852382:AWY852386 BGU852382:BGU852386 BQQ852382:BQQ852386 CAM852382:CAM852386 CKI852382:CKI852386 CUE852382:CUE852386 DEA852382:DEA852386 DNW852382:DNW852386 DXS852382:DXS852386 EHO852382:EHO852386 ERK852382:ERK852386 FBG852382:FBG852386 FLC852382:FLC852386 FUY852382:FUY852386 GEU852382:GEU852386 GOQ852382:GOQ852386 GYM852382:GYM852386 HII852382:HII852386 HSE852382:HSE852386 ICA852382:ICA852386 ILW852382:ILW852386 IVS852382:IVS852386 JFO852382:JFO852386 JPK852382:JPK852386 JZG852382:JZG852386 KJC852382:KJC852386 KSY852382:KSY852386 LCU852382:LCU852386 LMQ852382:LMQ852386 LWM852382:LWM852386 MGI852382:MGI852386 MQE852382:MQE852386 NAA852382:NAA852386 NJW852382:NJW852386 NTS852382:NTS852386 ODO852382:ODO852386 ONK852382:ONK852386 OXG852382:OXG852386 PHC852382:PHC852386 PQY852382:PQY852386 QAU852382:QAU852386 QKQ852382:QKQ852386 QUM852382:QUM852386 REI852382:REI852386 ROE852382:ROE852386 RYA852382:RYA852386 SHW852382:SHW852386 SRS852382:SRS852386 TBO852382:TBO852386 TLK852382:TLK852386 TVG852382:TVG852386 UFC852382:UFC852386 UOY852382:UOY852386 UYU852382:UYU852386 VIQ852382:VIQ852386 VSM852382:VSM852386 WCI852382:WCI852386 WME852382:WME852386 WWA852382:WWA852386 S917918:S917922 JO917918:JO917922 TK917918:TK917922 ADG917918:ADG917922 ANC917918:ANC917922 AWY917918:AWY917922 BGU917918:BGU917922 BQQ917918:BQQ917922 CAM917918:CAM917922 CKI917918:CKI917922 CUE917918:CUE917922 DEA917918:DEA917922 DNW917918:DNW917922 DXS917918:DXS917922 EHO917918:EHO917922 ERK917918:ERK917922 FBG917918:FBG917922 FLC917918:FLC917922 FUY917918:FUY917922 GEU917918:GEU917922 GOQ917918:GOQ917922 GYM917918:GYM917922 HII917918:HII917922 HSE917918:HSE917922 ICA917918:ICA917922 ILW917918:ILW917922 IVS917918:IVS917922 JFO917918:JFO917922 JPK917918:JPK917922 JZG917918:JZG917922 KJC917918:KJC917922 KSY917918:KSY917922 LCU917918:LCU917922 LMQ917918:LMQ917922 LWM917918:LWM917922 MGI917918:MGI917922 MQE917918:MQE917922 NAA917918:NAA917922 NJW917918:NJW917922 NTS917918:NTS917922 ODO917918:ODO917922 ONK917918:ONK917922 OXG917918:OXG917922 PHC917918:PHC917922 PQY917918:PQY917922 QAU917918:QAU917922 QKQ917918:QKQ917922 QUM917918:QUM917922 REI917918:REI917922 ROE917918:ROE917922 RYA917918:RYA917922 SHW917918:SHW917922 SRS917918:SRS917922 TBO917918:TBO917922 TLK917918:TLK917922 TVG917918:TVG917922 UFC917918:UFC917922 UOY917918:UOY917922 UYU917918:UYU917922 VIQ917918:VIQ917922 VSM917918:VSM917922 WCI917918:WCI917922 WME917918:WME917922 WWA917918:WWA917922 S983454:S983458 JO983454:JO983458 TK983454:TK983458 ADG983454:ADG983458 ANC983454:ANC983458 AWY983454:AWY983458 BGU983454:BGU983458 BQQ983454:BQQ983458 CAM983454:CAM983458 CKI983454:CKI983458 CUE983454:CUE983458 DEA983454:DEA983458 DNW983454:DNW983458 DXS983454:DXS983458 EHO983454:EHO983458 ERK983454:ERK983458 FBG983454:FBG983458 FLC983454:FLC983458 FUY983454:FUY983458 GEU983454:GEU983458 GOQ983454:GOQ983458 GYM983454:GYM983458 HII983454:HII983458 HSE983454:HSE983458 ICA983454:ICA983458 ILW983454:ILW983458 IVS983454:IVS983458 JFO983454:JFO983458 JPK983454:JPK983458 JZG983454:JZG983458 KJC983454:KJC983458 KSY983454:KSY983458 LCU983454:LCU983458 LMQ983454:LMQ983458 LWM983454:LWM983458 MGI983454:MGI983458 MQE983454:MQE983458 NAA983454:NAA983458 NJW983454:NJW983458 NTS983454:NTS983458 ODO983454:ODO983458 ONK983454:ONK983458 OXG983454:OXG983458 PHC983454:PHC983458 PQY983454:PQY983458 QAU983454:QAU983458 QKQ983454:QKQ983458 QUM983454:QUM983458 REI983454:REI983458 ROE983454:ROE983458 RYA983454:RYA983458 SHW983454:SHW983458 SRS983454:SRS983458 TBO983454:TBO983458 TLK983454:TLK983458 TVG983454:TVG983458 UFC983454:UFC983458 UOY983454:UOY983458 UYU983454:UYU983458 VIQ983454:VIQ983458 VSM983454:VSM983458 WCI983454:WCI983458 WME983454:WME983458 WWA983454:WWA983458 S381:S385 JO381:JO385 TK381:TK385 ADG381:ADG385 ANC381:ANC385 AWY381:AWY385 BGU381:BGU385 BQQ381:BQQ385 CAM381:CAM385 CKI381:CKI385 CUE381:CUE385 DEA381:DEA385 DNW381:DNW385 DXS381:DXS385 EHO381:EHO385 ERK381:ERK385 FBG381:FBG385 FLC381:FLC385 FUY381:FUY385 GEU381:GEU385 GOQ381:GOQ385 GYM381:GYM385 HII381:HII385 HSE381:HSE385 ICA381:ICA385 ILW381:ILW385 IVS381:IVS385 JFO381:JFO385 JPK381:JPK385 JZG381:JZG385 KJC381:KJC385 KSY381:KSY385 LCU381:LCU385 LMQ381:LMQ385 LWM381:LWM385 MGI381:MGI385 MQE381:MQE385 NAA381:NAA385 NJW381:NJW385 NTS381:NTS385 ODO381:ODO385 ONK381:ONK385 OXG381:OXG385 PHC381:PHC385 PQY381:PQY385 QAU381:QAU385 QKQ381:QKQ385 QUM381:QUM385 REI381:REI385 ROE381:ROE385 RYA381:RYA385 SHW381:SHW385 SRS381:SRS385 TBO381:TBO385 TLK381:TLK385 TVG381:TVG385 UFC381:UFC385 UOY381:UOY385 UYU381:UYU385 VIQ381:VIQ385 VSM381:VSM385 WCI381:WCI385 WME381:WME385 WWA381:WWA385 S65917:S65921 JO65917:JO65921 TK65917:TK65921 ADG65917:ADG65921 ANC65917:ANC65921 AWY65917:AWY65921 BGU65917:BGU65921 BQQ65917:BQQ65921 CAM65917:CAM65921 CKI65917:CKI65921 CUE65917:CUE65921 DEA65917:DEA65921 DNW65917:DNW65921 DXS65917:DXS65921 EHO65917:EHO65921 ERK65917:ERK65921 FBG65917:FBG65921 FLC65917:FLC65921 FUY65917:FUY65921 GEU65917:GEU65921 GOQ65917:GOQ65921 GYM65917:GYM65921 HII65917:HII65921 HSE65917:HSE65921 ICA65917:ICA65921 ILW65917:ILW65921 IVS65917:IVS65921 JFO65917:JFO65921 JPK65917:JPK65921 JZG65917:JZG65921 KJC65917:KJC65921 KSY65917:KSY65921 LCU65917:LCU65921 LMQ65917:LMQ65921 LWM65917:LWM65921 MGI65917:MGI65921 MQE65917:MQE65921 NAA65917:NAA65921 NJW65917:NJW65921 NTS65917:NTS65921 ODO65917:ODO65921 ONK65917:ONK65921 OXG65917:OXG65921 PHC65917:PHC65921 PQY65917:PQY65921 QAU65917:QAU65921 QKQ65917:QKQ65921 QUM65917:QUM65921 REI65917:REI65921 ROE65917:ROE65921 RYA65917:RYA65921 SHW65917:SHW65921 SRS65917:SRS65921 TBO65917:TBO65921 TLK65917:TLK65921 TVG65917:TVG65921 UFC65917:UFC65921 UOY65917:UOY65921 UYU65917:UYU65921 VIQ65917:VIQ65921 VSM65917:VSM65921 WCI65917:WCI65921 WME65917:WME65921 WWA65917:WWA65921 S131453:S131457 JO131453:JO131457 TK131453:TK131457 ADG131453:ADG131457 ANC131453:ANC131457 AWY131453:AWY131457 BGU131453:BGU131457 BQQ131453:BQQ131457 CAM131453:CAM131457 CKI131453:CKI131457 CUE131453:CUE131457 DEA131453:DEA131457 DNW131453:DNW131457 DXS131453:DXS131457 EHO131453:EHO131457 ERK131453:ERK131457 FBG131453:FBG131457 FLC131453:FLC131457 FUY131453:FUY131457 GEU131453:GEU131457 GOQ131453:GOQ131457 GYM131453:GYM131457 HII131453:HII131457 HSE131453:HSE131457 ICA131453:ICA131457 ILW131453:ILW131457 IVS131453:IVS131457 JFO131453:JFO131457 JPK131453:JPK131457 JZG131453:JZG131457 KJC131453:KJC131457 KSY131453:KSY131457 LCU131453:LCU131457 LMQ131453:LMQ131457 LWM131453:LWM131457 MGI131453:MGI131457 MQE131453:MQE131457 NAA131453:NAA131457 NJW131453:NJW131457 NTS131453:NTS131457 ODO131453:ODO131457 ONK131453:ONK131457 OXG131453:OXG131457 PHC131453:PHC131457 PQY131453:PQY131457 QAU131453:QAU131457 QKQ131453:QKQ131457 QUM131453:QUM131457 REI131453:REI131457 ROE131453:ROE131457 RYA131453:RYA131457 SHW131453:SHW131457 SRS131453:SRS131457 TBO131453:TBO131457 TLK131453:TLK131457 TVG131453:TVG131457 UFC131453:UFC131457 UOY131453:UOY131457 UYU131453:UYU131457 VIQ131453:VIQ131457 VSM131453:VSM131457 WCI131453:WCI131457 WME131453:WME131457 WWA131453:WWA131457 S196989:S196993 JO196989:JO196993 TK196989:TK196993 ADG196989:ADG196993 ANC196989:ANC196993 AWY196989:AWY196993 BGU196989:BGU196993 BQQ196989:BQQ196993 CAM196989:CAM196993 CKI196989:CKI196993 CUE196989:CUE196993 DEA196989:DEA196993 DNW196989:DNW196993 DXS196989:DXS196993 EHO196989:EHO196993 ERK196989:ERK196993 FBG196989:FBG196993 FLC196989:FLC196993 FUY196989:FUY196993 GEU196989:GEU196993 GOQ196989:GOQ196993 GYM196989:GYM196993 HII196989:HII196993 HSE196989:HSE196993 ICA196989:ICA196993 ILW196989:ILW196993 IVS196989:IVS196993 JFO196989:JFO196993 JPK196989:JPK196993 JZG196989:JZG196993 KJC196989:KJC196993 KSY196989:KSY196993 LCU196989:LCU196993 LMQ196989:LMQ196993 LWM196989:LWM196993 MGI196989:MGI196993 MQE196989:MQE196993 NAA196989:NAA196993 NJW196989:NJW196993 NTS196989:NTS196993 ODO196989:ODO196993 ONK196989:ONK196993 OXG196989:OXG196993 PHC196989:PHC196993 PQY196989:PQY196993 QAU196989:QAU196993 QKQ196989:QKQ196993 QUM196989:QUM196993 REI196989:REI196993 ROE196989:ROE196993 RYA196989:RYA196993 SHW196989:SHW196993 SRS196989:SRS196993 TBO196989:TBO196993 TLK196989:TLK196993 TVG196989:TVG196993 UFC196989:UFC196993 UOY196989:UOY196993 UYU196989:UYU196993 VIQ196989:VIQ196993 VSM196989:VSM196993 WCI196989:WCI196993 WME196989:WME196993 WWA196989:WWA196993 S262525:S262529 JO262525:JO262529 TK262525:TK262529 ADG262525:ADG262529 ANC262525:ANC262529 AWY262525:AWY262529 BGU262525:BGU262529 BQQ262525:BQQ262529 CAM262525:CAM262529 CKI262525:CKI262529 CUE262525:CUE262529 DEA262525:DEA262529 DNW262525:DNW262529 DXS262525:DXS262529 EHO262525:EHO262529 ERK262525:ERK262529 FBG262525:FBG262529 FLC262525:FLC262529 FUY262525:FUY262529 GEU262525:GEU262529 GOQ262525:GOQ262529 GYM262525:GYM262529 HII262525:HII262529 HSE262525:HSE262529 ICA262525:ICA262529 ILW262525:ILW262529 IVS262525:IVS262529 JFO262525:JFO262529 JPK262525:JPK262529 JZG262525:JZG262529 KJC262525:KJC262529 KSY262525:KSY262529 LCU262525:LCU262529 LMQ262525:LMQ262529 LWM262525:LWM262529 MGI262525:MGI262529 MQE262525:MQE262529 NAA262525:NAA262529 NJW262525:NJW262529 NTS262525:NTS262529 ODO262525:ODO262529 ONK262525:ONK262529 OXG262525:OXG262529 PHC262525:PHC262529 PQY262525:PQY262529 QAU262525:QAU262529 QKQ262525:QKQ262529 QUM262525:QUM262529 REI262525:REI262529 ROE262525:ROE262529 RYA262525:RYA262529 SHW262525:SHW262529 SRS262525:SRS262529 TBO262525:TBO262529 TLK262525:TLK262529 TVG262525:TVG262529 UFC262525:UFC262529 UOY262525:UOY262529 UYU262525:UYU262529 VIQ262525:VIQ262529 VSM262525:VSM262529 WCI262525:WCI262529 WME262525:WME262529 WWA262525:WWA262529 S328061:S328065 JO328061:JO328065 TK328061:TK328065 ADG328061:ADG328065 ANC328061:ANC328065 AWY328061:AWY328065 BGU328061:BGU328065 BQQ328061:BQQ328065 CAM328061:CAM328065 CKI328061:CKI328065 CUE328061:CUE328065 DEA328061:DEA328065 DNW328061:DNW328065 DXS328061:DXS328065 EHO328061:EHO328065 ERK328061:ERK328065 FBG328061:FBG328065 FLC328061:FLC328065 FUY328061:FUY328065 GEU328061:GEU328065 GOQ328061:GOQ328065 GYM328061:GYM328065 HII328061:HII328065 HSE328061:HSE328065 ICA328061:ICA328065 ILW328061:ILW328065 IVS328061:IVS328065 JFO328061:JFO328065 JPK328061:JPK328065 JZG328061:JZG328065 KJC328061:KJC328065 KSY328061:KSY328065 LCU328061:LCU328065 LMQ328061:LMQ328065 LWM328061:LWM328065 MGI328061:MGI328065 MQE328061:MQE328065 NAA328061:NAA328065 NJW328061:NJW328065 NTS328061:NTS328065 ODO328061:ODO328065 ONK328061:ONK328065 OXG328061:OXG328065 PHC328061:PHC328065 PQY328061:PQY328065 QAU328061:QAU328065 QKQ328061:QKQ328065 QUM328061:QUM328065 REI328061:REI328065 ROE328061:ROE328065 RYA328061:RYA328065 SHW328061:SHW328065 SRS328061:SRS328065 TBO328061:TBO328065 TLK328061:TLK328065 TVG328061:TVG328065 UFC328061:UFC328065 UOY328061:UOY328065 UYU328061:UYU328065 VIQ328061:VIQ328065 VSM328061:VSM328065 WCI328061:WCI328065 WME328061:WME328065 WWA328061:WWA328065 S393597:S393601 JO393597:JO393601 TK393597:TK393601 ADG393597:ADG393601 ANC393597:ANC393601 AWY393597:AWY393601 BGU393597:BGU393601 BQQ393597:BQQ393601 CAM393597:CAM393601 CKI393597:CKI393601 CUE393597:CUE393601 DEA393597:DEA393601 DNW393597:DNW393601 DXS393597:DXS393601 EHO393597:EHO393601 ERK393597:ERK393601 FBG393597:FBG393601 FLC393597:FLC393601 FUY393597:FUY393601 GEU393597:GEU393601 GOQ393597:GOQ393601 GYM393597:GYM393601 HII393597:HII393601 HSE393597:HSE393601 ICA393597:ICA393601 ILW393597:ILW393601 IVS393597:IVS393601 JFO393597:JFO393601 JPK393597:JPK393601 JZG393597:JZG393601 KJC393597:KJC393601 KSY393597:KSY393601 LCU393597:LCU393601 LMQ393597:LMQ393601 LWM393597:LWM393601 MGI393597:MGI393601 MQE393597:MQE393601 NAA393597:NAA393601 NJW393597:NJW393601 NTS393597:NTS393601 ODO393597:ODO393601 ONK393597:ONK393601 OXG393597:OXG393601 PHC393597:PHC393601 PQY393597:PQY393601 QAU393597:QAU393601 QKQ393597:QKQ393601 QUM393597:QUM393601 REI393597:REI393601 ROE393597:ROE393601 RYA393597:RYA393601 SHW393597:SHW393601 SRS393597:SRS393601 TBO393597:TBO393601 TLK393597:TLK393601 TVG393597:TVG393601 UFC393597:UFC393601 UOY393597:UOY393601 UYU393597:UYU393601 VIQ393597:VIQ393601 VSM393597:VSM393601 WCI393597:WCI393601 WME393597:WME393601 WWA393597:WWA393601 S459133:S459137 JO459133:JO459137 TK459133:TK459137 ADG459133:ADG459137 ANC459133:ANC459137 AWY459133:AWY459137 BGU459133:BGU459137 BQQ459133:BQQ459137 CAM459133:CAM459137 CKI459133:CKI459137 CUE459133:CUE459137 DEA459133:DEA459137 DNW459133:DNW459137 DXS459133:DXS459137 EHO459133:EHO459137 ERK459133:ERK459137 FBG459133:FBG459137 FLC459133:FLC459137 FUY459133:FUY459137 GEU459133:GEU459137 GOQ459133:GOQ459137 GYM459133:GYM459137 HII459133:HII459137 HSE459133:HSE459137 ICA459133:ICA459137 ILW459133:ILW459137 IVS459133:IVS459137 JFO459133:JFO459137 JPK459133:JPK459137 JZG459133:JZG459137 KJC459133:KJC459137 KSY459133:KSY459137 LCU459133:LCU459137 LMQ459133:LMQ459137 LWM459133:LWM459137 MGI459133:MGI459137 MQE459133:MQE459137 NAA459133:NAA459137 NJW459133:NJW459137 NTS459133:NTS459137 ODO459133:ODO459137 ONK459133:ONK459137 OXG459133:OXG459137 PHC459133:PHC459137 PQY459133:PQY459137 QAU459133:QAU459137 QKQ459133:QKQ459137 QUM459133:QUM459137 REI459133:REI459137 ROE459133:ROE459137 RYA459133:RYA459137 SHW459133:SHW459137 SRS459133:SRS459137 TBO459133:TBO459137 TLK459133:TLK459137 TVG459133:TVG459137 UFC459133:UFC459137 UOY459133:UOY459137 UYU459133:UYU459137 VIQ459133:VIQ459137 VSM459133:VSM459137 WCI459133:WCI459137 WME459133:WME459137 WWA459133:WWA459137 S524669:S524673 JO524669:JO524673 TK524669:TK524673 ADG524669:ADG524673 ANC524669:ANC524673 AWY524669:AWY524673 BGU524669:BGU524673 BQQ524669:BQQ524673 CAM524669:CAM524673 CKI524669:CKI524673 CUE524669:CUE524673 DEA524669:DEA524673 DNW524669:DNW524673 DXS524669:DXS524673 EHO524669:EHO524673 ERK524669:ERK524673 FBG524669:FBG524673 FLC524669:FLC524673 FUY524669:FUY524673 GEU524669:GEU524673 GOQ524669:GOQ524673 GYM524669:GYM524673 HII524669:HII524673 HSE524669:HSE524673 ICA524669:ICA524673 ILW524669:ILW524673 IVS524669:IVS524673 JFO524669:JFO524673 JPK524669:JPK524673 JZG524669:JZG524673 KJC524669:KJC524673 KSY524669:KSY524673 LCU524669:LCU524673 LMQ524669:LMQ524673 LWM524669:LWM524673 MGI524669:MGI524673 MQE524669:MQE524673 NAA524669:NAA524673 NJW524669:NJW524673 NTS524669:NTS524673 ODO524669:ODO524673 ONK524669:ONK524673 OXG524669:OXG524673 PHC524669:PHC524673 PQY524669:PQY524673 QAU524669:QAU524673 QKQ524669:QKQ524673 QUM524669:QUM524673 REI524669:REI524673 ROE524669:ROE524673 RYA524669:RYA524673 SHW524669:SHW524673 SRS524669:SRS524673 TBO524669:TBO524673 TLK524669:TLK524673 TVG524669:TVG524673 UFC524669:UFC524673 UOY524669:UOY524673 UYU524669:UYU524673 VIQ524669:VIQ524673 VSM524669:VSM524673 WCI524669:WCI524673 WME524669:WME524673 WWA524669:WWA524673 S590205:S590209 JO590205:JO590209 TK590205:TK590209 ADG590205:ADG590209 ANC590205:ANC590209 AWY590205:AWY590209 BGU590205:BGU590209 BQQ590205:BQQ590209 CAM590205:CAM590209 CKI590205:CKI590209 CUE590205:CUE590209 DEA590205:DEA590209 DNW590205:DNW590209 DXS590205:DXS590209 EHO590205:EHO590209 ERK590205:ERK590209 FBG590205:FBG590209 FLC590205:FLC590209 FUY590205:FUY590209 GEU590205:GEU590209 GOQ590205:GOQ590209 GYM590205:GYM590209 HII590205:HII590209 HSE590205:HSE590209 ICA590205:ICA590209 ILW590205:ILW590209 IVS590205:IVS590209 JFO590205:JFO590209 JPK590205:JPK590209 JZG590205:JZG590209 KJC590205:KJC590209 KSY590205:KSY590209 LCU590205:LCU590209 LMQ590205:LMQ590209 LWM590205:LWM590209 MGI590205:MGI590209 MQE590205:MQE590209 NAA590205:NAA590209 NJW590205:NJW590209 NTS590205:NTS590209 ODO590205:ODO590209 ONK590205:ONK590209 OXG590205:OXG590209 PHC590205:PHC590209 PQY590205:PQY590209 QAU590205:QAU590209 QKQ590205:QKQ590209 QUM590205:QUM590209 REI590205:REI590209 ROE590205:ROE590209 RYA590205:RYA590209 SHW590205:SHW590209 SRS590205:SRS590209 TBO590205:TBO590209 TLK590205:TLK590209 TVG590205:TVG590209 UFC590205:UFC590209 UOY590205:UOY590209 UYU590205:UYU590209 VIQ590205:VIQ590209 VSM590205:VSM590209 WCI590205:WCI590209 WME590205:WME590209 WWA590205:WWA590209 S655741:S655745 JO655741:JO655745 TK655741:TK655745 ADG655741:ADG655745 ANC655741:ANC655745 AWY655741:AWY655745 BGU655741:BGU655745 BQQ655741:BQQ655745 CAM655741:CAM655745 CKI655741:CKI655745 CUE655741:CUE655745 DEA655741:DEA655745 DNW655741:DNW655745 DXS655741:DXS655745 EHO655741:EHO655745 ERK655741:ERK655745 FBG655741:FBG655745 FLC655741:FLC655745 FUY655741:FUY655745 GEU655741:GEU655745 GOQ655741:GOQ655745 GYM655741:GYM655745 HII655741:HII655745 HSE655741:HSE655745 ICA655741:ICA655745 ILW655741:ILW655745 IVS655741:IVS655745 JFO655741:JFO655745 JPK655741:JPK655745 JZG655741:JZG655745 KJC655741:KJC655745 KSY655741:KSY655745 LCU655741:LCU655745 LMQ655741:LMQ655745 LWM655741:LWM655745 MGI655741:MGI655745 MQE655741:MQE655745 NAA655741:NAA655745 NJW655741:NJW655745 NTS655741:NTS655745 ODO655741:ODO655745 ONK655741:ONK655745 OXG655741:OXG655745 PHC655741:PHC655745 PQY655741:PQY655745 QAU655741:QAU655745 QKQ655741:QKQ655745 QUM655741:QUM655745 REI655741:REI655745 ROE655741:ROE655745 RYA655741:RYA655745 SHW655741:SHW655745 SRS655741:SRS655745 TBO655741:TBO655745 TLK655741:TLK655745 TVG655741:TVG655745 UFC655741:UFC655745 UOY655741:UOY655745 UYU655741:UYU655745 VIQ655741:VIQ655745 VSM655741:VSM655745 WCI655741:WCI655745 WME655741:WME655745 WWA655741:WWA655745 S721277:S721281 JO721277:JO721281 TK721277:TK721281 ADG721277:ADG721281 ANC721277:ANC721281 AWY721277:AWY721281 BGU721277:BGU721281 BQQ721277:BQQ721281 CAM721277:CAM721281 CKI721277:CKI721281 CUE721277:CUE721281 DEA721277:DEA721281 DNW721277:DNW721281 DXS721277:DXS721281 EHO721277:EHO721281 ERK721277:ERK721281 FBG721277:FBG721281 FLC721277:FLC721281 FUY721277:FUY721281 GEU721277:GEU721281 GOQ721277:GOQ721281 GYM721277:GYM721281 HII721277:HII721281 HSE721277:HSE721281 ICA721277:ICA721281 ILW721277:ILW721281 IVS721277:IVS721281 JFO721277:JFO721281 JPK721277:JPK721281 JZG721277:JZG721281 KJC721277:KJC721281 KSY721277:KSY721281 LCU721277:LCU721281 LMQ721277:LMQ721281 LWM721277:LWM721281 MGI721277:MGI721281 MQE721277:MQE721281 NAA721277:NAA721281 NJW721277:NJW721281 NTS721277:NTS721281 ODO721277:ODO721281 ONK721277:ONK721281 OXG721277:OXG721281 PHC721277:PHC721281 PQY721277:PQY721281 QAU721277:QAU721281 QKQ721277:QKQ721281 QUM721277:QUM721281 REI721277:REI721281 ROE721277:ROE721281 RYA721277:RYA721281 SHW721277:SHW721281 SRS721277:SRS721281 TBO721277:TBO721281 TLK721277:TLK721281 TVG721277:TVG721281 UFC721277:UFC721281 UOY721277:UOY721281 UYU721277:UYU721281 VIQ721277:VIQ721281 VSM721277:VSM721281 WCI721277:WCI721281 WME721277:WME721281 WWA721277:WWA721281 S786813:S786817 JO786813:JO786817 TK786813:TK786817 ADG786813:ADG786817 ANC786813:ANC786817 AWY786813:AWY786817 BGU786813:BGU786817 BQQ786813:BQQ786817 CAM786813:CAM786817 CKI786813:CKI786817 CUE786813:CUE786817 DEA786813:DEA786817 DNW786813:DNW786817 DXS786813:DXS786817 EHO786813:EHO786817 ERK786813:ERK786817 FBG786813:FBG786817 FLC786813:FLC786817 FUY786813:FUY786817 GEU786813:GEU786817 GOQ786813:GOQ786817 GYM786813:GYM786817 HII786813:HII786817 HSE786813:HSE786817 ICA786813:ICA786817 ILW786813:ILW786817 IVS786813:IVS786817 JFO786813:JFO786817 JPK786813:JPK786817 JZG786813:JZG786817 KJC786813:KJC786817 KSY786813:KSY786817 LCU786813:LCU786817 LMQ786813:LMQ786817 LWM786813:LWM786817 MGI786813:MGI786817 MQE786813:MQE786817 NAA786813:NAA786817 NJW786813:NJW786817 NTS786813:NTS786817 ODO786813:ODO786817 ONK786813:ONK786817 OXG786813:OXG786817 PHC786813:PHC786817 PQY786813:PQY786817 QAU786813:QAU786817 QKQ786813:QKQ786817 QUM786813:QUM786817 REI786813:REI786817 ROE786813:ROE786817 RYA786813:RYA786817 SHW786813:SHW786817 SRS786813:SRS786817 TBO786813:TBO786817 TLK786813:TLK786817 TVG786813:TVG786817 UFC786813:UFC786817 UOY786813:UOY786817 UYU786813:UYU786817 VIQ786813:VIQ786817 VSM786813:VSM786817 WCI786813:WCI786817 WME786813:WME786817 WWA786813:WWA786817 S852349:S852353 JO852349:JO852353 TK852349:TK852353 ADG852349:ADG852353 ANC852349:ANC852353 AWY852349:AWY852353 BGU852349:BGU852353 BQQ852349:BQQ852353 CAM852349:CAM852353 CKI852349:CKI852353 CUE852349:CUE852353 DEA852349:DEA852353 DNW852349:DNW852353 DXS852349:DXS852353 EHO852349:EHO852353 ERK852349:ERK852353 FBG852349:FBG852353 FLC852349:FLC852353 FUY852349:FUY852353 GEU852349:GEU852353 GOQ852349:GOQ852353 GYM852349:GYM852353 HII852349:HII852353 HSE852349:HSE852353 ICA852349:ICA852353 ILW852349:ILW852353 IVS852349:IVS852353 JFO852349:JFO852353 JPK852349:JPK852353 JZG852349:JZG852353 KJC852349:KJC852353 KSY852349:KSY852353 LCU852349:LCU852353 LMQ852349:LMQ852353 LWM852349:LWM852353 MGI852349:MGI852353 MQE852349:MQE852353 NAA852349:NAA852353 NJW852349:NJW852353 NTS852349:NTS852353 ODO852349:ODO852353 ONK852349:ONK852353 OXG852349:OXG852353 PHC852349:PHC852353 PQY852349:PQY852353 QAU852349:QAU852353 QKQ852349:QKQ852353 QUM852349:QUM852353 REI852349:REI852353 ROE852349:ROE852353 RYA852349:RYA852353 SHW852349:SHW852353 SRS852349:SRS852353 TBO852349:TBO852353 TLK852349:TLK852353 TVG852349:TVG852353 UFC852349:UFC852353 UOY852349:UOY852353 UYU852349:UYU852353 VIQ852349:VIQ852353 VSM852349:VSM852353 WCI852349:WCI852353 WME852349:WME852353 WWA852349:WWA852353 S917885:S917889 JO917885:JO917889 TK917885:TK917889 ADG917885:ADG917889 ANC917885:ANC917889 AWY917885:AWY917889 BGU917885:BGU917889 BQQ917885:BQQ917889 CAM917885:CAM917889 CKI917885:CKI917889 CUE917885:CUE917889 DEA917885:DEA917889 DNW917885:DNW917889 DXS917885:DXS917889 EHO917885:EHO917889 ERK917885:ERK917889 FBG917885:FBG917889 FLC917885:FLC917889 FUY917885:FUY917889 GEU917885:GEU917889 GOQ917885:GOQ917889 GYM917885:GYM917889 HII917885:HII917889 HSE917885:HSE917889 ICA917885:ICA917889 ILW917885:ILW917889 IVS917885:IVS917889 JFO917885:JFO917889 JPK917885:JPK917889 JZG917885:JZG917889 KJC917885:KJC917889 KSY917885:KSY917889 LCU917885:LCU917889 LMQ917885:LMQ917889 LWM917885:LWM917889 MGI917885:MGI917889 MQE917885:MQE917889 NAA917885:NAA917889 NJW917885:NJW917889 NTS917885:NTS917889 ODO917885:ODO917889 ONK917885:ONK917889 OXG917885:OXG917889 PHC917885:PHC917889 PQY917885:PQY917889 QAU917885:QAU917889 QKQ917885:QKQ917889 QUM917885:QUM917889 REI917885:REI917889 ROE917885:ROE917889 RYA917885:RYA917889 SHW917885:SHW917889 SRS917885:SRS917889 TBO917885:TBO917889 TLK917885:TLK917889 TVG917885:TVG917889 UFC917885:UFC917889 UOY917885:UOY917889 UYU917885:UYU917889 VIQ917885:VIQ917889 VSM917885:VSM917889 WCI917885:WCI917889 WME917885:WME917889 WWA917885:WWA917889 S983421:S983425 JO983421:JO983425 TK983421:TK983425 ADG983421:ADG983425 ANC983421:ANC983425 AWY983421:AWY983425 BGU983421:BGU983425 BQQ983421:BQQ983425 CAM983421:CAM983425 CKI983421:CKI983425 CUE983421:CUE983425 DEA983421:DEA983425 DNW983421:DNW983425 DXS983421:DXS983425 EHO983421:EHO983425 ERK983421:ERK983425 FBG983421:FBG983425 FLC983421:FLC983425 FUY983421:FUY983425 GEU983421:GEU983425 GOQ983421:GOQ983425 GYM983421:GYM983425 HII983421:HII983425 HSE983421:HSE983425 ICA983421:ICA983425 ILW983421:ILW983425 IVS983421:IVS983425 JFO983421:JFO983425 JPK983421:JPK983425 JZG983421:JZG983425 KJC983421:KJC983425 KSY983421:KSY983425 LCU983421:LCU983425 LMQ983421:LMQ983425 LWM983421:LWM983425 MGI983421:MGI983425 MQE983421:MQE983425 NAA983421:NAA983425 NJW983421:NJW983425 NTS983421:NTS983425 ODO983421:ODO983425 ONK983421:ONK983425 OXG983421:OXG983425 PHC983421:PHC983425 PQY983421:PQY983425 QAU983421:QAU983425 QKQ983421:QKQ983425 QUM983421:QUM983425 REI983421:REI983425 ROE983421:ROE983425 RYA983421:RYA983425 SHW983421:SHW983425 SRS983421:SRS983425 TBO983421:TBO983425 TLK983421:TLK983425 TVG983421:TVG983425 UFC983421:UFC983425 UOY983421:UOY983425 UYU983421:UYU983425 VIQ983421:VIQ983425 VSM983421:VSM983425 WCI983421:WCI983425 WME983421:WME983425 WWA983421:WWA983425</xm:sqref>
        </x14:dataValidation>
        <x14:dataValidation allowBlank="1" showErrorMessage="1" xr:uid="{0F559020-F951-4152-8C08-FC6F9BBB79E0}">
          <xm:sqref>P620 JL620 TH620 ADD620 AMZ620 AWV620 BGR620 BQN620 CAJ620 CKF620 CUB620 DDX620 DNT620 DXP620 EHL620 ERH620 FBD620 FKZ620 FUV620 GER620 GON620 GYJ620 HIF620 HSB620 IBX620 ILT620 IVP620 JFL620 JPH620 JZD620 KIZ620 KSV620 LCR620 LMN620 LWJ620 MGF620 MQB620 MZX620 NJT620 NTP620 ODL620 ONH620 OXD620 PGZ620 PQV620 QAR620 QKN620 QUJ620 REF620 ROB620 RXX620 SHT620 SRP620 TBL620 TLH620 TVD620 UEZ620 UOV620 UYR620 VIN620 VSJ620 WCF620 WMB620 WVX620 P66156 JL66156 TH66156 ADD66156 AMZ66156 AWV66156 BGR66156 BQN66156 CAJ66156 CKF66156 CUB66156 DDX66156 DNT66156 DXP66156 EHL66156 ERH66156 FBD66156 FKZ66156 FUV66156 GER66156 GON66156 GYJ66156 HIF66156 HSB66156 IBX66156 ILT66156 IVP66156 JFL66156 JPH66156 JZD66156 KIZ66156 KSV66156 LCR66156 LMN66156 LWJ66156 MGF66156 MQB66156 MZX66156 NJT66156 NTP66156 ODL66156 ONH66156 OXD66156 PGZ66156 PQV66156 QAR66156 QKN66156 QUJ66156 REF66156 ROB66156 RXX66156 SHT66156 SRP66156 TBL66156 TLH66156 TVD66156 UEZ66156 UOV66156 UYR66156 VIN66156 VSJ66156 WCF66156 WMB66156 WVX66156 P131692 JL131692 TH131692 ADD131692 AMZ131692 AWV131692 BGR131692 BQN131692 CAJ131692 CKF131692 CUB131692 DDX131692 DNT131692 DXP131692 EHL131692 ERH131692 FBD131692 FKZ131692 FUV131692 GER131692 GON131692 GYJ131692 HIF131692 HSB131692 IBX131692 ILT131692 IVP131692 JFL131692 JPH131692 JZD131692 KIZ131692 KSV131692 LCR131692 LMN131692 LWJ131692 MGF131692 MQB131692 MZX131692 NJT131692 NTP131692 ODL131692 ONH131692 OXD131692 PGZ131692 PQV131692 QAR131692 QKN131692 QUJ131692 REF131692 ROB131692 RXX131692 SHT131692 SRP131692 TBL131692 TLH131692 TVD131692 UEZ131692 UOV131692 UYR131692 VIN131692 VSJ131692 WCF131692 WMB131692 WVX131692 P197228 JL197228 TH197228 ADD197228 AMZ197228 AWV197228 BGR197228 BQN197228 CAJ197228 CKF197228 CUB197228 DDX197228 DNT197228 DXP197228 EHL197228 ERH197228 FBD197228 FKZ197228 FUV197228 GER197228 GON197228 GYJ197228 HIF197228 HSB197228 IBX197228 ILT197228 IVP197228 JFL197228 JPH197228 JZD197228 KIZ197228 KSV197228 LCR197228 LMN197228 LWJ197228 MGF197228 MQB197228 MZX197228 NJT197228 NTP197228 ODL197228 ONH197228 OXD197228 PGZ197228 PQV197228 QAR197228 QKN197228 QUJ197228 REF197228 ROB197228 RXX197228 SHT197228 SRP197228 TBL197228 TLH197228 TVD197228 UEZ197228 UOV197228 UYR197228 VIN197228 VSJ197228 WCF197228 WMB197228 WVX197228 P262764 JL262764 TH262764 ADD262764 AMZ262764 AWV262764 BGR262764 BQN262764 CAJ262764 CKF262764 CUB262764 DDX262764 DNT262764 DXP262764 EHL262764 ERH262764 FBD262764 FKZ262764 FUV262764 GER262764 GON262764 GYJ262764 HIF262764 HSB262764 IBX262764 ILT262764 IVP262764 JFL262764 JPH262764 JZD262764 KIZ262764 KSV262764 LCR262764 LMN262764 LWJ262764 MGF262764 MQB262764 MZX262764 NJT262764 NTP262764 ODL262764 ONH262764 OXD262764 PGZ262764 PQV262764 QAR262764 QKN262764 QUJ262764 REF262764 ROB262764 RXX262764 SHT262764 SRP262764 TBL262764 TLH262764 TVD262764 UEZ262764 UOV262764 UYR262764 VIN262764 VSJ262764 WCF262764 WMB262764 WVX262764 P328300 JL328300 TH328300 ADD328300 AMZ328300 AWV328300 BGR328300 BQN328300 CAJ328300 CKF328300 CUB328300 DDX328300 DNT328300 DXP328300 EHL328300 ERH328300 FBD328300 FKZ328300 FUV328300 GER328300 GON328300 GYJ328300 HIF328300 HSB328300 IBX328300 ILT328300 IVP328300 JFL328300 JPH328300 JZD328300 KIZ328300 KSV328300 LCR328300 LMN328300 LWJ328300 MGF328300 MQB328300 MZX328300 NJT328300 NTP328300 ODL328300 ONH328300 OXD328300 PGZ328300 PQV328300 QAR328300 QKN328300 QUJ328300 REF328300 ROB328300 RXX328300 SHT328300 SRP328300 TBL328300 TLH328300 TVD328300 UEZ328300 UOV328300 UYR328300 VIN328300 VSJ328300 WCF328300 WMB328300 WVX328300 P393836 JL393836 TH393836 ADD393836 AMZ393836 AWV393836 BGR393836 BQN393836 CAJ393836 CKF393836 CUB393836 DDX393836 DNT393836 DXP393836 EHL393836 ERH393836 FBD393836 FKZ393836 FUV393836 GER393836 GON393836 GYJ393836 HIF393836 HSB393836 IBX393836 ILT393836 IVP393836 JFL393836 JPH393836 JZD393836 KIZ393836 KSV393836 LCR393836 LMN393836 LWJ393836 MGF393836 MQB393836 MZX393836 NJT393836 NTP393836 ODL393836 ONH393836 OXD393836 PGZ393836 PQV393836 QAR393836 QKN393836 QUJ393836 REF393836 ROB393836 RXX393836 SHT393836 SRP393836 TBL393836 TLH393836 TVD393836 UEZ393836 UOV393836 UYR393836 VIN393836 VSJ393836 WCF393836 WMB393836 WVX393836 P459372 JL459372 TH459372 ADD459372 AMZ459372 AWV459372 BGR459372 BQN459372 CAJ459372 CKF459372 CUB459372 DDX459372 DNT459372 DXP459372 EHL459372 ERH459372 FBD459372 FKZ459372 FUV459372 GER459372 GON459372 GYJ459372 HIF459372 HSB459372 IBX459372 ILT459372 IVP459372 JFL459372 JPH459372 JZD459372 KIZ459372 KSV459372 LCR459372 LMN459372 LWJ459372 MGF459372 MQB459372 MZX459372 NJT459372 NTP459372 ODL459372 ONH459372 OXD459372 PGZ459372 PQV459372 QAR459372 QKN459372 QUJ459372 REF459372 ROB459372 RXX459372 SHT459372 SRP459372 TBL459372 TLH459372 TVD459372 UEZ459372 UOV459372 UYR459372 VIN459372 VSJ459372 WCF459372 WMB459372 WVX459372 P524908 JL524908 TH524908 ADD524908 AMZ524908 AWV524908 BGR524908 BQN524908 CAJ524908 CKF524908 CUB524908 DDX524908 DNT524908 DXP524908 EHL524908 ERH524908 FBD524908 FKZ524908 FUV524908 GER524908 GON524908 GYJ524908 HIF524908 HSB524908 IBX524908 ILT524908 IVP524908 JFL524908 JPH524908 JZD524908 KIZ524908 KSV524908 LCR524908 LMN524908 LWJ524908 MGF524908 MQB524908 MZX524908 NJT524908 NTP524908 ODL524908 ONH524908 OXD524908 PGZ524908 PQV524908 QAR524908 QKN524908 QUJ524908 REF524908 ROB524908 RXX524908 SHT524908 SRP524908 TBL524908 TLH524908 TVD524908 UEZ524908 UOV524908 UYR524908 VIN524908 VSJ524908 WCF524908 WMB524908 WVX524908 P590444 JL590444 TH590444 ADD590444 AMZ590444 AWV590444 BGR590444 BQN590444 CAJ590444 CKF590444 CUB590444 DDX590444 DNT590444 DXP590444 EHL590444 ERH590444 FBD590444 FKZ590444 FUV590444 GER590444 GON590444 GYJ590444 HIF590444 HSB590444 IBX590444 ILT590444 IVP590444 JFL590444 JPH590444 JZD590444 KIZ590444 KSV590444 LCR590444 LMN590444 LWJ590444 MGF590444 MQB590444 MZX590444 NJT590444 NTP590444 ODL590444 ONH590444 OXD590444 PGZ590444 PQV590444 QAR590444 QKN590444 QUJ590444 REF590444 ROB590444 RXX590444 SHT590444 SRP590444 TBL590444 TLH590444 TVD590444 UEZ590444 UOV590444 UYR590444 VIN590444 VSJ590444 WCF590444 WMB590444 WVX590444 P655980 JL655980 TH655980 ADD655980 AMZ655980 AWV655980 BGR655980 BQN655980 CAJ655980 CKF655980 CUB655980 DDX655980 DNT655980 DXP655980 EHL655980 ERH655980 FBD655980 FKZ655980 FUV655980 GER655980 GON655980 GYJ655980 HIF655980 HSB655980 IBX655980 ILT655980 IVP655980 JFL655980 JPH655980 JZD655980 KIZ655980 KSV655980 LCR655980 LMN655980 LWJ655980 MGF655980 MQB655980 MZX655980 NJT655980 NTP655980 ODL655980 ONH655980 OXD655980 PGZ655980 PQV655980 QAR655980 QKN655980 QUJ655980 REF655980 ROB655980 RXX655980 SHT655980 SRP655980 TBL655980 TLH655980 TVD655980 UEZ655980 UOV655980 UYR655980 VIN655980 VSJ655980 WCF655980 WMB655980 WVX655980 P721516 JL721516 TH721516 ADD721516 AMZ721516 AWV721516 BGR721516 BQN721516 CAJ721516 CKF721516 CUB721516 DDX721516 DNT721516 DXP721516 EHL721516 ERH721516 FBD721516 FKZ721516 FUV721516 GER721516 GON721516 GYJ721516 HIF721516 HSB721516 IBX721516 ILT721516 IVP721516 JFL721516 JPH721516 JZD721516 KIZ721516 KSV721516 LCR721516 LMN721516 LWJ721516 MGF721516 MQB721516 MZX721516 NJT721516 NTP721516 ODL721516 ONH721516 OXD721516 PGZ721516 PQV721516 QAR721516 QKN721516 QUJ721516 REF721516 ROB721516 RXX721516 SHT721516 SRP721516 TBL721516 TLH721516 TVD721516 UEZ721516 UOV721516 UYR721516 VIN721516 VSJ721516 WCF721516 WMB721516 WVX721516 P787052 JL787052 TH787052 ADD787052 AMZ787052 AWV787052 BGR787052 BQN787052 CAJ787052 CKF787052 CUB787052 DDX787052 DNT787052 DXP787052 EHL787052 ERH787052 FBD787052 FKZ787052 FUV787052 GER787052 GON787052 GYJ787052 HIF787052 HSB787052 IBX787052 ILT787052 IVP787052 JFL787052 JPH787052 JZD787052 KIZ787052 KSV787052 LCR787052 LMN787052 LWJ787052 MGF787052 MQB787052 MZX787052 NJT787052 NTP787052 ODL787052 ONH787052 OXD787052 PGZ787052 PQV787052 QAR787052 QKN787052 QUJ787052 REF787052 ROB787052 RXX787052 SHT787052 SRP787052 TBL787052 TLH787052 TVD787052 UEZ787052 UOV787052 UYR787052 VIN787052 VSJ787052 WCF787052 WMB787052 WVX787052 P852588 JL852588 TH852588 ADD852588 AMZ852588 AWV852588 BGR852588 BQN852588 CAJ852588 CKF852588 CUB852588 DDX852588 DNT852588 DXP852588 EHL852588 ERH852588 FBD852588 FKZ852588 FUV852588 GER852588 GON852588 GYJ852588 HIF852588 HSB852588 IBX852588 ILT852588 IVP852588 JFL852588 JPH852588 JZD852588 KIZ852588 KSV852588 LCR852588 LMN852588 LWJ852588 MGF852588 MQB852588 MZX852588 NJT852588 NTP852588 ODL852588 ONH852588 OXD852588 PGZ852588 PQV852588 QAR852588 QKN852588 QUJ852588 REF852588 ROB852588 RXX852588 SHT852588 SRP852588 TBL852588 TLH852588 TVD852588 UEZ852588 UOV852588 UYR852588 VIN852588 VSJ852588 WCF852588 WMB852588 WVX852588 P918124 JL918124 TH918124 ADD918124 AMZ918124 AWV918124 BGR918124 BQN918124 CAJ918124 CKF918124 CUB918124 DDX918124 DNT918124 DXP918124 EHL918124 ERH918124 FBD918124 FKZ918124 FUV918124 GER918124 GON918124 GYJ918124 HIF918124 HSB918124 IBX918124 ILT918124 IVP918124 JFL918124 JPH918124 JZD918124 KIZ918124 KSV918124 LCR918124 LMN918124 LWJ918124 MGF918124 MQB918124 MZX918124 NJT918124 NTP918124 ODL918124 ONH918124 OXD918124 PGZ918124 PQV918124 QAR918124 QKN918124 QUJ918124 REF918124 ROB918124 RXX918124 SHT918124 SRP918124 TBL918124 TLH918124 TVD918124 UEZ918124 UOV918124 UYR918124 VIN918124 VSJ918124 WCF918124 WMB918124 WVX918124 P983660 JL983660 TH983660 ADD983660 AMZ983660 AWV983660 BGR983660 BQN983660 CAJ983660 CKF983660 CUB983660 DDX983660 DNT983660 DXP983660 EHL983660 ERH983660 FBD983660 FKZ983660 FUV983660 GER983660 GON983660 GYJ983660 HIF983660 HSB983660 IBX983660 ILT983660 IVP983660 JFL983660 JPH983660 JZD983660 KIZ983660 KSV983660 LCR983660 LMN983660 LWJ983660 MGF983660 MQB983660 MZX983660 NJT983660 NTP983660 ODL983660 ONH983660 OXD983660 PGZ983660 PQV983660 QAR983660 QKN983660 QUJ983660 REF983660 ROB983660 RXX983660 SHT983660 SRP983660 TBL983660 TLH983660 TVD983660 UEZ983660 UOV983660 UYR983660 VIN983660 VSJ983660 WCF983660 WMB983660 WVX983660 P112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WVX112 P65648 JL65648 TH65648 ADD65648 AMZ65648 AWV65648 BGR65648 BQN65648 CAJ65648 CKF65648 CUB65648 DDX65648 DNT65648 DXP65648 EHL65648 ERH65648 FBD65648 FKZ65648 FUV65648 GER65648 GON65648 GYJ65648 HIF65648 HSB65648 IBX65648 ILT65648 IVP65648 JFL65648 JPH65648 JZD65648 KIZ65648 KSV65648 LCR65648 LMN65648 LWJ65648 MGF65648 MQB65648 MZX65648 NJT65648 NTP65648 ODL65648 ONH65648 OXD65648 PGZ65648 PQV65648 QAR65648 QKN65648 QUJ65648 REF65648 ROB65648 RXX65648 SHT65648 SRP65648 TBL65648 TLH65648 TVD65648 UEZ65648 UOV65648 UYR65648 VIN65648 VSJ65648 WCF65648 WMB65648 WVX65648 P131184 JL131184 TH131184 ADD131184 AMZ131184 AWV131184 BGR131184 BQN131184 CAJ131184 CKF131184 CUB131184 DDX131184 DNT131184 DXP131184 EHL131184 ERH131184 FBD131184 FKZ131184 FUV131184 GER131184 GON131184 GYJ131184 HIF131184 HSB131184 IBX131184 ILT131184 IVP131184 JFL131184 JPH131184 JZD131184 KIZ131184 KSV131184 LCR131184 LMN131184 LWJ131184 MGF131184 MQB131184 MZX131184 NJT131184 NTP131184 ODL131184 ONH131184 OXD131184 PGZ131184 PQV131184 QAR131184 QKN131184 QUJ131184 REF131184 ROB131184 RXX131184 SHT131184 SRP131184 TBL131184 TLH131184 TVD131184 UEZ131184 UOV131184 UYR131184 VIN131184 VSJ131184 WCF131184 WMB131184 WVX131184 P196720 JL196720 TH196720 ADD196720 AMZ196720 AWV196720 BGR196720 BQN196720 CAJ196720 CKF196720 CUB196720 DDX196720 DNT196720 DXP196720 EHL196720 ERH196720 FBD196720 FKZ196720 FUV196720 GER196720 GON196720 GYJ196720 HIF196720 HSB196720 IBX196720 ILT196720 IVP196720 JFL196720 JPH196720 JZD196720 KIZ196720 KSV196720 LCR196720 LMN196720 LWJ196720 MGF196720 MQB196720 MZX196720 NJT196720 NTP196720 ODL196720 ONH196720 OXD196720 PGZ196720 PQV196720 QAR196720 QKN196720 QUJ196720 REF196720 ROB196720 RXX196720 SHT196720 SRP196720 TBL196720 TLH196720 TVD196720 UEZ196720 UOV196720 UYR196720 VIN196720 VSJ196720 WCF196720 WMB196720 WVX196720 P262256 JL262256 TH262256 ADD262256 AMZ262256 AWV262256 BGR262256 BQN262256 CAJ262256 CKF262256 CUB262256 DDX262256 DNT262256 DXP262256 EHL262256 ERH262256 FBD262256 FKZ262256 FUV262256 GER262256 GON262256 GYJ262256 HIF262256 HSB262256 IBX262256 ILT262256 IVP262256 JFL262256 JPH262256 JZD262256 KIZ262256 KSV262256 LCR262256 LMN262256 LWJ262256 MGF262256 MQB262256 MZX262256 NJT262256 NTP262256 ODL262256 ONH262256 OXD262256 PGZ262256 PQV262256 QAR262256 QKN262256 QUJ262256 REF262256 ROB262256 RXX262256 SHT262256 SRP262256 TBL262256 TLH262256 TVD262256 UEZ262256 UOV262256 UYR262256 VIN262256 VSJ262256 WCF262256 WMB262256 WVX262256 P327792 JL327792 TH327792 ADD327792 AMZ327792 AWV327792 BGR327792 BQN327792 CAJ327792 CKF327792 CUB327792 DDX327792 DNT327792 DXP327792 EHL327792 ERH327792 FBD327792 FKZ327792 FUV327792 GER327792 GON327792 GYJ327792 HIF327792 HSB327792 IBX327792 ILT327792 IVP327792 JFL327792 JPH327792 JZD327792 KIZ327792 KSV327792 LCR327792 LMN327792 LWJ327792 MGF327792 MQB327792 MZX327792 NJT327792 NTP327792 ODL327792 ONH327792 OXD327792 PGZ327792 PQV327792 QAR327792 QKN327792 QUJ327792 REF327792 ROB327792 RXX327792 SHT327792 SRP327792 TBL327792 TLH327792 TVD327792 UEZ327792 UOV327792 UYR327792 VIN327792 VSJ327792 WCF327792 WMB327792 WVX327792 P393328 JL393328 TH393328 ADD393328 AMZ393328 AWV393328 BGR393328 BQN393328 CAJ393328 CKF393328 CUB393328 DDX393328 DNT393328 DXP393328 EHL393328 ERH393328 FBD393328 FKZ393328 FUV393328 GER393328 GON393328 GYJ393328 HIF393328 HSB393328 IBX393328 ILT393328 IVP393328 JFL393328 JPH393328 JZD393328 KIZ393328 KSV393328 LCR393328 LMN393328 LWJ393328 MGF393328 MQB393328 MZX393328 NJT393328 NTP393328 ODL393328 ONH393328 OXD393328 PGZ393328 PQV393328 QAR393328 QKN393328 QUJ393328 REF393328 ROB393328 RXX393328 SHT393328 SRP393328 TBL393328 TLH393328 TVD393328 UEZ393328 UOV393328 UYR393328 VIN393328 VSJ393328 WCF393328 WMB393328 WVX393328 P458864 JL458864 TH458864 ADD458864 AMZ458864 AWV458864 BGR458864 BQN458864 CAJ458864 CKF458864 CUB458864 DDX458864 DNT458864 DXP458864 EHL458864 ERH458864 FBD458864 FKZ458864 FUV458864 GER458864 GON458864 GYJ458864 HIF458864 HSB458864 IBX458864 ILT458864 IVP458864 JFL458864 JPH458864 JZD458864 KIZ458864 KSV458864 LCR458864 LMN458864 LWJ458864 MGF458864 MQB458864 MZX458864 NJT458864 NTP458864 ODL458864 ONH458864 OXD458864 PGZ458864 PQV458864 QAR458864 QKN458864 QUJ458864 REF458864 ROB458864 RXX458864 SHT458864 SRP458864 TBL458864 TLH458864 TVD458864 UEZ458864 UOV458864 UYR458864 VIN458864 VSJ458864 WCF458864 WMB458864 WVX458864 P524400 JL524400 TH524400 ADD524400 AMZ524400 AWV524400 BGR524400 BQN524400 CAJ524400 CKF524400 CUB524400 DDX524400 DNT524400 DXP524400 EHL524400 ERH524400 FBD524400 FKZ524400 FUV524400 GER524400 GON524400 GYJ524400 HIF524400 HSB524400 IBX524400 ILT524400 IVP524400 JFL524400 JPH524400 JZD524400 KIZ524400 KSV524400 LCR524400 LMN524400 LWJ524400 MGF524400 MQB524400 MZX524400 NJT524400 NTP524400 ODL524400 ONH524400 OXD524400 PGZ524400 PQV524400 QAR524400 QKN524400 QUJ524400 REF524400 ROB524400 RXX524400 SHT524400 SRP524400 TBL524400 TLH524400 TVD524400 UEZ524400 UOV524400 UYR524400 VIN524400 VSJ524400 WCF524400 WMB524400 WVX524400 P589936 JL589936 TH589936 ADD589936 AMZ589936 AWV589936 BGR589936 BQN589936 CAJ589936 CKF589936 CUB589936 DDX589936 DNT589936 DXP589936 EHL589936 ERH589936 FBD589936 FKZ589936 FUV589936 GER589936 GON589936 GYJ589936 HIF589936 HSB589936 IBX589936 ILT589936 IVP589936 JFL589936 JPH589936 JZD589936 KIZ589936 KSV589936 LCR589936 LMN589936 LWJ589936 MGF589936 MQB589936 MZX589936 NJT589936 NTP589936 ODL589936 ONH589936 OXD589936 PGZ589936 PQV589936 QAR589936 QKN589936 QUJ589936 REF589936 ROB589936 RXX589936 SHT589936 SRP589936 TBL589936 TLH589936 TVD589936 UEZ589936 UOV589936 UYR589936 VIN589936 VSJ589936 WCF589936 WMB589936 WVX589936 P655472 JL655472 TH655472 ADD655472 AMZ655472 AWV655472 BGR655472 BQN655472 CAJ655472 CKF655472 CUB655472 DDX655472 DNT655472 DXP655472 EHL655472 ERH655472 FBD655472 FKZ655472 FUV655472 GER655472 GON655472 GYJ655472 HIF655472 HSB655472 IBX655472 ILT655472 IVP655472 JFL655472 JPH655472 JZD655472 KIZ655472 KSV655472 LCR655472 LMN655472 LWJ655472 MGF655472 MQB655472 MZX655472 NJT655472 NTP655472 ODL655472 ONH655472 OXD655472 PGZ655472 PQV655472 QAR655472 QKN655472 QUJ655472 REF655472 ROB655472 RXX655472 SHT655472 SRP655472 TBL655472 TLH655472 TVD655472 UEZ655472 UOV655472 UYR655472 VIN655472 VSJ655472 WCF655472 WMB655472 WVX655472 P721008 JL721008 TH721008 ADD721008 AMZ721008 AWV721008 BGR721008 BQN721008 CAJ721008 CKF721008 CUB721008 DDX721008 DNT721008 DXP721008 EHL721008 ERH721008 FBD721008 FKZ721008 FUV721008 GER721008 GON721008 GYJ721008 HIF721008 HSB721008 IBX721008 ILT721008 IVP721008 JFL721008 JPH721008 JZD721008 KIZ721008 KSV721008 LCR721008 LMN721008 LWJ721008 MGF721008 MQB721008 MZX721008 NJT721008 NTP721008 ODL721008 ONH721008 OXD721008 PGZ721008 PQV721008 QAR721008 QKN721008 QUJ721008 REF721008 ROB721008 RXX721008 SHT721008 SRP721008 TBL721008 TLH721008 TVD721008 UEZ721008 UOV721008 UYR721008 VIN721008 VSJ721008 WCF721008 WMB721008 WVX721008 P786544 JL786544 TH786544 ADD786544 AMZ786544 AWV786544 BGR786544 BQN786544 CAJ786544 CKF786544 CUB786544 DDX786544 DNT786544 DXP786544 EHL786544 ERH786544 FBD786544 FKZ786544 FUV786544 GER786544 GON786544 GYJ786544 HIF786544 HSB786544 IBX786544 ILT786544 IVP786544 JFL786544 JPH786544 JZD786544 KIZ786544 KSV786544 LCR786544 LMN786544 LWJ786544 MGF786544 MQB786544 MZX786544 NJT786544 NTP786544 ODL786544 ONH786544 OXD786544 PGZ786544 PQV786544 QAR786544 QKN786544 QUJ786544 REF786544 ROB786544 RXX786544 SHT786544 SRP786544 TBL786544 TLH786544 TVD786544 UEZ786544 UOV786544 UYR786544 VIN786544 VSJ786544 WCF786544 WMB786544 WVX786544 P852080 JL852080 TH852080 ADD852080 AMZ852080 AWV852080 BGR852080 BQN852080 CAJ852080 CKF852080 CUB852080 DDX852080 DNT852080 DXP852080 EHL852080 ERH852080 FBD852080 FKZ852080 FUV852080 GER852080 GON852080 GYJ852080 HIF852080 HSB852080 IBX852080 ILT852080 IVP852080 JFL852080 JPH852080 JZD852080 KIZ852080 KSV852080 LCR852080 LMN852080 LWJ852080 MGF852080 MQB852080 MZX852080 NJT852080 NTP852080 ODL852080 ONH852080 OXD852080 PGZ852080 PQV852080 QAR852080 QKN852080 QUJ852080 REF852080 ROB852080 RXX852080 SHT852080 SRP852080 TBL852080 TLH852080 TVD852080 UEZ852080 UOV852080 UYR852080 VIN852080 VSJ852080 WCF852080 WMB852080 WVX852080 P917616 JL917616 TH917616 ADD917616 AMZ917616 AWV917616 BGR917616 BQN917616 CAJ917616 CKF917616 CUB917616 DDX917616 DNT917616 DXP917616 EHL917616 ERH917616 FBD917616 FKZ917616 FUV917616 GER917616 GON917616 GYJ917616 HIF917616 HSB917616 IBX917616 ILT917616 IVP917616 JFL917616 JPH917616 JZD917616 KIZ917616 KSV917616 LCR917616 LMN917616 LWJ917616 MGF917616 MQB917616 MZX917616 NJT917616 NTP917616 ODL917616 ONH917616 OXD917616 PGZ917616 PQV917616 QAR917616 QKN917616 QUJ917616 REF917616 ROB917616 RXX917616 SHT917616 SRP917616 TBL917616 TLH917616 TVD917616 UEZ917616 UOV917616 UYR917616 VIN917616 VSJ917616 WCF917616 WMB917616 WVX917616 P983152 JL983152 TH983152 ADD983152 AMZ983152 AWV983152 BGR983152 BQN983152 CAJ983152 CKF983152 CUB983152 DDX983152 DNT983152 DXP983152 EHL983152 ERH983152 FBD983152 FKZ983152 FUV983152 GER983152 GON983152 GYJ983152 HIF983152 HSB983152 IBX983152 ILT983152 IVP983152 JFL983152 JPH983152 JZD983152 KIZ983152 KSV983152 LCR983152 LMN983152 LWJ983152 MGF983152 MQB983152 MZX983152 NJT983152 NTP983152 ODL983152 ONH983152 OXD983152 PGZ983152 PQV983152 QAR983152 QKN983152 QUJ983152 REF983152 ROB983152 RXX983152 SHT983152 SRP983152 TBL983152 TLH983152 TVD983152 UEZ983152 UOV983152 UYR983152 VIN983152 VSJ983152 WCF983152 WMB983152 WVX983152 P194 JL194 TH194 ADD194 AMZ194 AWV194 BGR194 BQN194 CAJ194 CKF194 CUB194 DDX194 DNT194 DXP194 EHL194 ERH194 FBD194 FKZ194 FUV194 GER194 GON194 GYJ194 HIF194 HSB194 IBX194 ILT194 IVP194 JFL194 JPH194 JZD194 KIZ194 KSV194 LCR194 LMN194 LWJ194 MGF194 MQB194 MZX194 NJT194 NTP194 ODL194 ONH194 OXD194 PGZ194 PQV194 QAR194 QKN194 QUJ194 REF194 ROB194 RXX194 SHT194 SRP194 TBL194 TLH194 TVD194 UEZ194 UOV194 UYR194 VIN194 VSJ194 WCF194 WMB194 WVX194 P65730 JL65730 TH65730 ADD65730 AMZ65730 AWV65730 BGR65730 BQN65730 CAJ65730 CKF65730 CUB65730 DDX65730 DNT65730 DXP65730 EHL65730 ERH65730 FBD65730 FKZ65730 FUV65730 GER65730 GON65730 GYJ65730 HIF65730 HSB65730 IBX65730 ILT65730 IVP65730 JFL65730 JPH65730 JZD65730 KIZ65730 KSV65730 LCR65730 LMN65730 LWJ65730 MGF65730 MQB65730 MZX65730 NJT65730 NTP65730 ODL65730 ONH65730 OXD65730 PGZ65730 PQV65730 QAR65730 QKN65730 QUJ65730 REF65730 ROB65730 RXX65730 SHT65730 SRP65730 TBL65730 TLH65730 TVD65730 UEZ65730 UOV65730 UYR65730 VIN65730 VSJ65730 WCF65730 WMB65730 WVX65730 P131266 JL131266 TH131266 ADD131266 AMZ131266 AWV131266 BGR131266 BQN131266 CAJ131266 CKF131266 CUB131266 DDX131266 DNT131266 DXP131266 EHL131266 ERH131266 FBD131266 FKZ131266 FUV131266 GER131266 GON131266 GYJ131266 HIF131266 HSB131266 IBX131266 ILT131266 IVP131266 JFL131266 JPH131266 JZD131266 KIZ131266 KSV131266 LCR131266 LMN131266 LWJ131266 MGF131266 MQB131266 MZX131266 NJT131266 NTP131266 ODL131266 ONH131266 OXD131266 PGZ131266 PQV131266 QAR131266 QKN131266 QUJ131266 REF131266 ROB131266 RXX131266 SHT131266 SRP131266 TBL131266 TLH131266 TVD131266 UEZ131266 UOV131266 UYR131266 VIN131266 VSJ131266 WCF131266 WMB131266 WVX131266 P196802 JL196802 TH196802 ADD196802 AMZ196802 AWV196802 BGR196802 BQN196802 CAJ196802 CKF196802 CUB196802 DDX196802 DNT196802 DXP196802 EHL196802 ERH196802 FBD196802 FKZ196802 FUV196802 GER196802 GON196802 GYJ196802 HIF196802 HSB196802 IBX196802 ILT196802 IVP196802 JFL196802 JPH196802 JZD196802 KIZ196802 KSV196802 LCR196802 LMN196802 LWJ196802 MGF196802 MQB196802 MZX196802 NJT196802 NTP196802 ODL196802 ONH196802 OXD196802 PGZ196802 PQV196802 QAR196802 QKN196802 QUJ196802 REF196802 ROB196802 RXX196802 SHT196802 SRP196802 TBL196802 TLH196802 TVD196802 UEZ196802 UOV196802 UYR196802 VIN196802 VSJ196802 WCF196802 WMB196802 WVX196802 P262338 JL262338 TH262338 ADD262338 AMZ262338 AWV262338 BGR262338 BQN262338 CAJ262338 CKF262338 CUB262338 DDX262338 DNT262338 DXP262338 EHL262338 ERH262338 FBD262338 FKZ262338 FUV262338 GER262338 GON262338 GYJ262338 HIF262338 HSB262338 IBX262338 ILT262338 IVP262338 JFL262338 JPH262338 JZD262338 KIZ262338 KSV262338 LCR262338 LMN262338 LWJ262338 MGF262338 MQB262338 MZX262338 NJT262338 NTP262338 ODL262338 ONH262338 OXD262338 PGZ262338 PQV262338 QAR262338 QKN262338 QUJ262338 REF262338 ROB262338 RXX262338 SHT262338 SRP262338 TBL262338 TLH262338 TVD262338 UEZ262338 UOV262338 UYR262338 VIN262338 VSJ262338 WCF262338 WMB262338 WVX262338 P327874 JL327874 TH327874 ADD327874 AMZ327874 AWV327874 BGR327874 BQN327874 CAJ327874 CKF327874 CUB327874 DDX327874 DNT327874 DXP327874 EHL327874 ERH327874 FBD327874 FKZ327874 FUV327874 GER327874 GON327874 GYJ327874 HIF327874 HSB327874 IBX327874 ILT327874 IVP327874 JFL327874 JPH327874 JZD327874 KIZ327874 KSV327874 LCR327874 LMN327874 LWJ327874 MGF327874 MQB327874 MZX327874 NJT327874 NTP327874 ODL327874 ONH327874 OXD327874 PGZ327874 PQV327874 QAR327874 QKN327874 QUJ327874 REF327874 ROB327874 RXX327874 SHT327874 SRP327874 TBL327874 TLH327874 TVD327874 UEZ327874 UOV327874 UYR327874 VIN327874 VSJ327874 WCF327874 WMB327874 WVX327874 P393410 JL393410 TH393410 ADD393410 AMZ393410 AWV393410 BGR393410 BQN393410 CAJ393410 CKF393410 CUB393410 DDX393410 DNT393410 DXP393410 EHL393410 ERH393410 FBD393410 FKZ393410 FUV393410 GER393410 GON393410 GYJ393410 HIF393410 HSB393410 IBX393410 ILT393410 IVP393410 JFL393410 JPH393410 JZD393410 KIZ393410 KSV393410 LCR393410 LMN393410 LWJ393410 MGF393410 MQB393410 MZX393410 NJT393410 NTP393410 ODL393410 ONH393410 OXD393410 PGZ393410 PQV393410 QAR393410 QKN393410 QUJ393410 REF393410 ROB393410 RXX393410 SHT393410 SRP393410 TBL393410 TLH393410 TVD393410 UEZ393410 UOV393410 UYR393410 VIN393410 VSJ393410 WCF393410 WMB393410 WVX393410 P458946 JL458946 TH458946 ADD458946 AMZ458946 AWV458946 BGR458946 BQN458946 CAJ458946 CKF458946 CUB458946 DDX458946 DNT458946 DXP458946 EHL458946 ERH458946 FBD458946 FKZ458946 FUV458946 GER458946 GON458946 GYJ458946 HIF458946 HSB458946 IBX458946 ILT458946 IVP458946 JFL458946 JPH458946 JZD458946 KIZ458946 KSV458946 LCR458946 LMN458946 LWJ458946 MGF458946 MQB458946 MZX458946 NJT458946 NTP458946 ODL458946 ONH458946 OXD458946 PGZ458946 PQV458946 QAR458946 QKN458946 QUJ458946 REF458946 ROB458946 RXX458946 SHT458946 SRP458946 TBL458946 TLH458946 TVD458946 UEZ458946 UOV458946 UYR458946 VIN458946 VSJ458946 WCF458946 WMB458946 WVX458946 P524482 JL524482 TH524482 ADD524482 AMZ524482 AWV524482 BGR524482 BQN524482 CAJ524482 CKF524482 CUB524482 DDX524482 DNT524482 DXP524482 EHL524482 ERH524482 FBD524482 FKZ524482 FUV524482 GER524482 GON524482 GYJ524482 HIF524482 HSB524482 IBX524482 ILT524482 IVP524482 JFL524482 JPH524482 JZD524482 KIZ524482 KSV524482 LCR524482 LMN524482 LWJ524482 MGF524482 MQB524482 MZX524482 NJT524482 NTP524482 ODL524482 ONH524482 OXD524482 PGZ524482 PQV524482 QAR524482 QKN524482 QUJ524482 REF524482 ROB524482 RXX524482 SHT524482 SRP524482 TBL524482 TLH524482 TVD524482 UEZ524482 UOV524482 UYR524482 VIN524482 VSJ524482 WCF524482 WMB524482 WVX524482 P590018 JL590018 TH590018 ADD590018 AMZ590018 AWV590018 BGR590018 BQN590018 CAJ590018 CKF590018 CUB590018 DDX590018 DNT590018 DXP590018 EHL590018 ERH590018 FBD590018 FKZ590018 FUV590018 GER590018 GON590018 GYJ590018 HIF590018 HSB590018 IBX590018 ILT590018 IVP590018 JFL590018 JPH590018 JZD590018 KIZ590018 KSV590018 LCR590018 LMN590018 LWJ590018 MGF590018 MQB590018 MZX590018 NJT590018 NTP590018 ODL590018 ONH590018 OXD590018 PGZ590018 PQV590018 QAR590018 QKN590018 QUJ590018 REF590018 ROB590018 RXX590018 SHT590018 SRP590018 TBL590018 TLH590018 TVD590018 UEZ590018 UOV590018 UYR590018 VIN590018 VSJ590018 WCF590018 WMB590018 WVX590018 P655554 JL655554 TH655554 ADD655554 AMZ655554 AWV655554 BGR655554 BQN655554 CAJ655554 CKF655554 CUB655554 DDX655554 DNT655554 DXP655554 EHL655554 ERH655554 FBD655554 FKZ655554 FUV655554 GER655554 GON655554 GYJ655554 HIF655554 HSB655554 IBX655554 ILT655554 IVP655554 JFL655554 JPH655554 JZD655554 KIZ655554 KSV655554 LCR655554 LMN655554 LWJ655554 MGF655554 MQB655554 MZX655554 NJT655554 NTP655554 ODL655554 ONH655554 OXD655554 PGZ655554 PQV655554 QAR655554 QKN655554 QUJ655554 REF655554 ROB655554 RXX655554 SHT655554 SRP655554 TBL655554 TLH655554 TVD655554 UEZ655554 UOV655554 UYR655554 VIN655554 VSJ655554 WCF655554 WMB655554 WVX655554 P721090 JL721090 TH721090 ADD721090 AMZ721090 AWV721090 BGR721090 BQN721090 CAJ721090 CKF721090 CUB721090 DDX721090 DNT721090 DXP721090 EHL721090 ERH721090 FBD721090 FKZ721090 FUV721090 GER721090 GON721090 GYJ721090 HIF721090 HSB721090 IBX721090 ILT721090 IVP721090 JFL721090 JPH721090 JZD721090 KIZ721090 KSV721090 LCR721090 LMN721090 LWJ721090 MGF721090 MQB721090 MZX721090 NJT721090 NTP721090 ODL721090 ONH721090 OXD721090 PGZ721090 PQV721090 QAR721090 QKN721090 QUJ721090 REF721090 ROB721090 RXX721090 SHT721090 SRP721090 TBL721090 TLH721090 TVD721090 UEZ721090 UOV721090 UYR721090 VIN721090 VSJ721090 WCF721090 WMB721090 WVX721090 P786626 JL786626 TH786626 ADD786626 AMZ786626 AWV786626 BGR786626 BQN786626 CAJ786626 CKF786626 CUB786626 DDX786626 DNT786626 DXP786626 EHL786626 ERH786626 FBD786626 FKZ786626 FUV786626 GER786626 GON786626 GYJ786626 HIF786626 HSB786626 IBX786626 ILT786626 IVP786626 JFL786626 JPH786626 JZD786626 KIZ786626 KSV786626 LCR786626 LMN786626 LWJ786626 MGF786626 MQB786626 MZX786626 NJT786626 NTP786626 ODL786626 ONH786626 OXD786626 PGZ786626 PQV786626 QAR786626 QKN786626 QUJ786626 REF786626 ROB786626 RXX786626 SHT786626 SRP786626 TBL786626 TLH786626 TVD786626 UEZ786626 UOV786626 UYR786626 VIN786626 VSJ786626 WCF786626 WMB786626 WVX786626 P852162 JL852162 TH852162 ADD852162 AMZ852162 AWV852162 BGR852162 BQN852162 CAJ852162 CKF852162 CUB852162 DDX852162 DNT852162 DXP852162 EHL852162 ERH852162 FBD852162 FKZ852162 FUV852162 GER852162 GON852162 GYJ852162 HIF852162 HSB852162 IBX852162 ILT852162 IVP852162 JFL852162 JPH852162 JZD852162 KIZ852162 KSV852162 LCR852162 LMN852162 LWJ852162 MGF852162 MQB852162 MZX852162 NJT852162 NTP852162 ODL852162 ONH852162 OXD852162 PGZ852162 PQV852162 QAR852162 QKN852162 QUJ852162 REF852162 ROB852162 RXX852162 SHT852162 SRP852162 TBL852162 TLH852162 TVD852162 UEZ852162 UOV852162 UYR852162 VIN852162 VSJ852162 WCF852162 WMB852162 WVX852162 P917698 JL917698 TH917698 ADD917698 AMZ917698 AWV917698 BGR917698 BQN917698 CAJ917698 CKF917698 CUB917698 DDX917698 DNT917698 DXP917698 EHL917698 ERH917698 FBD917698 FKZ917698 FUV917698 GER917698 GON917698 GYJ917698 HIF917698 HSB917698 IBX917698 ILT917698 IVP917698 JFL917698 JPH917698 JZD917698 KIZ917698 KSV917698 LCR917698 LMN917698 LWJ917698 MGF917698 MQB917698 MZX917698 NJT917698 NTP917698 ODL917698 ONH917698 OXD917698 PGZ917698 PQV917698 QAR917698 QKN917698 QUJ917698 REF917698 ROB917698 RXX917698 SHT917698 SRP917698 TBL917698 TLH917698 TVD917698 UEZ917698 UOV917698 UYR917698 VIN917698 VSJ917698 WCF917698 WMB917698 WVX917698 P983234 JL983234 TH983234 ADD983234 AMZ983234 AWV983234 BGR983234 BQN983234 CAJ983234 CKF983234 CUB983234 DDX983234 DNT983234 DXP983234 EHL983234 ERH983234 FBD983234 FKZ983234 FUV983234 GER983234 GON983234 GYJ983234 HIF983234 HSB983234 IBX983234 ILT983234 IVP983234 JFL983234 JPH983234 JZD983234 KIZ983234 KSV983234 LCR983234 LMN983234 LWJ983234 MGF983234 MQB983234 MZX983234 NJT983234 NTP983234 ODL983234 ONH983234 OXD983234 PGZ983234 PQV983234 QAR983234 QKN983234 QUJ983234 REF983234 ROB983234 RXX983234 SHT983234 SRP983234 TBL983234 TLH983234 TVD983234 UEZ983234 UOV983234 UYR983234 VIN983234 VSJ983234 WCF983234 WMB983234 WVX983234 P238 JL238 TH238 ADD238 AMZ238 AWV238 BGR238 BQN238 CAJ238 CKF238 CUB238 DDX238 DNT238 DXP238 EHL238 ERH238 FBD238 FKZ238 FUV238 GER238 GON238 GYJ238 HIF238 HSB238 IBX238 ILT238 IVP238 JFL238 JPH238 JZD238 KIZ238 KSV238 LCR238 LMN238 LWJ238 MGF238 MQB238 MZX238 NJT238 NTP238 ODL238 ONH238 OXD238 PGZ238 PQV238 QAR238 QKN238 QUJ238 REF238 ROB238 RXX238 SHT238 SRP238 TBL238 TLH238 TVD238 UEZ238 UOV238 UYR238 VIN238 VSJ238 WCF238 WMB238 WVX238 P65774 JL65774 TH65774 ADD65774 AMZ65774 AWV65774 BGR65774 BQN65774 CAJ65774 CKF65774 CUB65774 DDX65774 DNT65774 DXP65774 EHL65774 ERH65774 FBD65774 FKZ65774 FUV65774 GER65774 GON65774 GYJ65774 HIF65774 HSB65774 IBX65774 ILT65774 IVP65774 JFL65774 JPH65774 JZD65774 KIZ65774 KSV65774 LCR65774 LMN65774 LWJ65774 MGF65774 MQB65774 MZX65774 NJT65774 NTP65774 ODL65774 ONH65774 OXD65774 PGZ65774 PQV65774 QAR65774 QKN65774 QUJ65774 REF65774 ROB65774 RXX65774 SHT65774 SRP65774 TBL65774 TLH65774 TVD65774 UEZ65774 UOV65774 UYR65774 VIN65774 VSJ65774 WCF65774 WMB65774 WVX65774 P131310 JL131310 TH131310 ADD131310 AMZ131310 AWV131310 BGR131310 BQN131310 CAJ131310 CKF131310 CUB131310 DDX131310 DNT131310 DXP131310 EHL131310 ERH131310 FBD131310 FKZ131310 FUV131310 GER131310 GON131310 GYJ131310 HIF131310 HSB131310 IBX131310 ILT131310 IVP131310 JFL131310 JPH131310 JZD131310 KIZ131310 KSV131310 LCR131310 LMN131310 LWJ131310 MGF131310 MQB131310 MZX131310 NJT131310 NTP131310 ODL131310 ONH131310 OXD131310 PGZ131310 PQV131310 QAR131310 QKN131310 QUJ131310 REF131310 ROB131310 RXX131310 SHT131310 SRP131310 TBL131310 TLH131310 TVD131310 UEZ131310 UOV131310 UYR131310 VIN131310 VSJ131310 WCF131310 WMB131310 WVX131310 P196846 JL196846 TH196846 ADD196846 AMZ196846 AWV196846 BGR196846 BQN196846 CAJ196846 CKF196846 CUB196846 DDX196846 DNT196846 DXP196846 EHL196846 ERH196846 FBD196846 FKZ196846 FUV196846 GER196846 GON196846 GYJ196846 HIF196846 HSB196846 IBX196846 ILT196846 IVP196846 JFL196846 JPH196846 JZD196846 KIZ196846 KSV196846 LCR196846 LMN196846 LWJ196846 MGF196846 MQB196846 MZX196846 NJT196846 NTP196846 ODL196846 ONH196846 OXD196846 PGZ196846 PQV196846 QAR196846 QKN196846 QUJ196846 REF196846 ROB196846 RXX196846 SHT196846 SRP196846 TBL196846 TLH196846 TVD196846 UEZ196846 UOV196846 UYR196846 VIN196846 VSJ196846 WCF196846 WMB196846 WVX196846 P262382 JL262382 TH262382 ADD262382 AMZ262382 AWV262382 BGR262382 BQN262382 CAJ262382 CKF262382 CUB262382 DDX262382 DNT262382 DXP262382 EHL262382 ERH262382 FBD262382 FKZ262382 FUV262382 GER262382 GON262382 GYJ262382 HIF262382 HSB262382 IBX262382 ILT262382 IVP262382 JFL262382 JPH262382 JZD262382 KIZ262382 KSV262382 LCR262382 LMN262382 LWJ262382 MGF262382 MQB262382 MZX262382 NJT262382 NTP262382 ODL262382 ONH262382 OXD262382 PGZ262382 PQV262382 QAR262382 QKN262382 QUJ262382 REF262382 ROB262382 RXX262382 SHT262382 SRP262382 TBL262382 TLH262382 TVD262382 UEZ262382 UOV262382 UYR262382 VIN262382 VSJ262382 WCF262382 WMB262382 WVX262382 P327918 JL327918 TH327918 ADD327918 AMZ327918 AWV327918 BGR327918 BQN327918 CAJ327918 CKF327918 CUB327918 DDX327918 DNT327918 DXP327918 EHL327918 ERH327918 FBD327918 FKZ327918 FUV327918 GER327918 GON327918 GYJ327918 HIF327918 HSB327918 IBX327918 ILT327918 IVP327918 JFL327918 JPH327918 JZD327918 KIZ327918 KSV327918 LCR327918 LMN327918 LWJ327918 MGF327918 MQB327918 MZX327918 NJT327918 NTP327918 ODL327918 ONH327918 OXD327918 PGZ327918 PQV327918 QAR327918 QKN327918 QUJ327918 REF327918 ROB327918 RXX327918 SHT327918 SRP327918 TBL327918 TLH327918 TVD327918 UEZ327918 UOV327918 UYR327918 VIN327918 VSJ327918 WCF327918 WMB327918 WVX327918 P393454 JL393454 TH393454 ADD393454 AMZ393454 AWV393454 BGR393454 BQN393454 CAJ393454 CKF393454 CUB393454 DDX393454 DNT393454 DXP393454 EHL393454 ERH393454 FBD393454 FKZ393454 FUV393454 GER393454 GON393454 GYJ393454 HIF393454 HSB393454 IBX393454 ILT393454 IVP393454 JFL393454 JPH393454 JZD393454 KIZ393454 KSV393454 LCR393454 LMN393454 LWJ393454 MGF393454 MQB393454 MZX393454 NJT393454 NTP393454 ODL393454 ONH393454 OXD393454 PGZ393454 PQV393454 QAR393454 QKN393454 QUJ393454 REF393454 ROB393454 RXX393454 SHT393454 SRP393454 TBL393454 TLH393454 TVD393454 UEZ393454 UOV393454 UYR393454 VIN393454 VSJ393454 WCF393454 WMB393454 WVX393454 P458990 JL458990 TH458990 ADD458990 AMZ458990 AWV458990 BGR458990 BQN458990 CAJ458990 CKF458990 CUB458990 DDX458990 DNT458990 DXP458990 EHL458990 ERH458990 FBD458990 FKZ458990 FUV458990 GER458990 GON458990 GYJ458990 HIF458990 HSB458990 IBX458990 ILT458990 IVP458990 JFL458990 JPH458990 JZD458990 KIZ458990 KSV458990 LCR458990 LMN458990 LWJ458990 MGF458990 MQB458990 MZX458990 NJT458990 NTP458990 ODL458990 ONH458990 OXD458990 PGZ458990 PQV458990 QAR458990 QKN458990 QUJ458990 REF458990 ROB458990 RXX458990 SHT458990 SRP458990 TBL458990 TLH458990 TVD458990 UEZ458990 UOV458990 UYR458990 VIN458990 VSJ458990 WCF458990 WMB458990 WVX458990 P524526 JL524526 TH524526 ADD524526 AMZ524526 AWV524526 BGR524526 BQN524526 CAJ524526 CKF524526 CUB524526 DDX524526 DNT524526 DXP524526 EHL524526 ERH524526 FBD524526 FKZ524526 FUV524526 GER524526 GON524526 GYJ524526 HIF524526 HSB524526 IBX524526 ILT524526 IVP524526 JFL524526 JPH524526 JZD524526 KIZ524526 KSV524526 LCR524526 LMN524526 LWJ524526 MGF524526 MQB524526 MZX524526 NJT524526 NTP524526 ODL524526 ONH524526 OXD524526 PGZ524526 PQV524526 QAR524526 QKN524526 QUJ524526 REF524526 ROB524526 RXX524526 SHT524526 SRP524526 TBL524526 TLH524526 TVD524526 UEZ524526 UOV524526 UYR524526 VIN524526 VSJ524526 WCF524526 WMB524526 WVX524526 P590062 JL590062 TH590062 ADD590062 AMZ590062 AWV590062 BGR590062 BQN590062 CAJ590062 CKF590062 CUB590062 DDX590062 DNT590062 DXP590062 EHL590062 ERH590062 FBD590062 FKZ590062 FUV590062 GER590062 GON590062 GYJ590062 HIF590062 HSB590062 IBX590062 ILT590062 IVP590062 JFL590062 JPH590062 JZD590062 KIZ590062 KSV590062 LCR590062 LMN590062 LWJ590062 MGF590062 MQB590062 MZX590062 NJT590062 NTP590062 ODL590062 ONH590062 OXD590062 PGZ590062 PQV590062 QAR590062 QKN590062 QUJ590062 REF590062 ROB590062 RXX590062 SHT590062 SRP590062 TBL590062 TLH590062 TVD590062 UEZ590062 UOV590062 UYR590062 VIN590062 VSJ590062 WCF590062 WMB590062 WVX590062 P655598 JL655598 TH655598 ADD655598 AMZ655598 AWV655598 BGR655598 BQN655598 CAJ655598 CKF655598 CUB655598 DDX655598 DNT655598 DXP655598 EHL655598 ERH655598 FBD655598 FKZ655598 FUV655598 GER655598 GON655598 GYJ655598 HIF655598 HSB655598 IBX655598 ILT655598 IVP655598 JFL655598 JPH655598 JZD655598 KIZ655598 KSV655598 LCR655598 LMN655598 LWJ655598 MGF655598 MQB655598 MZX655598 NJT655598 NTP655598 ODL655598 ONH655598 OXD655598 PGZ655598 PQV655598 QAR655598 QKN655598 QUJ655598 REF655598 ROB655598 RXX655598 SHT655598 SRP655598 TBL655598 TLH655598 TVD655598 UEZ655598 UOV655598 UYR655598 VIN655598 VSJ655598 WCF655598 WMB655598 WVX655598 P721134 JL721134 TH721134 ADD721134 AMZ721134 AWV721134 BGR721134 BQN721134 CAJ721134 CKF721134 CUB721134 DDX721134 DNT721134 DXP721134 EHL721134 ERH721134 FBD721134 FKZ721134 FUV721134 GER721134 GON721134 GYJ721134 HIF721134 HSB721134 IBX721134 ILT721134 IVP721134 JFL721134 JPH721134 JZD721134 KIZ721134 KSV721134 LCR721134 LMN721134 LWJ721134 MGF721134 MQB721134 MZX721134 NJT721134 NTP721134 ODL721134 ONH721134 OXD721134 PGZ721134 PQV721134 QAR721134 QKN721134 QUJ721134 REF721134 ROB721134 RXX721134 SHT721134 SRP721134 TBL721134 TLH721134 TVD721134 UEZ721134 UOV721134 UYR721134 VIN721134 VSJ721134 WCF721134 WMB721134 WVX721134 P786670 JL786670 TH786670 ADD786670 AMZ786670 AWV786670 BGR786670 BQN786670 CAJ786670 CKF786670 CUB786670 DDX786670 DNT786670 DXP786670 EHL786670 ERH786670 FBD786670 FKZ786670 FUV786670 GER786670 GON786670 GYJ786670 HIF786670 HSB786670 IBX786670 ILT786670 IVP786670 JFL786670 JPH786670 JZD786670 KIZ786670 KSV786670 LCR786670 LMN786670 LWJ786670 MGF786670 MQB786670 MZX786670 NJT786670 NTP786670 ODL786670 ONH786670 OXD786670 PGZ786670 PQV786670 QAR786670 QKN786670 QUJ786670 REF786670 ROB786670 RXX786670 SHT786670 SRP786670 TBL786670 TLH786670 TVD786670 UEZ786670 UOV786670 UYR786670 VIN786670 VSJ786670 WCF786670 WMB786670 WVX786670 P852206 JL852206 TH852206 ADD852206 AMZ852206 AWV852206 BGR852206 BQN852206 CAJ852206 CKF852206 CUB852206 DDX852206 DNT852206 DXP852206 EHL852206 ERH852206 FBD852206 FKZ852206 FUV852206 GER852206 GON852206 GYJ852206 HIF852206 HSB852206 IBX852206 ILT852206 IVP852206 JFL852206 JPH852206 JZD852206 KIZ852206 KSV852206 LCR852206 LMN852206 LWJ852206 MGF852206 MQB852206 MZX852206 NJT852206 NTP852206 ODL852206 ONH852206 OXD852206 PGZ852206 PQV852206 QAR852206 QKN852206 QUJ852206 REF852206 ROB852206 RXX852206 SHT852206 SRP852206 TBL852206 TLH852206 TVD852206 UEZ852206 UOV852206 UYR852206 VIN852206 VSJ852206 WCF852206 WMB852206 WVX852206 P917742 JL917742 TH917742 ADD917742 AMZ917742 AWV917742 BGR917742 BQN917742 CAJ917742 CKF917742 CUB917742 DDX917742 DNT917742 DXP917742 EHL917742 ERH917742 FBD917742 FKZ917742 FUV917742 GER917742 GON917742 GYJ917742 HIF917742 HSB917742 IBX917742 ILT917742 IVP917742 JFL917742 JPH917742 JZD917742 KIZ917742 KSV917742 LCR917742 LMN917742 LWJ917742 MGF917742 MQB917742 MZX917742 NJT917742 NTP917742 ODL917742 ONH917742 OXD917742 PGZ917742 PQV917742 QAR917742 QKN917742 QUJ917742 REF917742 ROB917742 RXX917742 SHT917742 SRP917742 TBL917742 TLH917742 TVD917742 UEZ917742 UOV917742 UYR917742 VIN917742 VSJ917742 WCF917742 WMB917742 WVX917742 P983278 JL983278 TH983278 ADD983278 AMZ983278 AWV983278 BGR983278 BQN983278 CAJ983278 CKF983278 CUB983278 DDX983278 DNT983278 DXP983278 EHL983278 ERH983278 FBD983278 FKZ983278 FUV983278 GER983278 GON983278 GYJ983278 HIF983278 HSB983278 IBX983278 ILT983278 IVP983278 JFL983278 JPH983278 JZD983278 KIZ983278 KSV983278 LCR983278 LMN983278 LWJ983278 MGF983278 MQB983278 MZX983278 NJT983278 NTP983278 ODL983278 ONH983278 OXD983278 PGZ983278 PQV983278 QAR983278 QKN983278 QUJ983278 REF983278 ROB983278 RXX983278 SHT983278 SRP983278 TBL983278 TLH983278 TVD983278 UEZ983278 UOV983278 UYR983278 VIN983278 VSJ983278 WCF983278 WMB983278 WVX983278 P221 JL221 TH221 ADD221 AMZ221 AWV221 BGR221 BQN221 CAJ221 CKF221 CUB221 DDX221 DNT221 DXP221 EHL221 ERH221 FBD221 FKZ221 FUV221 GER221 GON221 GYJ221 HIF221 HSB221 IBX221 ILT221 IVP221 JFL221 JPH221 JZD221 KIZ221 KSV221 LCR221 LMN221 LWJ221 MGF221 MQB221 MZX221 NJT221 NTP221 ODL221 ONH221 OXD221 PGZ221 PQV221 QAR221 QKN221 QUJ221 REF221 ROB221 RXX221 SHT221 SRP221 TBL221 TLH221 TVD221 UEZ221 UOV221 UYR221 VIN221 VSJ221 WCF221 WMB221 WVX221 P65757 JL65757 TH65757 ADD65757 AMZ65757 AWV65757 BGR65757 BQN65757 CAJ65757 CKF65757 CUB65757 DDX65757 DNT65757 DXP65757 EHL65757 ERH65757 FBD65757 FKZ65757 FUV65757 GER65757 GON65757 GYJ65757 HIF65757 HSB65757 IBX65757 ILT65757 IVP65757 JFL65757 JPH65757 JZD65757 KIZ65757 KSV65757 LCR65757 LMN65757 LWJ65757 MGF65757 MQB65757 MZX65757 NJT65757 NTP65757 ODL65757 ONH65757 OXD65757 PGZ65757 PQV65757 QAR65757 QKN65757 QUJ65757 REF65757 ROB65757 RXX65757 SHT65757 SRP65757 TBL65757 TLH65757 TVD65757 UEZ65757 UOV65757 UYR65757 VIN65757 VSJ65757 WCF65757 WMB65757 WVX65757 P131293 JL131293 TH131293 ADD131293 AMZ131293 AWV131293 BGR131293 BQN131293 CAJ131293 CKF131293 CUB131293 DDX131293 DNT131293 DXP131293 EHL131293 ERH131293 FBD131293 FKZ131293 FUV131293 GER131293 GON131293 GYJ131293 HIF131293 HSB131293 IBX131293 ILT131293 IVP131293 JFL131293 JPH131293 JZD131293 KIZ131293 KSV131293 LCR131293 LMN131293 LWJ131293 MGF131293 MQB131293 MZX131293 NJT131293 NTP131293 ODL131293 ONH131293 OXD131293 PGZ131293 PQV131293 QAR131293 QKN131293 QUJ131293 REF131293 ROB131293 RXX131293 SHT131293 SRP131293 TBL131293 TLH131293 TVD131293 UEZ131293 UOV131293 UYR131293 VIN131293 VSJ131293 WCF131293 WMB131293 WVX131293 P196829 JL196829 TH196829 ADD196829 AMZ196829 AWV196829 BGR196829 BQN196829 CAJ196829 CKF196829 CUB196829 DDX196829 DNT196829 DXP196829 EHL196829 ERH196829 FBD196829 FKZ196829 FUV196829 GER196829 GON196829 GYJ196829 HIF196829 HSB196829 IBX196829 ILT196829 IVP196829 JFL196829 JPH196829 JZD196829 KIZ196829 KSV196829 LCR196829 LMN196829 LWJ196829 MGF196829 MQB196829 MZX196829 NJT196829 NTP196829 ODL196829 ONH196829 OXD196829 PGZ196829 PQV196829 QAR196829 QKN196829 QUJ196829 REF196829 ROB196829 RXX196829 SHT196829 SRP196829 TBL196829 TLH196829 TVD196829 UEZ196829 UOV196829 UYR196829 VIN196829 VSJ196829 WCF196829 WMB196829 WVX196829 P262365 JL262365 TH262365 ADD262365 AMZ262365 AWV262365 BGR262365 BQN262365 CAJ262365 CKF262365 CUB262365 DDX262365 DNT262365 DXP262365 EHL262365 ERH262365 FBD262365 FKZ262365 FUV262365 GER262365 GON262365 GYJ262365 HIF262365 HSB262365 IBX262365 ILT262365 IVP262365 JFL262365 JPH262365 JZD262365 KIZ262365 KSV262365 LCR262365 LMN262365 LWJ262365 MGF262365 MQB262365 MZX262365 NJT262365 NTP262365 ODL262365 ONH262365 OXD262365 PGZ262365 PQV262365 QAR262365 QKN262365 QUJ262365 REF262365 ROB262365 RXX262365 SHT262365 SRP262365 TBL262365 TLH262365 TVD262365 UEZ262365 UOV262365 UYR262365 VIN262365 VSJ262365 WCF262365 WMB262365 WVX262365 P327901 JL327901 TH327901 ADD327901 AMZ327901 AWV327901 BGR327901 BQN327901 CAJ327901 CKF327901 CUB327901 DDX327901 DNT327901 DXP327901 EHL327901 ERH327901 FBD327901 FKZ327901 FUV327901 GER327901 GON327901 GYJ327901 HIF327901 HSB327901 IBX327901 ILT327901 IVP327901 JFL327901 JPH327901 JZD327901 KIZ327901 KSV327901 LCR327901 LMN327901 LWJ327901 MGF327901 MQB327901 MZX327901 NJT327901 NTP327901 ODL327901 ONH327901 OXD327901 PGZ327901 PQV327901 QAR327901 QKN327901 QUJ327901 REF327901 ROB327901 RXX327901 SHT327901 SRP327901 TBL327901 TLH327901 TVD327901 UEZ327901 UOV327901 UYR327901 VIN327901 VSJ327901 WCF327901 WMB327901 WVX327901 P393437 JL393437 TH393437 ADD393437 AMZ393437 AWV393437 BGR393437 BQN393437 CAJ393437 CKF393437 CUB393437 DDX393437 DNT393437 DXP393437 EHL393437 ERH393437 FBD393437 FKZ393437 FUV393437 GER393437 GON393437 GYJ393437 HIF393437 HSB393437 IBX393437 ILT393437 IVP393437 JFL393437 JPH393437 JZD393437 KIZ393437 KSV393437 LCR393437 LMN393437 LWJ393437 MGF393437 MQB393437 MZX393437 NJT393437 NTP393437 ODL393437 ONH393437 OXD393437 PGZ393437 PQV393437 QAR393437 QKN393437 QUJ393437 REF393437 ROB393437 RXX393437 SHT393437 SRP393437 TBL393437 TLH393437 TVD393437 UEZ393437 UOV393437 UYR393437 VIN393437 VSJ393437 WCF393437 WMB393437 WVX393437 P458973 JL458973 TH458973 ADD458973 AMZ458973 AWV458973 BGR458973 BQN458973 CAJ458973 CKF458973 CUB458973 DDX458973 DNT458973 DXP458973 EHL458973 ERH458973 FBD458973 FKZ458973 FUV458973 GER458973 GON458973 GYJ458973 HIF458973 HSB458973 IBX458973 ILT458973 IVP458973 JFL458973 JPH458973 JZD458973 KIZ458973 KSV458973 LCR458973 LMN458973 LWJ458973 MGF458973 MQB458973 MZX458973 NJT458973 NTP458973 ODL458973 ONH458973 OXD458973 PGZ458973 PQV458973 QAR458973 QKN458973 QUJ458973 REF458973 ROB458973 RXX458973 SHT458973 SRP458973 TBL458973 TLH458973 TVD458973 UEZ458973 UOV458973 UYR458973 VIN458973 VSJ458973 WCF458973 WMB458973 WVX458973 P524509 JL524509 TH524509 ADD524509 AMZ524509 AWV524509 BGR524509 BQN524509 CAJ524509 CKF524509 CUB524509 DDX524509 DNT524509 DXP524509 EHL524509 ERH524509 FBD524509 FKZ524509 FUV524509 GER524509 GON524509 GYJ524509 HIF524509 HSB524509 IBX524509 ILT524509 IVP524509 JFL524509 JPH524509 JZD524509 KIZ524509 KSV524509 LCR524509 LMN524509 LWJ524509 MGF524509 MQB524509 MZX524509 NJT524509 NTP524509 ODL524509 ONH524509 OXD524509 PGZ524509 PQV524509 QAR524509 QKN524509 QUJ524509 REF524509 ROB524509 RXX524509 SHT524509 SRP524509 TBL524509 TLH524509 TVD524509 UEZ524509 UOV524509 UYR524509 VIN524509 VSJ524509 WCF524509 WMB524509 WVX524509 P590045 JL590045 TH590045 ADD590045 AMZ590045 AWV590045 BGR590045 BQN590045 CAJ590045 CKF590045 CUB590045 DDX590045 DNT590045 DXP590045 EHL590045 ERH590045 FBD590045 FKZ590045 FUV590045 GER590045 GON590045 GYJ590045 HIF590045 HSB590045 IBX590045 ILT590045 IVP590045 JFL590045 JPH590045 JZD590045 KIZ590045 KSV590045 LCR590045 LMN590045 LWJ590045 MGF590045 MQB590045 MZX590045 NJT590045 NTP590045 ODL590045 ONH590045 OXD590045 PGZ590045 PQV590045 QAR590045 QKN590045 QUJ590045 REF590045 ROB590045 RXX590045 SHT590045 SRP590045 TBL590045 TLH590045 TVD590045 UEZ590045 UOV590045 UYR590045 VIN590045 VSJ590045 WCF590045 WMB590045 WVX590045 P655581 JL655581 TH655581 ADD655581 AMZ655581 AWV655581 BGR655581 BQN655581 CAJ655581 CKF655581 CUB655581 DDX655581 DNT655581 DXP655581 EHL655581 ERH655581 FBD655581 FKZ655581 FUV655581 GER655581 GON655581 GYJ655581 HIF655581 HSB655581 IBX655581 ILT655581 IVP655581 JFL655581 JPH655581 JZD655581 KIZ655581 KSV655581 LCR655581 LMN655581 LWJ655581 MGF655581 MQB655581 MZX655581 NJT655581 NTP655581 ODL655581 ONH655581 OXD655581 PGZ655581 PQV655581 QAR655581 QKN655581 QUJ655581 REF655581 ROB655581 RXX655581 SHT655581 SRP655581 TBL655581 TLH655581 TVD655581 UEZ655581 UOV655581 UYR655581 VIN655581 VSJ655581 WCF655581 WMB655581 WVX655581 P721117 JL721117 TH721117 ADD721117 AMZ721117 AWV721117 BGR721117 BQN721117 CAJ721117 CKF721117 CUB721117 DDX721117 DNT721117 DXP721117 EHL721117 ERH721117 FBD721117 FKZ721117 FUV721117 GER721117 GON721117 GYJ721117 HIF721117 HSB721117 IBX721117 ILT721117 IVP721117 JFL721117 JPH721117 JZD721117 KIZ721117 KSV721117 LCR721117 LMN721117 LWJ721117 MGF721117 MQB721117 MZX721117 NJT721117 NTP721117 ODL721117 ONH721117 OXD721117 PGZ721117 PQV721117 QAR721117 QKN721117 QUJ721117 REF721117 ROB721117 RXX721117 SHT721117 SRP721117 TBL721117 TLH721117 TVD721117 UEZ721117 UOV721117 UYR721117 VIN721117 VSJ721117 WCF721117 WMB721117 WVX721117 P786653 JL786653 TH786653 ADD786653 AMZ786653 AWV786653 BGR786653 BQN786653 CAJ786653 CKF786653 CUB786653 DDX786653 DNT786653 DXP786653 EHL786653 ERH786653 FBD786653 FKZ786653 FUV786653 GER786653 GON786653 GYJ786653 HIF786653 HSB786653 IBX786653 ILT786653 IVP786653 JFL786653 JPH786653 JZD786653 KIZ786653 KSV786653 LCR786653 LMN786653 LWJ786653 MGF786653 MQB786653 MZX786653 NJT786653 NTP786653 ODL786653 ONH786653 OXD786653 PGZ786653 PQV786653 QAR786653 QKN786653 QUJ786653 REF786653 ROB786653 RXX786653 SHT786653 SRP786653 TBL786653 TLH786653 TVD786653 UEZ786653 UOV786653 UYR786653 VIN786653 VSJ786653 WCF786653 WMB786653 WVX786653 P852189 JL852189 TH852189 ADD852189 AMZ852189 AWV852189 BGR852189 BQN852189 CAJ852189 CKF852189 CUB852189 DDX852189 DNT852189 DXP852189 EHL852189 ERH852189 FBD852189 FKZ852189 FUV852189 GER852189 GON852189 GYJ852189 HIF852189 HSB852189 IBX852189 ILT852189 IVP852189 JFL852189 JPH852189 JZD852189 KIZ852189 KSV852189 LCR852189 LMN852189 LWJ852189 MGF852189 MQB852189 MZX852189 NJT852189 NTP852189 ODL852189 ONH852189 OXD852189 PGZ852189 PQV852189 QAR852189 QKN852189 QUJ852189 REF852189 ROB852189 RXX852189 SHT852189 SRP852189 TBL852189 TLH852189 TVD852189 UEZ852189 UOV852189 UYR852189 VIN852189 VSJ852189 WCF852189 WMB852189 WVX852189 P917725 JL917725 TH917725 ADD917725 AMZ917725 AWV917725 BGR917725 BQN917725 CAJ917725 CKF917725 CUB917725 DDX917725 DNT917725 DXP917725 EHL917725 ERH917725 FBD917725 FKZ917725 FUV917725 GER917725 GON917725 GYJ917725 HIF917725 HSB917725 IBX917725 ILT917725 IVP917725 JFL917725 JPH917725 JZD917725 KIZ917725 KSV917725 LCR917725 LMN917725 LWJ917725 MGF917725 MQB917725 MZX917725 NJT917725 NTP917725 ODL917725 ONH917725 OXD917725 PGZ917725 PQV917725 QAR917725 QKN917725 QUJ917725 REF917725 ROB917725 RXX917725 SHT917725 SRP917725 TBL917725 TLH917725 TVD917725 UEZ917725 UOV917725 UYR917725 VIN917725 VSJ917725 WCF917725 WMB917725 WVX917725 P983261 JL983261 TH983261 ADD983261 AMZ983261 AWV983261 BGR983261 BQN983261 CAJ983261 CKF983261 CUB983261 DDX983261 DNT983261 DXP983261 EHL983261 ERH983261 FBD983261 FKZ983261 FUV983261 GER983261 GON983261 GYJ983261 HIF983261 HSB983261 IBX983261 ILT983261 IVP983261 JFL983261 JPH983261 JZD983261 KIZ983261 KSV983261 LCR983261 LMN983261 LWJ983261 MGF983261 MQB983261 MZX983261 NJT983261 NTP983261 ODL983261 ONH983261 OXD983261 PGZ983261 PQV983261 QAR983261 QKN983261 QUJ983261 REF983261 ROB983261 RXX983261 SHT983261 SRP983261 TBL983261 TLH983261 TVD983261 UEZ983261 UOV983261 UYR983261 VIN983261 VSJ983261 WCF983261 WMB983261 WVX983261 P292 JL292 TH292 ADD292 AMZ292 AWV292 BGR292 BQN292 CAJ292 CKF292 CUB292 DDX292 DNT292 DXP292 EHL292 ERH292 FBD292 FKZ292 FUV292 GER292 GON292 GYJ292 HIF292 HSB292 IBX292 ILT292 IVP292 JFL292 JPH292 JZD292 KIZ292 KSV292 LCR292 LMN292 LWJ292 MGF292 MQB292 MZX292 NJT292 NTP292 ODL292 ONH292 OXD292 PGZ292 PQV292 QAR292 QKN292 QUJ292 REF292 ROB292 RXX292 SHT292 SRP292 TBL292 TLH292 TVD292 UEZ292 UOV292 UYR292 VIN292 VSJ292 WCF292 WMB292 WVX292 P65828 JL65828 TH65828 ADD65828 AMZ65828 AWV65828 BGR65828 BQN65828 CAJ65828 CKF65828 CUB65828 DDX65828 DNT65828 DXP65828 EHL65828 ERH65828 FBD65828 FKZ65828 FUV65828 GER65828 GON65828 GYJ65828 HIF65828 HSB65828 IBX65828 ILT65828 IVP65828 JFL65828 JPH65828 JZD65828 KIZ65828 KSV65828 LCR65828 LMN65828 LWJ65828 MGF65828 MQB65828 MZX65828 NJT65828 NTP65828 ODL65828 ONH65828 OXD65828 PGZ65828 PQV65828 QAR65828 QKN65828 QUJ65828 REF65828 ROB65828 RXX65828 SHT65828 SRP65828 TBL65828 TLH65828 TVD65828 UEZ65828 UOV65828 UYR65828 VIN65828 VSJ65828 WCF65828 WMB65828 WVX65828 P131364 JL131364 TH131364 ADD131364 AMZ131364 AWV131364 BGR131364 BQN131364 CAJ131364 CKF131364 CUB131364 DDX131364 DNT131364 DXP131364 EHL131364 ERH131364 FBD131364 FKZ131364 FUV131364 GER131364 GON131364 GYJ131364 HIF131364 HSB131364 IBX131364 ILT131364 IVP131364 JFL131364 JPH131364 JZD131364 KIZ131364 KSV131364 LCR131364 LMN131364 LWJ131364 MGF131364 MQB131364 MZX131364 NJT131364 NTP131364 ODL131364 ONH131364 OXD131364 PGZ131364 PQV131364 QAR131364 QKN131364 QUJ131364 REF131364 ROB131364 RXX131364 SHT131364 SRP131364 TBL131364 TLH131364 TVD131364 UEZ131364 UOV131364 UYR131364 VIN131364 VSJ131364 WCF131364 WMB131364 WVX131364 P196900 JL196900 TH196900 ADD196900 AMZ196900 AWV196900 BGR196900 BQN196900 CAJ196900 CKF196900 CUB196900 DDX196900 DNT196900 DXP196900 EHL196900 ERH196900 FBD196900 FKZ196900 FUV196900 GER196900 GON196900 GYJ196900 HIF196900 HSB196900 IBX196900 ILT196900 IVP196900 JFL196900 JPH196900 JZD196900 KIZ196900 KSV196900 LCR196900 LMN196900 LWJ196900 MGF196900 MQB196900 MZX196900 NJT196900 NTP196900 ODL196900 ONH196900 OXD196900 PGZ196900 PQV196900 QAR196900 QKN196900 QUJ196900 REF196900 ROB196900 RXX196900 SHT196900 SRP196900 TBL196900 TLH196900 TVD196900 UEZ196900 UOV196900 UYR196900 VIN196900 VSJ196900 WCF196900 WMB196900 WVX196900 P262436 JL262436 TH262436 ADD262436 AMZ262436 AWV262436 BGR262436 BQN262436 CAJ262436 CKF262436 CUB262436 DDX262436 DNT262436 DXP262436 EHL262436 ERH262436 FBD262436 FKZ262436 FUV262436 GER262436 GON262436 GYJ262436 HIF262436 HSB262436 IBX262436 ILT262436 IVP262436 JFL262436 JPH262436 JZD262436 KIZ262436 KSV262436 LCR262436 LMN262436 LWJ262436 MGF262436 MQB262436 MZX262436 NJT262436 NTP262436 ODL262436 ONH262436 OXD262436 PGZ262436 PQV262436 QAR262436 QKN262436 QUJ262436 REF262436 ROB262436 RXX262436 SHT262436 SRP262436 TBL262436 TLH262436 TVD262436 UEZ262436 UOV262436 UYR262436 VIN262436 VSJ262436 WCF262436 WMB262436 WVX262436 P327972 JL327972 TH327972 ADD327972 AMZ327972 AWV327972 BGR327972 BQN327972 CAJ327972 CKF327972 CUB327972 DDX327972 DNT327972 DXP327972 EHL327972 ERH327972 FBD327972 FKZ327972 FUV327972 GER327972 GON327972 GYJ327972 HIF327972 HSB327972 IBX327972 ILT327972 IVP327972 JFL327972 JPH327972 JZD327972 KIZ327972 KSV327972 LCR327972 LMN327972 LWJ327972 MGF327972 MQB327972 MZX327972 NJT327972 NTP327972 ODL327972 ONH327972 OXD327972 PGZ327972 PQV327972 QAR327972 QKN327972 QUJ327972 REF327972 ROB327972 RXX327972 SHT327972 SRP327972 TBL327972 TLH327972 TVD327972 UEZ327972 UOV327972 UYR327972 VIN327972 VSJ327972 WCF327972 WMB327972 WVX327972 P393508 JL393508 TH393508 ADD393508 AMZ393508 AWV393508 BGR393508 BQN393508 CAJ393508 CKF393508 CUB393508 DDX393508 DNT393508 DXP393508 EHL393508 ERH393508 FBD393508 FKZ393508 FUV393508 GER393508 GON393508 GYJ393508 HIF393508 HSB393508 IBX393508 ILT393508 IVP393508 JFL393508 JPH393508 JZD393508 KIZ393508 KSV393508 LCR393508 LMN393508 LWJ393508 MGF393508 MQB393508 MZX393508 NJT393508 NTP393508 ODL393508 ONH393508 OXD393508 PGZ393508 PQV393508 QAR393508 QKN393508 QUJ393508 REF393508 ROB393508 RXX393508 SHT393508 SRP393508 TBL393508 TLH393508 TVD393508 UEZ393508 UOV393508 UYR393508 VIN393508 VSJ393508 WCF393508 WMB393508 WVX393508 P459044 JL459044 TH459044 ADD459044 AMZ459044 AWV459044 BGR459044 BQN459044 CAJ459044 CKF459044 CUB459044 DDX459044 DNT459044 DXP459044 EHL459044 ERH459044 FBD459044 FKZ459044 FUV459044 GER459044 GON459044 GYJ459044 HIF459044 HSB459044 IBX459044 ILT459044 IVP459044 JFL459044 JPH459044 JZD459044 KIZ459044 KSV459044 LCR459044 LMN459044 LWJ459044 MGF459044 MQB459044 MZX459044 NJT459044 NTP459044 ODL459044 ONH459044 OXD459044 PGZ459044 PQV459044 QAR459044 QKN459044 QUJ459044 REF459044 ROB459044 RXX459044 SHT459044 SRP459044 TBL459044 TLH459044 TVD459044 UEZ459044 UOV459044 UYR459044 VIN459044 VSJ459044 WCF459044 WMB459044 WVX459044 P524580 JL524580 TH524580 ADD524580 AMZ524580 AWV524580 BGR524580 BQN524580 CAJ524580 CKF524580 CUB524580 DDX524580 DNT524580 DXP524580 EHL524580 ERH524580 FBD524580 FKZ524580 FUV524580 GER524580 GON524580 GYJ524580 HIF524580 HSB524580 IBX524580 ILT524580 IVP524580 JFL524580 JPH524580 JZD524580 KIZ524580 KSV524580 LCR524580 LMN524580 LWJ524580 MGF524580 MQB524580 MZX524580 NJT524580 NTP524580 ODL524580 ONH524580 OXD524580 PGZ524580 PQV524580 QAR524580 QKN524580 QUJ524580 REF524580 ROB524580 RXX524580 SHT524580 SRP524580 TBL524580 TLH524580 TVD524580 UEZ524580 UOV524580 UYR524580 VIN524580 VSJ524580 WCF524580 WMB524580 WVX524580 P590116 JL590116 TH590116 ADD590116 AMZ590116 AWV590116 BGR590116 BQN590116 CAJ590116 CKF590116 CUB590116 DDX590116 DNT590116 DXP590116 EHL590116 ERH590116 FBD590116 FKZ590116 FUV590116 GER590116 GON590116 GYJ590116 HIF590116 HSB590116 IBX590116 ILT590116 IVP590116 JFL590116 JPH590116 JZD590116 KIZ590116 KSV590116 LCR590116 LMN590116 LWJ590116 MGF590116 MQB590116 MZX590116 NJT590116 NTP590116 ODL590116 ONH590116 OXD590116 PGZ590116 PQV590116 QAR590116 QKN590116 QUJ590116 REF590116 ROB590116 RXX590116 SHT590116 SRP590116 TBL590116 TLH590116 TVD590116 UEZ590116 UOV590116 UYR590116 VIN590116 VSJ590116 WCF590116 WMB590116 WVX590116 P655652 JL655652 TH655652 ADD655652 AMZ655652 AWV655652 BGR655652 BQN655652 CAJ655652 CKF655652 CUB655652 DDX655652 DNT655652 DXP655652 EHL655652 ERH655652 FBD655652 FKZ655652 FUV655652 GER655652 GON655652 GYJ655652 HIF655652 HSB655652 IBX655652 ILT655652 IVP655652 JFL655652 JPH655652 JZD655652 KIZ655652 KSV655652 LCR655652 LMN655652 LWJ655652 MGF655652 MQB655652 MZX655652 NJT655652 NTP655652 ODL655652 ONH655652 OXD655652 PGZ655652 PQV655652 QAR655652 QKN655652 QUJ655652 REF655652 ROB655652 RXX655652 SHT655652 SRP655652 TBL655652 TLH655652 TVD655652 UEZ655652 UOV655652 UYR655652 VIN655652 VSJ655652 WCF655652 WMB655652 WVX655652 P721188 JL721188 TH721188 ADD721188 AMZ721188 AWV721188 BGR721188 BQN721188 CAJ721188 CKF721188 CUB721188 DDX721188 DNT721188 DXP721188 EHL721188 ERH721188 FBD721188 FKZ721188 FUV721188 GER721188 GON721188 GYJ721188 HIF721188 HSB721188 IBX721188 ILT721188 IVP721188 JFL721188 JPH721188 JZD721188 KIZ721188 KSV721188 LCR721188 LMN721188 LWJ721188 MGF721188 MQB721188 MZX721188 NJT721188 NTP721188 ODL721188 ONH721188 OXD721188 PGZ721188 PQV721188 QAR721188 QKN721188 QUJ721188 REF721188 ROB721188 RXX721188 SHT721188 SRP721188 TBL721188 TLH721188 TVD721188 UEZ721188 UOV721188 UYR721188 VIN721188 VSJ721188 WCF721188 WMB721188 WVX721188 P786724 JL786724 TH786724 ADD786724 AMZ786724 AWV786724 BGR786724 BQN786724 CAJ786724 CKF786724 CUB786724 DDX786724 DNT786724 DXP786724 EHL786724 ERH786724 FBD786724 FKZ786724 FUV786724 GER786724 GON786724 GYJ786724 HIF786724 HSB786724 IBX786724 ILT786724 IVP786724 JFL786724 JPH786724 JZD786724 KIZ786724 KSV786724 LCR786724 LMN786724 LWJ786724 MGF786724 MQB786724 MZX786724 NJT786724 NTP786724 ODL786724 ONH786724 OXD786724 PGZ786724 PQV786724 QAR786724 QKN786724 QUJ786724 REF786724 ROB786724 RXX786724 SHT786724 SRP786724 TBL786724 TLH786724 TVD786724 UEZ786724 UOV786724 UYR786724 VIN786724 VSJ786724 WCF786724 WMB786724 WVX786724 P852260 JL852260 TH852260 ADD852260 AMZ852260 AWV852260 BGR852260 BQN852260 CAJ852260 CKF852260 CUB852260 DDX852260 DNT852260 DXP852260 EHL852260 ERH852260 FBD852260 FKZ852260 FUV852260 GER852260 GON852260 GYJ852260 HIF852260 HSB852260 IBX852260 ILT852260 IVP852260 JFL852260 JPH852260 JZD852260 KIZ852260 KSV852260 LCR852260 LMN852260 LWJ852260 MGF852260 MQB852260 MZX852260 NJT852260 NTP852260 ODL852260 ONH852260 OXD852260 PGZ852260 PQV852260 QAR852260 QKN852260 QUJ852260 REF852260 ROB852260 RXX852260 SHT852260 SRP852260 TBL852260 TLH852260 TVD852260 UEZ852260 UOV852260 UYR852260 VIN852260 VSJ852260 WCF852260 WMB852260 WVX852260 P917796 JL917796 TH917796 ADD917796 AMZ917796 AWV917796 BGR917796 BQN917796 CAJ917796 CKF917796 CUB917796 DDX917796 DNT917796 DXP917796 EHL917796 ERH917796 FBD917796 FKZ917796 FUV917796 GER917796 GON917796 GYJ917796 HIF917796 HSB917796 IBX917796 ILT917796 IVP917796 JFL917796 JPH917796 JZD917796 KIZ917796 KSV917796 LCR917796 LMN917796 LWJ917796 MGF917796 MQB917796 MZX917796 NJT917796 NTP917796 ODL917796 ONH917796 OXD917796 PGZ917796 PQV917796 QAR917796 QKN917796 QUJ917796 REF917796 ROB917796 RXX917796 SHT917796 SRP917796 TBL917796 TLH917796 TVD917796 UEZ917796 UOV917796 UYR917796 VIN917796 VSJ917796 WCF917796 WMB917796 WVX917796 P983332 JL983332 TH983332 ADD983332 AMZ983332 AWV983332 BGR983332 BQN983332 CAJ983332 CKF983332 CUB983332 DDX983332 DNT983332 DXP983332 EHL983332 ERH983332 FBD983332 FKZ983332 FUV983332 GER983332 GON983332 GYJ983332 HIF983332 HSB983332 IBX983332 ILT983332 IVP983332 JFL983332 JPH983332 JZD983332 KIZ983332 KSV983332 LCR983332 LMN983332 LWJ983332 MGF983332 MQB983332 MZX983332 NJT983332 NTP983332 ODL983332 ONH983332 OXD983332 PGZ983332 PQV983332 QAR983332 QKN983332 QUJ983332 REF983332 ROB983332 RXX983332 SHT983332 SRP983332 TBL983332 TLH983332 TVD983332 UEZ983332 UOV983332 UYR983332 VIN983332 VSJ983332 WCF983332 WMB983332 WVX983332 P364 JL364 TH364 ADD364 AMZ364 AWV364 BGR364 BQN364 CAJ364 CKF364 CUB364 DDX364 DNT364 DXP364 EHL364 ERH364 FBD364 FKZ364 FUV364 GER364 GON364 GYJ364 HIF364 HSB364 IBX364 ILT364 IVP364 JFL364 JPH364 JZD364 KIZ364 KSV364 LCR364 LMN364 LWJ364 MGF364 MQB364 MZX364 NJT364 NTP364 ODL364 ONH364 OXD364 PGZ364 PQV364 QAR364 QKN364 QUJ364 REF364 ROB364 RXX364 SHT364 SRP364 TBL364 TLH364 TVD364 UEZ364 UOV364 UYR364 VIN364 VSJ364 WCF364 WMB364 WVX364 P65900 JL65900 TH65900 ADD65900 AMZ65900 AWV65900 BGR65900 BQN65900 CAJ65900 CKF65900 CUB65900 DDX65900 DNT65900 DXP65900 EHL65900 ERH65900 FBD65900 FKZ65900 FUV65900 GER65900 GON65900 GYJ65900 HIF65900 HSB65900 IBX65900 ILT65900 IVP65900 JFL65900 JPH65900 JZD65900 KIZ65900 KSV65900 LCR65900 LMN65900 LWJ65900 MGF65900 MQB65900 MZX65900 NJT65900 NTP65900 ODL65900 ONH65900 OXD65900 PGZ65900 PQV65900 QAR65900 QKN65900 QUJ65900 REF65900 ROB65900 RXX65900 SHT65900 SRP65900 TBL65900 TLH65900 TVD65900 UEZ65900 UOV65900 UYR65900 VIN65900 VSJ65900 WCF65900 WMB65900 WVX65900 P131436 JL131436 TH131436 ADD131436 AMZ131436 AWV131436 BGR131436 BQN131436 CAJ131436 CKF131436 CUB131436 DDX131436 DNT131436 DXP131436 EHL131436 ERH131436 FBD131436 FKZ131436 FUV131436 GER131436 GON131436 GYJ131436 HIF131436 HSB131436 IBX131436 ILT131436 IVP131436 JFL131436 JPH131436 JZD131436 KIZ131436 KSV131436 LCR131436 LMN131436 LWJ131436 MGF131436 MQB131436 MZX131436 NJT131436 NTP131436 ODL131436 ONH131436 OXD131436 PGZ131436 PQV131436 QAR131436 QKN131436 QUJ131436 REF131436 ROB131436 RXX131436 SHT131436 SRP131436 TBL131436 TLH131436 TVD131436 UEZ131436 UOV131436 UYR131436 VIN131436 VSJ131436 WCF131436 WMB131436 WVX131436 P196972 JL196972 TH196972 ADD196972 AMZ196972 AWV196972 BGR196972 BQN196972 CAJ196972 CKF196972 CUB196972 DDX196972 DNT196972 DXP196972 EHL196972 ERH196972 FBD196972 FKZ196972 FUV196972 GER196972 GON196972 GYJ196972 HIF196972 HSB196972 IBX196972 ILT196972 IVP196972 JFL196972 JPH196972 JZD196972 KIZ196972 KSV196972 LCR196972 LMN196972 LWJ196972 MGF196972 MQB196972 MZX196972 NJT196972 NTP196972 ODL196972 ONH196972 OXD196972 PGZ196972 PQV196972 QAR196972 QKN196972 QUJ196972 REF196972 ROB196972 RXX196972 SHT196972 SRP196972 TBL196972 TLH196972 TVD196972 UEZ196972 UOV196972 UYR196972 VIN196972 VSJ196972 WCF196972 WMB196972 WVX196972 P262508 JL262508 TH262508 ADD262508 AMZ262508 AWV262508 BGR262508 BQN262508 CAJ262508 CKF262508 CUB262508 DDX262508 DNT262508 DXP262508 EHL262508 ERH262508 FBD262508 FKZ262508 FUV262508 GER262508 GON262508 GYJ262508 HIF262508 HSB262508 IBX262508 ILT262508 IVP262508 JFL262508 JPH262508 JZD262508 KIZ262508 KSV262508 LCR262508 LMN262508 LWJ262508 MGF262508 MQB262508 MZX262508 NJT262508 NTP262508 ODL262508 ONH262508 OXD262508 PGZ262508 PQV262508 QAR262508 QKN262508 QUJ262508 REF262508 ROB262508 RXX262508 SHT262508 SRP262508 TBL262508 TLH262508 TVD262508 UEZ262508 UOV262508 UYR262508 VIN262508 VSJ262508 WCF262508 WMB262508 WVX262508 P328044 JL328044 TH328044 ADD328044 AMZ328044 AWV328044 BGR328044 BQN328044 CAJ328044 CKF328044 CUB328044 DDX328044 DNT328044 DXP328044 EHL328044 ERH328044 FBD328044 FKZ328044 FUV328044 GER328044 GON328044 GYJ328044 HIF328044 HSB328044 IBX328044 ILT328044 IVP328044 JFL328044 JPH328044 JZD328044 KIZ328044 KSV328044 LCR328044 LMN328044 LWJ328044 MGF328044 MQB328044 MZX328044 NJT328044 NTP328044 ODL328044 ONH328044 OXD328044 PGZ328044 PQV328044 QAR328044 QKN328044 QUJ328044 REF328044 ROB328044 RXX328044 SHT328044 SRP328044 TBL328044 TLH328044 TVD328044 UEZ328044 UOV328044 UYR328044 VIN328044 VSJ328044 WCF328044 WMB328044 WVX328044 P393580 JL393580 TH393580 ADD393580 AMZ393580 AWV393580 BGR393580 BQN393580 CAJ393580 CKF393580 CUB393580 DDX393580 DNT393580 DXP393580 EHL393580 ERH393580 FBD393580 FKZ393580 FUV393580 GER393580 GON393580 GYJ393580 HIF393580 HSB393580 IBX393580 ILT393580 IVP393580 JFL393580 JPH393580 JZD393580 KIZ393580 KSV393580 LCR393580 LMN393580 LWJ393580 MGF393580 MQB393580 MZX393580 NJT393580 NTP393580 ODL393580 ONH393580 OXD393580 PGZ393580 PQV393580 QAR393580 QKN393580 QUJ393580 REF393580 ROB393580 RXX393580 SHT393580 SRP393580 TBL393580 TLH393580 TVD393580 UEZ393580 UOV393580 UYR393580 VIN393580 VSJ393580 WCF393580 WMB393580 WVX393580 P459116 JL459116 TH459116 ADD459116 AMZ459116 AWV459116 BGR459116 BQN459116 CAJ459116 CKF459116 CUB459116 DDX459116 DNT459116 DXP459116 EHL459116 ERH459116 FBD459116 FKZ459116 FUV459116 GER459116 GON459116 GYJ459116 HIF459116 HSB459116 IBX459116 ILT459116 IVP459116 JFL459116 JPH459116 JZD459116 KIZ459116 KSV459116 LCR459116 LMN459116 LWJ459116 MGF459116 MQB459116 MZX459116 NJT459116 NTP459116 ODL459116 ONH459116 OXD459116 PGZ459116 PQV459116 QAR459116 QKN459116 QUJ459116 REF459116 ROB459116 RXX459116 SHT459116 SRP459116 TBL459116 TLH459116 TVD459116 UEZ459116 UOV459116 UYR459116 VIN459116 VSJ459116 WCF459116 WMB459116 WVX459116 P524652 JL524652 TH524652 ADD524652 AMZ524652 AWV524652 BGR524652 BQN524652 CAJ524652 CKF524652 CUB524652 DDX524652 DNT524652 DXP524652 EHL524652 ERH524652 FBD524652 FKZ524652 FUV524652 GER524652 GON524652 GYJ524652 HIF524652 HSB524652 IBX524652 ILT524652 IVP524652 JFL524652 JPH524652 JZD524652 KIZ524652 KSV524652 LCR524652 LMN524652 LWJ524652 MGF524652 MQB524652 MZX524652 NJT524652 NTP524652 ODL524652 ONH524652 OXD524652 PGZ524652 PQV524652 QAR524652 QKN524652 QUJ524652 REF524652 ROB524652 RXX524652 SHT524652 SRP524652 TBL524652 TLH524652 TVD524652 UEZ524652 UOV524652 UYR524652 VIN524652 VSJ524652 WCF524652 WMB524652 WVX524652 P590188 JL590188 TH590188 ADD590188 AMZ590188 AWV590188 BGR590188 BQN590188 CAJ590188 CKF590188 CUB590188 DDX590188 DNT590188 DXP590188 EHL590188 ERH590188 FBD590188 FKZ590188 FUV590188 GER590188 GON590188 GYJ590188 HIF590188 HSB590188 IBX590188 ILT590188 IVP590188 JFL590188 JPH590188 JZD590188 KIZ590188 KSV590188 LCR590188 LMN590188 LWJ590188 MGF590188 MQB590188 MZX590188 NJT590188 NTP590188 ODL590188 ONH590188 OXD590188 PGZ590188 PQV590188 QAR590188 QKN590188 QUJ590188 REF590188 ROB590188 RXX590188 SHT590188 SRP590188 TBL590188 TLH590188 TVD590188 UEZ590188 UOV590188 UYR590188 VIN590188 VSJ590188 WCF590188 WMB590188 WVX590188 P655724 JL655724 TH655724 ADD655724 AMZ655724 AWV655724 BGR655724 BQN655724 CAJ655724 CKF655724 CUB655724 DDX655724 DNT655724 DXP655724 EHL655724 ERH655724 FBD655724 FKZ655724 FUV655724 GER655724 GON655724 GYJ655724 HIF655724 HSB655724 IBX655724 ILT655724 IVP655724 JFL655724 JPH655724 JZD655724 KIZ655724 KSV655724 LCR655724 LMN655724 LWJ655724 MGF655724 MQB655724 MZX655724 NJT655724 NTP655724 ODL655724 ONH655724 OXD655724 PGZ655724 PQV655724 QAR655724 QKN655724 QUJ655724 REF655724 ROB655724 RXX655724 SHT655724 SRP655724 TBL655724 TLH655724 TVD655724 UEZ655724 UOV655724 UYR655724 VIN655724 VSJ655724 WCF655724 WMB655724 WVX655724 P721260 JL721260 TH721260 ADD721260 AMZ721260 AWV721260 BGR721260 BQN721260 CAJ721260 CKF721260 CUB721260 DDX721260 DNT721260 DXP721260 EHL721260 ERH721260 FBD721260 FKZ721260 FUV721260 GER721260 GON721260 GYJ721260 HIF721260 HSB721260 IBX721260 ILT721260 IVP721260 JFL721260 JPH721260 JZD721260 KIZ721260 KSV721260 LCR721260 LMN721260 LWJ721260 MGF721260 MQB721260 MZX721260 NJT721260 NTP721260 ODL721260 ONH721260 OXD721260 PGZ721260 PQV721260 QAR721260 QKN721260 QUJ721260 REF721260 ROB721260 RXX721260 SHT721260 SRP721260 TBL721260 TLH721260 TVD721260 UEZ721260 UOV721260 UYR721260 VIN721260 VSJ721260 WCF721260 WMB721260 WVX721260 P786796 JL786796 TH786796 ADD786796 AMZ786796 AWV786796 BGR786796 BQN786796 CAJ786796 CKF786796 CUB786796 DDX786796 DNT786796 DXP786796 EHL786796 ERH786796 FBD786796 FKZ786796 FUV786796 GER786796 GON786796 GYJ786796 HIF786796 HSB786796 IBX786796 ILT786796 IVP786796 JFL786796 JPH786796 JZD786796 KIZ786796 KSV786796 LCR786796 LMN786796 LWJ786796 MGF786796 MQB786796 MZX786796 NJT786796 NTP786796 ODL786796 ONH786796 OXD786796 PGZ786796 PQV786796 QAR786796 QKN786796 QUJ786796 REF786796 ROB786796 RXX786796 SHT786796 SRP786796 TBL786796 TLH786796 TVD786796 UEZ786796 UOV786796 UYR786796 VIN786796 VSJ786796 WCF786796 WMB786796 WVX786796 P852332 JL852332 TH852332 ADD852332 AMZ852332 AWV852332 BGR852332 BQN852332 CAJ852332 CKF852332 CUB852332 DDX852332 DNT852332 DXP852332 EHL852332 ERH852332 FBD852332 FKZ852332 FUV852332 GER852332 GON852332 GYJ852332 HIF852332 HSB852332 IBX852332 ILT852332 IVP852332 JFL852332 JPH852332 JZD852332 KIZ852332 KSV852332 LCR852332 LMN852332 LWJ852332 MGF852332 MQB852332 MZX852332 NJT852332 NTP852332 ODL852332 ONH852332 OXD852332 PGZ852332 PQV852332 QAR852332 QKN852332 QUJ852332 REF852332 ROB852332 RXX852332 SHT852332 SRP852332 TBL852332 TLH852332 TVD852332 UEZ852332 UOV852332 UYR852332 VIN852332 VSJ852332 WCF852332 WMB852332 WVX852332 P917868 JL917868 TH917868 ADD917868 AMZ917868 AWV917868 BGR917868 BQN917868 CAJ917868 CKF917868 CUB917868 DDX917868 DNT917868 DXP917868 EHL917868 ERH917868 FBD917868 FKZ917868 FUV917868 GER917868 GON917868 GYJ917868 HIF917868 HSB917868 IBX917868 ILT917868 IVP917868 JFL917868 JPH917868 JZD917868 KIZ917868 KSV917868 LCR917868 LMN917868 LWJ917868 MGF917868 MQB917868 MZX917868 NJT917868 NTP917868 ODL917868 ONH917868 OXD917868 PGZ917868 PQV917868 QAR917868 QKN917868 QUJ917868 REF917868 ROB917868 RXX917868 SHT917868 SRP917868 TBL917868 TLH917868 TVD917868 UEZ917868 UOV917868 UYR917868 VIN917868 VSJ917868 WCF917868 WMB917868 WVX917868 P983404 JL983404 TH983404 ADD983404 AMZ983404 AWV983404 BGR983404 BQN983404 CAJ983404 CKF983404 CUB983404 DDX983404 DNT983404 DXP983404 EHL983404 ERH983404 FBD983404 FKZ983404 FUV983404 GER983404 GON983404 GYJ983404 HIF983404 HSB983404 IBX983404 ILT983404 IVP983404 JFL983404 JPH983404 JZD983404 KIZ983404 KSV983404 LCR983404 LMN983404 LWJ983404 MGF983404 MQB983404 MZX983404 NJT983404 NTP983404 ODL983404 ONH983404 OXD983404 PGZ983404 PQV983404 QAR983404 QKN983404 QUJ983404 REF983404 ROB983404 RXX983404 SHT983404 SRP983404 TBL983404 TLH983404 TVD983404 UEZ983404 UOV983404 UYR983404 VIN983404 VSJ983404 WCF983404 WMB983404 WVX983404 P532 JL532 TH532 ADD532 AMZ532 AWV532 BGR532 BQN532 CAJ532 CKF532 CUB532 DDX532 DNT532 DXP532 EHL532 ERH532 FBD532 FKZ532 FUV532 GER532 GON532 GYJ532 HIF532 HSB532 IBX532 ILT532 IVP532 JFL532 JPH532 JZD532 KIZ532 KSV532 LCR532 LMN532 LWJ532 MGF532 MQB532 MZX532 NJT532 NTP532 ODL532 ONH532 OXD532 PGZ532 PQV532 QAR532 QKN532 QUJ532 REF532 ROB532 RXX532 SHT532 SRP532 TBL532 TLH532 TVD532 UEZ532 UOV532 UYR532 VIN532 VSJ532 WCF532 WMB532 WVX532 P66068 JL66068 TH66068 ADD66068 AMZ66068 AWV66068 BGR66068 BQN66068 CAJ66068 CKF66068 CUB66068 DDX66068 DNT66068 DXP66068 EHL66068 ERH66068 FBD66068 FKZ66068 FUV66068 GER66068 GON66068 GYJ66068 HIF66068 HSB66068 IBX66068 ILT66068 IVP66068 JFL66068 JPH66068 JZD66068 KIZ66068 KSV66068 LCR66068 LMN66068 LWJ66068 MGF66068 MQB66068 MZX66068 NJT66068 NTP66068 ODL66068 ONH66068 OXD66068 PGZ66068 PQV66068 QAR66068 QKN66068 QUJ66068 REF66068 ROB66068 RXX66068 SHT66068 SRP66068 TBL66068 TLH66068 TVD66068 UEZ66068 UOV66068 UYR66068 VIN66068 VSJ66068 WCF66068 WMB66068 WVX66068 P131604 JL131604 TH131604 ADD131604 AMZ131604 AWV131604 BGR131604 BQN131604 CAJ131604 CKF131604 CUB131604 DDX131604 DNT131604 DXP131604 EHL131604 ERH131604 FBD131604 FKZ131604 FUV131604 GER131604 GON131604 GYJ131604 HIF131604 HSB131604 IBX131604 ILT131604 IVP131604 JFL131604 JPH131604 JZD131604 KIZ131604 KSV131604 LCR131604 LMN131604 LWJ131604 MGF131604 MQB131604 MZX131604 NJT131604 NTP131604 ODL131604 ONH131604 OXD131604 PGZ131604 PQV131604 QAR131604 QKN131604 QUJ131604 REF131604 ROB131604 RXX131604 SHT131604 SRP131604 TBL131604 TLH131604 TVD131604 UEZ131604 UOV131604 UYR131604 VIN131604 VSJ131604 WCF131604 WMB131604 WVX131604 P197140 JL197140 TH197140 ADD197140 AMZ197140 AWV197140 BGR197140 BQN197140 CAJ197140 CKF197140 CUB197140 DDX197140 DNT197140 DXP197140 EHL197140 ERH197140 FBD197140 FKZ197140 FUV197140 GER197140 GON197140 GYJ197140 HIF197140 HSB197140 IBX197140 ILT197140 IVP197140 JFL197140 JPH197140 JZD197140 KIZ197140 KSV197140 LCR197140 LMN197140 LWJ197140 MGF197140 MQB197140 MZX197140 NJT197140 NTP197140 ODL197140 ONH197140 OXD197140 PGZ197140 PQV197140 QAR197140 QKN197140 QUJ197140 REF197140 ROB197140 RXX197140 SHT197140 SRP197140 TBL197140 TLH197140 TVD197140 UEZ197140 UOV197140 UYR197140 VIN197140 VSJ197140 WCF197140 WMB197140 WVX197140 P262676 JL262676 TH262676 ADD262676 AMZ262676 AWV262676 BGR262676 BQN262676 CAJ262676 CKF262676 CUB262676 DDX262676 DNT262676 DXP262676 EHL262676 ERH262676 FBD262676 FKZ262676 FUV262676 GER262676 GON262676 GYJ262676 HIF262676 HSB262676 IBX262676 ILT262676 IVP262676 JFL262676 JPH262676 JZD262676 KIZ262676 KSV262676 LCR262676 LMN262676 LWJ262676 MGF262676 MQB262676 MZX262676 NJT262676 NTP262676 ODL262676 ONH262676 OXD262676 PGZ262676 PQV262676 QAR262676 QKN262676 QUJ262676 REF262676 ROB262676 RXX262676 SHT262676 SRP262676 TBL262676 TLH262676 TVD262676 UEZ262676 UOV262676 UYR262676 VIN262676 VSJ262676 WCF262676 WMB262676 WVX262676 P328212 JL328212 TH328212 ADD328212 AMZ328212 AWV328212 BGR328212 BQN328212 CAJ328212 CKF328212 CUB328212 DDX328212 DNT328212 DXP328212 EHL328212 ERH328212 FBD328212 FKZ328212 FUV328212 GER328212 GON328212 GYJ328212 HIF328212 HSB328212 IBX328212 ILT328212 IVP328212 JFL328212 JPH328212 JZD328212 KIZ328212 KSV328212 LCR328212 LMN328212 LWJ328212 MGF328212 MQB328212 MZX328212 NJT328212 NTP328212 ODL328212 ONH328212 OXD328212 PGZ328212 PQV328212 QAR328212 QKN328212 QUJ328212 REF328212 ROB328212 RXX328212 SHT328212 SRP328212 TBL328212 TLH328212 TVD328212 UEZ328212 UOV328212 UYR328212 VIN328212 VSJ328212 WCF328212 WMB328212 WVX328212 P393748 JL393748 TH393748 ADD393748 AMZ393748 AWV393748 BGR393748 BQN393748 CAJ393748 CKF393748 CUB393748 DDX393748 DNT393748 DXP393748 EHL393748 ERH393748 FBD393748 FKZ393748 FUV393748 GER393748 GON393748 GYJ393748 HIF393748 HSB393748 IBX393748 ILT393748 IVP393748 JFL393748 JPH393748 JZD393748 KIZ393748 KSV393748 LCR393748 LMN393748 LWJ393748 MGF393748 MQB393748 MZX393748 NJT393748 NTP393748 ODL393748 ONH393748 OXD393748 PGZ393748 PQV393748 QAR393748 QKN393748 QUJ393748 REF393748 ROB393748 RXX393748 SHT393748 SRP393748 TBL393748 TLH393748 TVD393748 UEZ393748 UOV393748 UYR393748 VIN393748 VSJ393748 WCF393748 WMB393748 WVX393748 P459284 JL459284 TH459284 ADD459284 AMZ459284 AWV459284 BGR459284 BQN459284 CAJ459284 CKF459284 CUB459284 DDX459284 DNT459284 DXP459284 EHL459284 ERH459284 FBD459284 FKZ459284 FUV459284 GER459284 GON459284 GYJ459284 HIF459284 HSB459284 IBX459284 ILT459284 IVP459284 JFL459284 JPH459284 JZD459284 KIZ459284 KSV459284 LCR459284 LMN459284 LWJ459284 MGF459284 MQB459284 MZX459284 NJT459284 NTP459284 ODL459284 ONH459284 OXD459284 PGZ459284 PQV459284 QAR459284 QKN459284 QUJ459284 REF459284 ROB459284 RXX459284 SHT459284 SRP459284 TBL459284 TLH459284 TVD459284 UEZ459284 UOV459284 UYR459284 VIN459284 VSJ459284 WCF459284 WMB459284 WVX459284 P524820 JL524820 TH524820 ADD524820 AMZ524820 AWV524820 BGR524820 BQN524820 CAJ524820 CKF524820 CUB524820 DDX524820 DNT524820 DXP524820 EHL524820 ERH524820 FBD524820 FKZ524820 FUV524820 GER524820 GON524820 GYJ524820 HIF524820 HSB524820 IBX524820 ILT524820 IVP524820 JFL524820 JPH524820 JZD524820 KIZ524820 KSV524820 LCR524820 LMN524820 LWJ524820 MGF524820 MQB524820 MZX524820 NJT524820 NTP524820 ODL524820 ONH524820 OXD524820 PGZ524820 PQV524820 QAR524820 QKN524820 QUJ524820 REF524820 ROB524820 RXX524820 SHT524820 SRP524820 TBL524820 TLH524820 TVD524820 UEZ524820 UOV524820 UYR524820 VIN524820 VSJ524820 WCF524820 WMB524820 WVX524820 P590356 JL590356 TH590356 ADD590356 AMZ590356 AWV590356 BGR590356 BQN590356 CAJ590356 CKF590356 CUB590356 DDX590356 DNT590356 DXP590356 EHL590356 ERH590356 FBD590356 FKZ590356 FUV590356 GER590356 GON590356 GYJ590356 HIF590356 HSB590356 IBX590356 ILT590356 IVP590356 JFL590356 JPH590356 JZD590356 KIZ590356 KSV590356 LCR590356 LMN590356 LWJ590356 MGF590356 MQB590356 MZX590356 NJT590356 NTP590356 ODL590356 ONH590356 OXD590356 PGZ590356 PQV590356 QAR590356 QKN590356 QUJ590356 REF590356 ROB590356 RXX590356 SHT590356 SRP590356 TBL590356 TLH590356 TVD590356 UEZ590356 UOV590356 UYR590356 VIN590356 VSJ590356 WCF590356 WMB590356 WVX590356 P655892 JL655892 TH655892 ADD655892 AMZ655892 AWV655892 BGR655892 BQN655892 CAJ655892 CKF655892 CUB655892 DDX655892 DNT655892 DXP655892 EHL655892 ERH655892 FBD655892 FKZ655892 FUV655892 GER655892 GON655892 GYJ655892 HIF655892 HSB655892 IBX655892 ILT655892 IVP655892 JFL655892 JPH655892 JZD655892 KIZ655892 KSV655892 LCR655892 LMN655892 LWJ655892 MGF655892 MQB655892 MZX655892 NJT655892 NTP655892 ODL655892 ONH655892 OXD655892 PGZ655892 PQV655892 QAR655892 QKN655892 QUJ655892 REF655892 ROB655892 RXX655892 SHT655892 SRP655892 TBL655892 TLH655892 TVD655892 UEZ655892 UOV655892 UYR655892 VIN655892 VSJ655892 WCF655892 WMB655892 WVX655892 P721428 JL721428 TH721428 ADD721428 AMZ721428 AWV721428 BGR721428 BQN721428 CAJ721428 CKF721428 CUB721428 DDX721428 DNT721428 DXP721428 EHL721428 ERH721428 FBD721428 FKZ721428 FUV721428 GER721428 GON721428 GYJ721428 HIF721428 HSB721428 IBX721428 ILT721428 IVP721428 JFL721428 JPH721428 JZD721428 KIZ721428 KSV721428 LCR721428 LMN721428 LWJ721428 MGF721428 MQB721428 MZX721428 NJT721428 NTP721428 ODL721428 ONH721428 OXD721428 PGZ721428 PQV721428 QAR721428 QKN721428 QUJ721428 REF721428 ROB721428 RXX721428 SHT721428 SRP721428 TBL721428 TLH721428 TVD721428 UEZ721428 UOV721428 UYR721428 VIN721428 VSJ721428 WCF721428 WMB721428 WVX721428 P786964 JL786964 TH786964 ADD786964 AMZ786964 AWV786964 BGR786964 BQN786964 CAJ786964 CKF786964 CUB786964 DDX786964 DNT786964 DXP786964 EHL786964 ERH786964 FBD786964 FKZ786964 FUV786964 GER786964 GON786964 GYJ786964 HIF786964 HSB786964 IBX786964 ILT786964 IVP786964 JFL786964 JPH786964 JZD786964 KIZ786964 KSV786964 LCR786964 LMN786964 LWJ786964 MGF786964 MQB786964 MZX786964 NJT786964 NTP786964 ODL786964 ONH786964 OXD786964 PGZ786964 PQV786964 QAR786964 QKN786964 QUJ786964 REF786964 ROB786964 RXX786964 SHT786964 SRP786964 TBL786964 TLH786964 TVD786964 UEZ786964 UOV786964 UYR786964 VIN786964 VSJ786964 WCF786964 WMB786964 WVX786964 P852500 JL852500 TH852500 ADD852500 AMZ852500 AWV852500 BGR852500 BQN852500 CAJ852500 CKF852500 CUB852500 DDX852500 DNT852500 DXP852500 EHL852500 ERH852500 FBD852500 FKZ852500 FUV852500 GER852500 GON852500 GYJ852500 HIF852500 HSB852500 IBX852500 ILT852500 IVP852500 JFL852500 JPH852500 JZD852500 KIZ852500 KSV852500 LCR852500 LMN852500 LWJ852500 MGF852500 MQB852500 MZX852500 NJT852500 NTP852500 ODL852500 ONH852500 OXD852500 PGZ852500 PQV852500 QAR852500 QKN852500 QUJ852500 REF852500 ROB852500 RXX852500 SHT852500 SRP852500 TBL852500 TLH852500 TVD852500 UEZ852500 UOV852500 UYR852500 VIN852500 VSJ852500 WCF852500 WMB852500 WVX852500 P918036 JL918036 TH918036 ADD918036 AMZ918036 AWV918036 BGR918036 BQN918036 CAJ918036 CKF918036 CUB918036 DDX918036 DNT918036 DXP918036 EHL918036 ERH918036 FBD918036 FKZ918036 FUV918036 GER918036 GON918036 GYJ918036 HIF918036 HSB918036 IBX918036 ILT918036 IVP918036 JFL918036 JPH918036 JZD918036 KIZ918036 KSV918036 LCR918036 LMN918036 LWJ918036 MGF918036 MQB918036 MZX918036 NJT918036 NTP918036 ODL918036 ONH918036 OXD918036 PGZ918036 PQV918036 QAR918036 QKN918036 QUJ918036 REF918036 ROB918036 RXX918036 SHT918036 SRP918036 TBL918036 TLH918036 TVD918036 UEZ918036 UOV918036 UYR918036 VIN918036 VSJ918036 WCF918036 WMB918036 WVX918036 P983572 JL983572 TH983572 ADD983572 AMZ983572 AWV983572 BGR983572 BQN983572 CAJ983572 CKF983572 CUB983572 DDX983572 DNT983572 DXP983572 EHL983572 ERH983572 FBD983572 FKZ983572 FUV983572 GER983572 GON983572 GYJ983572 HIF983572 HSB983572 IBX983572 ILT983572 IVP983572 JFL983572 JPH983572 JZD983572 KIZ983572 KSV983572 LCR983572 LMN983572 LWJ983572 MGF983572 MQB983572 MZX983572 NJT983572 NTP983572 ODL983572 ONH983572 OXD983572 PGZ983572 PQV983572 QAR983572 QKN983572 QUJ983572 REF983572 ROB983572 RXX983572 SHT983572 SRP983572 TBL983572 TLH983572 TVD983572 UEZ983572 UOV983572 UYR983572 VIN983572 VSJ983572 WCF983572 WMB983572 WVX983572 P495 JL495 TH495 ADD495 AMZ495 AWV495 BGR495 BQN495 CAJ495 CKF495 CUB495 DDX495 DNT495 DXP495 EHL495 ERH495 FBD495 FKZ495 FUV495 GER495 GON495 GYJ495 HIF495 HSB495 IBX495 ILT495 IVP495 JFL495 JPH495 JZD495 KIZ495 KSV495 LCR495 LMN495 LWJ495 MGF495 MQB495 MZX495 NJT495 NTP495 ODL495 ONH495 OXD495 PGZ495 PQV495 QAR495 QKN495 QUJ495 REF495 ROB495 RXX495 SHT495 SRP495 TBL495 TLH495 TVD495 UEZ495 UOV495 UYR495 VIN495 VSJ495 WCF495 WMB495 WVX495 P66031 JL66031 TH66031 ADD66031 AMZ66031 AWV66031 BGR66031 BQN66031 CAJ66031 CKF66031 CUB66031 DDX66031 DNT66031 DXP66031 EHL66031 ERH66031 FBD66031 FKZ66031 FUV66031 GER66031 GON66031 GYJ66031 HIF66031 HSB66031 IBX66031 ILT66031 IVP66031 JFL66031 JPH66031 JZD66031 KIZ66031 KSV66031 LCR66031 LMN66031 LWJ66031 MGF66031 MQB66031 MZX66031 NJT66031 NTP66031 ODL66031 ONH66031 OXD66031 PGZ66031 PQV66031 QAR66031 QKN66031 QUJ66031 REF66031 ROB66031 RXX66031 SHT66031 SRP66031 TBL66031 TLH66031 TVD66031 UEZ66031 UOV66031 UYR66031 VIN66031 VSJ66031 WCF66031 WMB66031 WVX66031 P131567 JL131567 TH131567 ADD131567 AMZ131567 AWV131567 BGR131567 BQN131567 CAJ131567 CKF131567 CUB131567 DDX131567 DNT131567 DXP131567 EHL131567 ERH131567 FBD131567 FKZ131567 FUV131567 GER131567 GON131567 GYJ131567 HIF131567 HSB131567 IBX131567 ILT131567 IVP131567 JFL131567 JPH131567 JZD131567 KIZ131567 KSV131567 LCR131567 LMN131567 LWJ131567 MGF131567 MQB131567 MZX131567 NJT131567 NTP131567 ODL131567 ONH131567 OXD131567 PGZ131567 PQV131567 QAR131567 QKN131567 QUJ131567 REF131567 ROB131567 RXX131567 SHT131567 SRP131567 TBL131567 TLH131567 TVD131567 UEZ131567 UOV131567 UYR131567 VIN131567 VSJ131567 WCF131567 WMB131567 WVX131567 P197103 JL197103 TH197103 ADD197103 AMZ197103 AWV197103 BGR197103 BQN197103 CAJ197103 CKF197103 CUB197103 DDX197103 DNT197103 DXP197103 EHL197103 ERH197103 FBD197103 FKZ197103 FUV197103 GER197103 GON197103 GYJ197103 HIF197103 HSB197103 IBX197103 ILT197103 IVP197103 JFL197103 JPH197103 JZD197103 KIZ197103 KSV197103 LCR197103 LMN197103 LWJ197103 MGF197103 MQB197103 MZX197103 NJT197103 NTP197103 ODL197103 ONH197103 OXD197103 PGZ197103 PQV197103 QAR197103 QKN197103 QUJ197103 REF197103 ROB197103 RXX197103 SHT197103 SRP197103 TBL197103 TLH197103 TVD197103 UEZ197103 UOV197103 UYR197103 VIN197103 VSJ197103 WCF197103 WMB197103 WVX197103 P262639 JL262639 TH262639 ADD262639 AMZ262639 AWV262639 BGR262639 BQN262639 CAJ262639 CKF262639 CUB262639 DDX262639 DNT262639 DXP262639 EHL262639 ERH262639 FBD262639 FKZ262639 FUV262639 GER262639 GON262639 GYJ262639 HIF262639 HSB262639 IBX262639 ILT262639 IVP262639 JFL262639 JPH262639 JZD262639 KIZ262639 KSV262639 LCR262639 LMN262639 LWJ262639 MGF262639 MQB262639 MZX262639 NJT262639 NTP262639 ODL262639 ONH262639 OXD262639 PGZ262639 PQV262639 QAR262639 QKN262639 QUJ262639 REF262639 ROB262639 RXX262639 SHT262639 SRP262639 TBL262639 TLH262639 TVD262639 UEZ262639 UOV262639 UYR262639 VIN262639 VSJ262639 WCF262639 WMB262639 WVX262639 P328175 JL328175 TH328175 ADD328175 AMZ328175 AWV328175 BGR328175 BQN328175 CAJ328175 CKF328175 CUB328175 DDX328175 DNT328175 DXP328175 EHL328175 ERH328175 FBD328175 FKZ328175 FUV328175 GER328175 GON328175 GYJ328175 HIF328175 HSB328175 IBX328175 ILT328175 IVP328175 JFL328175 JPH328175 JZD328175 KIZ328175 KSV328175 LCR328175 LMN328175 LWJ328175 MGF328175 MQB328175 MZX328175 NJT328175 NTP328175 ODL328175 ONH328175 OXD328175 PGZ328175 PQV328175 QAR328175 QKN328175 QUJ328175 REF328175 ROB328175 RXX328175 SHT328175 SRP328175 TBL328175 TLH328175 TVD328175 UEZ328175 UOV328175 UYR328175 VIN328175 VSJ328175 WCF328175 WMB328175 WVX328175 P393711 JL393711 TH393711 ADD393711 AMZ393711 AWV393711 BGR393711 BQN393711 CAJ393711 CKF393711 CUB393711 DDX393711 DNT393711 DXP393711 EHL393711 ERH393711 FBD393711 FKZ393711 FUV393711 GER393711 GON393711 GYJ393711 HIF393711 HSB393711 IBX393711 ILT393711 IVP393711 JFL393711 JPH393711 JZD393711 KIZ393711 KSV393711 LCR393711 LMN393711 LWJ393711 MGF393711 MQB393711 MZX393711 NJT393711 NTP393711 ODL393711 ONH393711 OXD393711 PGZ393711 PQV393711 QAR393711 QKN393711 QUJ393711 REF393711 ROB393711 RXX393711 SHT393711 SRP393711 TBL393711 TLH393711 TVD393711 UEZ393711 UOV393711 UYR393711 VIN393711 VSJ393711 WCF393711 WMB393711 WVX393711 P459247 JL459247 TH459247 ADD459247 AMZ459247 AWV459247 BGR459247 BQN459247 CAJ459247 CKF459247 CUB459247 DDX459247 DNT459247 DXP459247 EHL459247 ERH459247 FBD459247 FKZ459247 FUV459247 GER459247 GON459247 GYJ459247 HIF459247 HSB459247 IBX459247 ILT459247 IVP459247 JFL459247 JPH459247 JZD459247 KIZ459247 KSV459247 LCR459247 LMN459247 LWJ459247 MGF459247 MQB459247 MZX459247 NJT459247 NTP459247 ODL459247 ONH459247 OXD459247 PGZ459247 PQV459247 QAR459247 QKN459247 QUJ459247 REF459247 ROB459247 RXX459247 SHT459247 SRP459247 TBL459247 TLH459247 TVD459247 UEZ459247 UOV459247 UYR459247 VIN459247 VSJ459247 WCF459247 WMB459247 WVX459247 P524783 JL524783 TH524783 ADD524783 AMZ524783 AWV524783 BGR524783 BQN524783 CAJ524783 CKF524783 CUB524783 DDX524783 DNT524783 DXP524783 EHL524783 ERH524783 FBD524783 FKZ524783 FUV524783 GER524783 GON524783 GYJ524783 HIF524783 HSB524783 IBX524783 ILT524783 IVP524783 JFL524783 JPH524783 JZD524783 KIZ524783 KSV524783 LCR524783 LMN524783 LWJ524783 MGF524783 MQB524783 MZX524783 NJT524783 NTP524783 ODL524783 ONH524783 OXD524783 PGZ524783 PQV524783 QAR524783 QKN524783 QUJ524783 REF524783 ROB524783 RXX524783 SHT524783 SRP524783 TBL524783 TLH524783 TVD524783 UEZ524783 UOV524783 UYR524783 VIN524783 VSJ524783 WCF524783 WMB524783 WVX524783 P590319 JL590319 TH590319 ADD590319 AMZ590319 AWV590319 BGR590319 BQN590319 CAJ590319 CKF590319 CUB590319 DDX590319 DNT590319 DXP590319 EHL590319 ERH590319 FBD590319 FKZ590319 FUV590319 GER590319 GON590319 GYJ590319 HIF590319 HSB590319 IBX590319 ILT590319 IVP590319 JFL590319 JPH590319 JZD590319 KIZ590319 KSV590319 LCR590319 LMN590319 LWJ590319 MGF590319 MQB590319 MZX590319 NJT590319 NTP590319 ODL590319 ONH590319 OXD590319 PGZ590319 PQV590319 QAR590319 QKN590319 QUJ590319 REF590319 ROB590319 RXX590319 SHT590319 SRP590319 TBL590319 TLH590319 TVD590319 UEZ590319 UOV590319 UYR590319 VIN590319 VSJ590319 WCF590319 WMB590319 WVX590319 P655855 JL655855 TH655855 ADD655855 AMZ655855 AWV655855 BGR655855 BQN655855 CAJ655855 CKF655855 CUB655855 DDX655855 DNT655855 DXP655855 EHL655855 ERH655855 FBD655855 FKZ655855 FUV655855 GER655855 GON655855 GYJ655855 HIF655855 HSB655855 IBX655855 ILT655855 IVP655855 JFL655855 JPH655855 JZD655855 KIZ655855 KSV655855 LCR655855 LMN655855 LWJ655855 MGF655855 MQB655855 MZX655855 NJT655855 NTP655855 ODL655855 ONH655855 OXD655855 PGZ655855 PQV655855 QAR655855 QKN655855 QUJ655855 REF655855 ROB655855 RXX655855 SHT655855 SRP655855 TBL655855 TLH655855 TVD655855 UEZ655855 UOV655855 UYR655855 VIN655855 VSJ655855 WCF655855 WMB655855 WVX655855 P721391 JL721391 TH721391 ADD721391 AMZ721391 AWV721391 BGR721391 BQN721391 CAJ721391 CKF721391 CUB721391 DDX721391 DNT721391 DXP721391 EHL721391 ERH721391 FBD721391 FKZ721391 FUV721391 GER721391 GON721391 GYJ721391 HIF721391 HSB721391 IBX721391 ILT721391 IVP721391 JFL721391 JPH721391 JZD721391 KIZ721391 KSV721391 LCR721391 LMN721391 LWJ721391 MGF721391 MQB721391 MZX721391 NJT721391 NTP721391 ODL721391 ONH721391 OXD721391 PGZ721391 PQV721391 QAR721391 QKN721391 QUJ721391 REF721391 ROB721391 RXX721391 SHT721391 SRP721391 TBL721391 TLH721391 TVD721391 UEZ721391 UOV721391 UYR721391 VIN721391 VSJ721391 WCF721391 WMB721391 WVX721391 P786927 JL786927 TH786927 ADD786927 AMZ786927 AWV786927 BGR786927 BQN786927 CAJ786927 CKF786927 CUB786927 DDX786927 DNT786927 DXP786927 EHL786927 ERH786927 FBD786927 FKZ786927 FUV786927 GER786927 GON786927 GYJ786927 HIF786927 HSB786927 IBX786927 ILT786927 IVP786927 JFL786927 JPH786927 JZD786927 KIZ786927 KSV786927 LCR786927 LMN786927 LWJ786927 MGF786927 MQB786927 MZX786927 NJT786927 NTP786927 ODL786927 ONH786927 OXD786927 PGZ786927 PQV786927 QAR786927 QKN786927 QUJ786927 REF786927 ROB786927 RXX786927 SHT786927 SRP786927 TBL786927 TLH786927 TVD786927 UEZ786927 UOV786927 UYR786927 VIN786927 VSJ786927 WCF786927 WMB786927 WVX786927 P852463 JL852463 TH852463 ADD852463 AMZ852463 AWV852463 BGR852463 BQN852463 CAJ852463 CKF852463 CUB852463 DDX852463 DNT852463 DXP852463 EHL852463 ERH852463 FBD852463 FKZ852463 FUV852463 GER852463 GON852463 GYJ852463 HIF852463 HSB852463 IBX852463 ILT852463 IVP852463 JFL852463 JPH852463 JZD852463 KIZ852463 KSV852463 LCR852463 LMN852463 LWJ852463 MGF852463 MQB852463 MZX852463 NJT852463 NTP852463 ODL852463 ONH852463 OXD852463 PGZ852463 PQV852463 QAR852463 QKN852463 QUJ852463 REF852463 ROB852463 RXX852463 SHT852463 SRP852463 TBL852463 TLH852463 TVD852463 UEZ852463 UOV852463 UYR852463 VIN852463 VSJ852463 WCF852463 WMB852463 WVX852463 P917999 JL917999 TH917999 ADD917999 AMZ917999 AWV917999 BGR917999 BQN917999 CAJ917999 CKF917999 CUB917999 DDX917999 DNT917999 DXP917999 EHL917999 ERH917999 FBD917999 FKZ917999 FUV917999 GER917999 GON917999 GYJ917999 HIF917999 HSB917999 IBX917999 ILT917999 IVP917999 JFL917999 JPH917999 JZD917999 KIZ917999 KSV917999 LCR917999 LMN917999 LWJ917999 MGF917999 MQB917999 MZX917999 NJT917999 NTP917999 ODL917999 ONH917999 OXD917999 PGZ917999 PQV917999 QAR917999 QKN917999 QUJ917999 REF917999 ROB917999 RXX917999 SHT917999 SRP917999 TBL917999 TLH917999 TVD917999 UEZ917999 UOV917999 UYR917999 VIN917999 VSJ917999 WCF917999 WMB917999 WVX917999 P983535 JL983535 TH983535 ADD983535 AMZ983535 AWV983535 BGR983535 BQN983535 CAJ983535 CKF983535 CUB983535 DDX983535 DNT983535 DXP983535 EHL983535 ERH983535 FBD983535 FKZ983535 FUV983535 GER983535 GON983535 GYJ983535 HIF983535 HSB983535 IBX983535 ILT983535 IVP983535 JFL983535 JPH983535 JZD983535 KIZ983535 KSV983535 LCR983535 LMN983535 LWJ983535 MGF983535 MQB983535 MZX983535 NJT983535 NTP983535 ODL983535 ONH983535 OXD983535 PGZ983535 PQV983535 QAR983535 QKN983535 QUJ983535 REF983535 ROB983535 RXX983535 SHT983535 SRP983535 TBL983535 TLH983535 TVD983535 UEZ983535 UOV983535 UYR983535 VIN983535 VSJ983535 WCF983535 WMB983535 WVX983535 P593 JL593 TH593 ADD593 AMZ593 AWV593 BGR593 BQN593 CAJ593 CKF593 CUB593 DDX593 DNT593 DXP593 EHL593 ERH593 FBD593 FKZ593 FUV593 GER593 GON593 GYJ593 HIF593 HSB593 IBX593 ILT593 IVP593 JFL593 JPH593 JZD593 KIZ593 KSV593 LCR593 LMN593 LWJ593 MGF593 MQB593 MZX593 NJT593 NTP593 ODL593 ONH593 OXD593 PGZ593 PQV593 QAR593 QKN593 QUJ593 REF593 ROB593 RXX593 SHT593 SRP593 TBL593 TLH593 TVD593 UEZ593 UOV593 UYR593 VIN593 VSJ593 WCF593 WMB593 WVX593 P66129 JL66129 TH66129 ADD66129 AMZ66129 AWV66129 BGR66129 BQN66129 CAJ66129 CKF66129 CUB66129 DDX66129 DNT66129 DXP66129 EHL66129 ERH66129 FBD66129 FKZ66129 FUV66129 GER66129 GON66129 GYJ66129 HIF66129 HSB66129 IBX66129 ILT66129 IVP66129 JFL66129 JPH66129 JZD66129 KIZ66129 KSV66129 LCR66129 LMN66129 LWJ66129 MGF66129 MQB66129 MZX66129 NJT66129 NTP66129 ODL66129 ONH66129 OXD66129 PGZ66129 PQV66129 QAR66129 QKN66129 QUJ66129 REF66129 ROB66129 RXX66129 SHT66129 SRP66129 TBL66129 TLH66129 TVD66129 UEZ66129 UOV66129 UYR66129 VIN66129 VSJ66129 WCF66129 WMB66129 WVX66129 P131665 JL131665 TH131665 ADD131665 AMZ131665 AWV131665 BGR131665 BQN131665 CAJ131665 CKF131665 CUB131665 DDX131665 DNT131665 DXP131665 EHL131665 ERH131665 FBD131665 FKZ131665 FUV131665 GER131665 GON131665 GYJ131665 HIF131665 HSB131665 IBX131665 ILT131665 IVP131665 JFL131665 JPH131665 JZD131665 KIZ131665 KSV131665 LCR131665 LMN131665 LWJ131665 MGF131665 MQB131665 MZX131665 NJT131665 NTP131665 ODL131665 ONH131665 OXD131665 PGZ131665 PQV131665 QAR131665 QKN131665 QUJ131665 REF131665 ROB131665 RXX131665 SHT131665 SRP131665 TBL131665 TLH131665 TVD131665 UEZ131665 UOV131665 UYR131665 VIN131665 VSJ131665 WCF131665 WMB131665 WVX131665 P197201 JL197201 TH197201 ADD197201 AMZ197201 AWV197201 BGR197201 BQN197201 CAJ197201 CKF197201 CUB197201 DDX197201 DNT197201 DXP197201 EHL197201 ERH197201 FBD197201 FKZ197201 FUV197201 GER197201 GON197201 GYJ197201 HIF197201 HSB197201 IBX197201 ILT197201 IVP197201 JFL197201 JPH197201 JZD197201 KIZ197201 KSV197201 LCR197201 LMN197201 LWJ197201 MGF197201 MQB197201 MZX197201 NJT197201 NTP197201 ODL197201 ONH197201 OXD197201 PGZ197201 PQV197201 QAR197201 QKN197201 QUJ197201 REF197201 ROB197201 RXX197201 SHT197201 SRP197201 TBL197201 TLH197201 TVD197201 UEZ197201 UOV197201 UYR197201 VIN197201 VSJ197201 WCF197201 WMB197201 WVX197201 P262737 JL262737 TH262737 ADD262737 AMZ262737 AWV262737 BGR262737 BQN262737 CAJ262737 CKF262737 CUB262737 DDX262737 DNT262737 DXP262737 EHL262737 ERH262737 FBD262737 FKZ262737 FUV262737 GER262737 GON262737 GYJ262737 HIF262737 HSB262737 IBX262737 ILT262737 IVP262737 JFL262737 JPH262737 JZD262737 KIZ262737 KSV262737 LCR262737 LMN262737 LWJ262737 MGF262737 MQB262737 MZX262737 NJT262737 NTP262737 ODL262737 ONH262737 OXD262737 PGZ262737 PQV262737 QAR262737 QKN262737 QUJ262737 REF262737 ROB262737 RXX262737 SHT262737 SRP262737 TBL262737 TLH262737 TVD262737 UEZ262737 UOV262737 UYR262737 VIN262737 VSJ262737 WCF262737 WMB262737 WVX262737 P328273 JL328273 TH328273 ADD328273 AMZ328273 AWV328273 BGR328273 BQN328273 CAJ328273 CKF328273 CUB328273 DDX328273 DNT328273 DXP328273 EHL328273 ERH328273 FBD328273 FKZ328273 FUV328273 GER328273 GON328273 GYJ328273 HIF328273 HSB328273 IBX328273 ILT328273 IVP328273 JFL328273 JPH328273 JZD328273 KIZ328273 KSV328273 LCR328273 LMN328273 LWJ328273 MGF328273 MQB328273 MZX328273 NJT328273 NTP328273 ODL328273 ONH328273 OXD328273 PGZ328273 PQV328273 QAR328273 QKN328273 QUJ328273 REF328273 ROB328273 RXX328273 SHT328273 SRP328273 TBL328273 TLH328273 TVD328273 UEZ328273 UOV328273 UYR328273 VIN328273 VSJ328273 WCF328273 WMB328273 WVX328273 P393809 JL393809 TH393809 ADD393809 AMZ393809 AWV393809 BGR393809 BQN393809 CAJ393809 CKF393809 CUB393809 DDX393809 DNT393809 DXP393809 EHL393809 ERH393809 FBD393809 FKZ393809 FUV393809 GER393809 GON393809 GYJ393809 HIF393809 HSB393809 IBX393809 ILT393809 IVP393809 JFL393809 JPH393809 JZD393809 KIZ393809 KSV393809 LCR393809 LMN393809 LWJ393809 MGF393809 MQB393809 MZX393809 NJT393809 NTP393809 ODL393809 ONH393809 OXD393809 PGZ393809 PQV393809 QAR393809 QKN393809 QUJ393809 REF393809 ROB393809 RXX393809 SHT393809 SRP393809 TBL393809 TLH393809 TVD393809 UEZ393809 UOV393809 UYR393809 VIN393809 VSJ393809 WCF393809 WMB393809 WVX393809 P459345 JL459345 TH459345 ADD459345 AMZ459345 AWV459345 BGR459345 BQN459345 CAJ459345 CKF459345 CUB459345 DDX459345 DNT459345 DXP459345 EHL459345 ERH459345 FBD459345 FKZ459345 FUV459345 GER459345 GON459345 GYJ459345 HIF459345 HSB459345 IBX459345 ILT459345 IVP459345 JFL459345 JPH459345 JZD459345 KIZ459345 KSV459345 LCR459345 LMN459345 LWJ459345 MGF459345 MQB459345 MZX459345 NJT459345 NTP459345 ODL459345 ONH459345 OXD459345 PGZ459345 PQV459345 QAR459345 QKN459345 QUJ459345 REF459345 ROB459345 RXX459345 SHT459345 SRP459345 TBL459345 TLH459345 TVD459345 UEZ459345 UOV459345 UYR459345 VIN459345 VSJ459345 WCF459345 WMB459345 WVX459345 P524881 JL524881 TH524881 ADD524881 AMZ524881 AWV524881 BGR524881 BQN524881 CAJ524881 CKF524881 CUB524881 DDX524881 DNT524881 DXP524881 EHL524881 ERH524881 FBD524881 FKZ524881 FUV524881 GER524881 GON524881 GYJ524881 HIF524881 HSB524881 IBX524881 ILT524881 IVP524881 JFL524881 JPH524881 JZD524881 KIZ524881 KSV524881 LCR524881 LMN524881 LWJ524881 MGF524881 MQB524881 MZX524881 NJT524881 NTP524881 ODL524881 ONH524881 OXD524881 PGZ524881 PQV524881 QAR524881 QKN524881 QUJ524881 REF524881 ROB524881 RXX524881 SHT524881 SRP524881 TBL524881 TLH524881 TVD524881 UEZ524881 UOV524881 UYR524881 VIN524881 VSJ524881 WCF524881 WMB524881 WVX524881 P590417 JL590417 TH590417 ADD590417 AMZ590417 AWV590417 BGR590417 BQN590417 CAJ590417 CKF590417 CUB590417 DDX590417 DNT590417 DXP590417 EHL590417 ERH590417 FBD590417 FKZ590417 FUV590417 GER590417 GON590417 GYJ590417 HIF590417 HSB590417 IBX590417 ILT590417 IVP590417 JFL590417 JPH590417 JZD590417 KIZ590417 KSV590417 LCR590417 LMN590417 LWJ590417 MGF590417 MQB590417 MZX590417 NJT590417 NTP590417 ODL590417 ONH590417 OXD590417 PGZ590417 PQV590417 QAR590417 QKN590417 QUJ590417 REF590417 ROB590417 RXX590417 SHT590417 SRP590417 TBL590417 TLH590417 TVD590417 UEZ590417 UOV590417 UYR590417 VIN590417 VSJ590417 WCF590417 WMB590417 WVX590417 P655953 JL655953 TH655953 ADD655953 AMZ655953 AWV655953 BGR655953 BQN655953 CAJ655953 CKF655953 CUB655953 DDX655953 DNT655953 DXP655953 EHL655953 ERH655953 FBD655953 FKZ655953 FUV655953 GER655953 GON655953 GYJ655953 HIF655953 HSB655953 IBX655953 ILT655953 IVP655953 JFL655953 JPH655953 JZD655953 KIZ655953 KSV655953 LCR655953 LMN655953 LWJ655953 MGF655953 MQB655953 MZX655953 NJT655953 NTP655953 ODL655953 ONH655953 OXD655953 PGZ655953 PQV655953 QAR655953 QKN655953 QUJ655953 REF655953 ROB655953 RXX655953 SHT655953 SRP655953 TBL655953 TLH655953 TVD655953 UEZ655953 UOV655953 UYR655953 VIN655953 VSJ655953 WCF655953 WMB655953 WVX655953 P721489 JL721489 TH721489 ADD721489 AMZ721489 AWV721489 BGR721489 BQN721489 CAJ721489 CKF721489 CUB721489 DDX721489 DNT721489 DXP721489 EHL721489 ERH721489 FBD721489 FKZ721489 FUV721489 GER721489 GON721489 GYJ721489 HIF721489 HSB721489 IBX721489 ILT721489 IVP721489 JFL721489 JPH721489 JZD721489 KIZ721489 KSV721489 LCR721489 LMN721489 LWJ721489 MGF721489 MQB721489 MZX721489 NJT721489 NTP721489 ODL721489 ONH721489 OXD721489 PGZ721489 PQV721489 QAR721489 QKN721489 QUJ721489 REF721489 ROB721489 RXX721489 SHT721489 SRP721489 TBL721489 TLH721489 TVD721489 UEZ721489 UOV721489 UYR721489 VIN721489 VSJ721489 WCF721489 WMB721489 WVX721489 P787025 JL787025 TH787025 ADD787025 AMZ787025 AWV787025 BGR787025 BQN787025 CAJ787025 CKF787025 CUB787025 DDX787025 DNT787025 DXP787025 EHL787025 ERH787025 FBD787025 FKZ787025 FUV787025 GER787025 GON787025 GYJ787025 HIF787025 HSB787025 IBX787025 ILT787025 IVP787025 JFL787025 JPH787025 JZD787025 KIZ787025 KSV787025 LCR787025 LMN787025 LWJ787025 MGF787025 MQB787025 MZX787025 NJT787025 NTP787025 ODL787025 ONH787025 OXD787025 PGZ787025 PQV787025 QAR787025 QKN787025 QUJ787025 REF787025 ROB787025 RXX787025 SHT787025 SRP787025 TBL787025 TLH787025 TVD787025 UEZ787025 UOV787025 UYR787025 VIN787025 VSJ787025 WCF787025 WMB787025 WVX787025 P852561 JL852561 TH852561 ADD852561 AMZ852561 AWV852561 BGR852561 BQN852561 CAJ852561 CKF852561 CUB852561 DDX852561 DNT852561 DXP852561 EHL852561 ERH852561 FBD852561 FKZ852561 FUV852561 GER852561 GON852561 GYJ852561 HIF852561 HSB852561 IBX852561 ILT852561 IVP852561 JFL852561 JPH852561 JZD852561 KIZ852561 KSV852561 LCR852561 LMN852561 LWJ852561 MGF852561 MQB852561 MZX852561 NJT852561 NTP852561 ODL852561 ONH852561 OXD852561 PGZ852561 PQV852561 QAR852561 QKN852561 QUJ852561 REF852561 ROB852561 RXX852561 SHT852561 SRP852561 TBL852561 TLH852561 TVD852561 UEZ852561 UOV852561 UYR852561 VIN852561 VSJ852561 WCF852561 WMB852561 WVX852561 P918097 JL918097 TH918097 ADD918097 AMZ918097 AWV918097 BGR918097 BQN918097 CAJ918097 CKF918097 CUB918097 DDX918097 DNT918097 DXP918097 EHL918097 ERH918097 FBD918097 FKZ918097 FUV918097 GER918097 GON918097 GYJ918097 HIF918097 HSB918097 IBX918097 ILT918097 IVP918097 JFL918097 JPH918097 JZD918097 KIZ918097 KSV918097 LCR918097 LMN918097 LWJ918097 MGF918097 MQB918097 MZX918097 NJT918097 NTP918097 ODL918097 ONH918097 OXD918097 PGZ918097 PQV918097 QAR918097 QKN918097 QUJ918097 REF918097 ROB918097 RXX918097 SHT918097 SRP918097 TBL918097 TLH918097 TVD918097 UEZ918097 UOV918097 UYR918097 VIN918097 VSJ918097 WCF918097 WMB918097 WVX918097 P983633 JL983633 TH983633 ADD983633 AMZ983633 AWV983633 BGR983633 BQN983633 CAJ983633 CKF983633 CUB983633 DDX983633 DNT983633 DXP983633 EHL983633 ERH983633 FBD983633 FKZ983633 FUV983633 GER983633 GON983633 GYJ983633 HIF983633 HSB983633 IBX983633 ILT983633 IVP983633 JFL983633 JPH983633 JZD983633 KIZ983633 KSV983633 LCR983633 LMN983633 LWJ983633 MGF983633 MQB983633 MZX983633 NJT983633 NTP983633 ODL983633 ONH983633 OXD983633 PGZ983633 PQV983633 QAR983633 QKN983633 QUJ983633 REF983633 ROB983633 RXX983633 SHT983633 SRP983633 TBL983633 TLH983633 TVD983633 UEZ983633 UOV983633 UYR983633 VIN983633 VSJ983633 WCF983633 WMB983633 WVX983633 P449 JL449 TH449 ADD449 AMZ449 AWV449 BGR449 BQN449 CAJ449 CKF449 CUB449 DDX449 DNT449 DXP449 EHL449 ERH449 FBD449 FKZ449 FUV449 GER449 GON449 GYJ449 HIF449 HSB449 IBX449 ILT449 IVP449 JFL449 JPH449 JZD449 KIZ449 KSV449 LCR449 LMN449 LWJ449 MGF449 MQB449 MZX449 NJT449 NTP449 ODL449 ONH449 OXD449 PGZ449 PQV449 QAR449 QKN449 QUJ449 REF449 ROB449 RXX449 SHT449 SRP449 TBL449 TLH449 TVD449 UEZ449 UOV449 UYR449 VIN449 VSJ449 WCF449 WMB449 WVX449 P65985 JL65985 TH65985 ADD65985 AMZ65985 AWV65985 BGR65985 BQN65985 CAJ65985 CKF65985 CUB65985 DDX65985 DNT65985 DXP65985 EHL65985 ERH65985 FBD65985 FKZ65985 FUV65985 GER65985 GON65985 GYJ65985 HIF65985 HSB65985 IBX65985 ILT65985 IVP65985 JFL65985 JPH65985 JZD65985 KIZ65985 KSV65985 LCR65985 LMN65985 LWJ65985 MGF65985 MQB65985 MZX65985 NJT65985 NTP65985 ODL65985 ONH65985 OXD65985 PGZ65985 PQV65985 QAR65985 QKN65985 QUJ65985 REF65985 ROB65985 RXX65985 SHT65985 SRP65985 TBL65985 TLH65985 TVD65985 UEZ65985 UOV65985 UYR65985 VIN65985 VSJ65985 WCF65985 WMB65985 WVX65985 P131521 JL131521 TH131521 ADD131521 AMZ131521 AWV131521 BGR131521 BQN131521 CAJ131521 CKF131521 CUB131521 DDX131521 DNT131521 DXP131521 EHL131521 ERH131521 FBD131521 FKZ131521 FUV131521 GER131521 GON131521 GYJ131521 HIF131521 HSB131521 IBX131521 ILT131521 IVP131521 JFL131521 JPH131521 JZD131521 KIZ131521 KSV131521 LCR131521 LMN131521 LWJ131521 MGF131521 MQB131521 MZX131521 NJT131521 NTP131521 ODL131521 ONH131521 OXD131521 PGZ131521 PQV131521 QAR131521 QKN131521 QUJ131521 REF131521 ROB131521 RXX131521 SHT131521 SRP131521 TBL131521 TLH131521 TVD131521 UEZ131521 UOV131521 UYR131521 VIN131521 VSJ131521 WCF131521 WMB131521 WVX131521 P197057 JL197057 TH197057 ADD197057 AMZ197057 AWV197057 BGR197057 BQN197057 CAJ197057 CKF197057 CUB197057 DDX197057 DNT197057 DXP197057 EHL197057 ERH197057 FBD197057 FKZ197057 FUV197057 GER197057 GON197057 GYJ197057 HIF197057 HSB197057 IBX197057 ILT197057 IVP197057 JFL197057 JPH197057 JZD197057 KIZ197057 KSV197057 LCR197057 LMN197057 LWJ197057 MGF197057 MQB197057 MZX197057 NJT197057 NTP197057 ODL197057 ONH197057 OXD197057 PGZ197057 PQV197057 QAR197057 QKN197057 QUJ197057 REF197057 ROB197057 RXX197057 SHT197057 SRP197057 TBL197057 TLH197057 TVD197057 UEZ197057 UOV197057 UYR197057 VIN197057 VSJ197057 WCF197057 WMB197057 WVX197057 P262593 JL262593 TH262593 ADD262593 AMZ262593 AWV262593 BGR262593 BQN262593 CAJ262593 CKF262593 CUB262593 DDX262593 DNT262593 DXP262593 EHL262593 ERH262593 FBD262593 FKZ262593 FUV262593 GER262593 GON262593 GYJ262593 HIF262593 HSB262593 IBX262593 ILT262593 IVP262593 JFL262593 JPH262593 JZD262593 KIZ262593 KSV262593 LCR262593 LMN262593 LWJ262593 MGF262593 MQB262593 MZX262593 NJT262593 NTP262593 ODL262593 ONH262593 OXD262593 PGZ262593 PQV262593 QAR262593 QKN262593 QUJ262593 REF262593 ROB262593 RXX262593 SHT262593 SRP262593 TBL262593 TLH262593 TVD262593 UEZ262593 UOV262593 UYR262593 VIN262593 VSJ262593 WCF262593 WMB262593 WVX262593 P328129 JL328129 TH328129 ADD328129 AMZ328129 AWV328129 BGR328129 BQN328129 CAJ328129 CKF328129 CUB328129 DDX328129 DNT328129 DXP328129 EHL328129 ERH328129 FBD328129 FKZ328129 FUV328129 GER328129 GON328129 GYJ328129 HIF328129 HSB328129 IBX328129 ILT328129 IVP328129 JFL328129 JPH328129 JZD328129 KIZ328129 KSV328129 LCR328129 LMN328129 LWJ328129 MGF328129 MQB328129 MZX328129 NJT328129 NTP328129 ODL328129 ONH328129 OXD328129 PGZ328129 PQV328129 QAR328129 QKN328129 QUJ328129 REF328129 ROB328129 RXX328129 SHT328129 SRP328129 TBL328129 TLH328129 TVD328129 UEZ328129 UOV328129 UYR328129 VIN328129 VSJ328129 WCF328129 WMB328129 WVX328129 P393665 JL393665 TH393665 ADD393665 AMZ393665 AWV393665 BGR393665 BQN393665 CAJ393665 CKF393665 CUB393665 DDX393665 DNT393665 DXP393665 EHL393665 ERH393665 FBD393665 FKZ393665 FUV393665 GER393665 GON393665 GYJ393665 HIF393665 HSB393665 IBX393665 ILT393665 IVP393665 JFL393665 JPH393665 JZD393665 KIZ393665 KSV393665 LCR393665 LMN393665 LWJ393665 MGF393665 MQB393665 MZX393665 NJT393665 NTP393665 ODL393665 ONH393665 OXD393665 PGZ393665 PQV393665 QAR393665 QKN393665 QUJ393665 REF393665 ROB393665 RXX393665 SHT393665 SRP393665 TBL393665 TLH393665 TVD393665 UEZ393665 UOV393665 UYR393665 VIN393665 VSJ393665 WCF393665 WMB393665 WVX393665 P459201 JL459201 TH459201 ADD459201 AMZ459201 AWV459201 BGR459201 BQN459201 CAJ459201 CKF459201 CUB459201 DDX459201 DNT459201 DXP459201 EHL459201 ERH459201 FBD459201 FKZ459201 FUV459201 GER459201 GON459201 GYJ459201 HIF459201 HSB459201 IBX459201 ILT459201 IVP459201 JFL459201 JPH459201 JZD459201 KIZ459201 KSV459201 LCR459201 LMN459201 LWJ459201 MGF459201 MQB459201 MZX459201 NJT459201 NTP459201 ODL459201 ONH459201 OXD459201 PGZ459201 PQV459201 QAR459201 QKN459201 QUJ459201 REF459201 ROB459201 RXX459201 SHT459201 SRP459201 TBL459201 TLH459201 TVD459201 UEZ459201 UOV459201 UYR459201 VIN459201 VSJ459201 WCF459201 WMB459201 WVX459201 P524737 JL524737 TH524737 ADD524737 AMZ524737 AWV524737 BGR524737 BQN524737 CAJ524737 CKF524737 CUB524737 DDX524737 DNT524737 DXP524737 EHL524737 ERH524737 FBD524737 FKZ524737 FUV524737 GER524737 GON524737 GYJ524737 HIF524737 HSB524737 IBX524737 ILT524737 IVP524737 JFL524737 JPH524737 JZD524737 KIZ524737 KSV524737 LCR524737 LMN524737 LWJ524737 MGF524737 MQB524737 MZX524737 NJT524737 NTP524737 ODL524737 ONH524737 OXD524737 PGZ524737 PQV524737 QAR524737 QKN524737 QUJ524737 REF524737 ROB524737 RXX524737 SHT524737 SRP524737 TBL524737 TLH524737 TVD524737 UEZ524737 UOV524737 UYR524737 VIN524737 VSJ524737 WCF524737 WMB524737 WVX524737 P590273 JL590273 TH590273 ADD590273 AMZ590273 AWV590273 BGR590273 BQN590273 CAJ590273 CKF590273 CUB590273 DDX590273 DNT590273 DXP590273 EHL590273 ERH590273 FBD590273 FKZ590273 FUV590273 GER590273 GON590273 GYJ590273 HIF590273 HSB590273 IBX590273 ILT590273 IVP590273 JFL590273 JPH590273 JZD590273 KIZ590273 KSV590273 LCR590273 LMN590273 LWJ590273 MGF590273 MQB590273 MZX590273 NJT590273 NTP590273 ODL590273 ONH590273 OXD590273 PGZ590273 PQV590273 QAR590273 QKN590273 QUJ590273 REF590273 ROB590273 RXX590273 SHT590273 SRP590273 TBL590273 TLH590273 TVD590273 UEZ590273 UOV590273 UYR590273 VIN590273 VSJ590273 WCF590273 WMB590273 WVX590273 P655809 JL655809 TH655809 ADD655809 AMZ655809 AWV655809 BGR655809 BQN655809 CAJ655809 CKF655809 CUB655809 DDX655809 DNT655809 DXP655809 EHL655809 ERH655809 FBD655809 FKZ655809 FUV655809 GER655809 GON655809 GYJ655809 HIF655809 HSB655809 IBX655809 ILT655809 IVP655809 JFL655809 JPH655809 JZD655809 KIZ655809 KSV655809 LCR655809 LMN655809 LWJ655809 MGF655809 MQB655809 MZX655809 NJT655809 NTP655809 ODL655809 ONH655809 OXD655809 PGZ655809 PQV655809 QAR655809 QKN655809 QUJ655809 REF655809 ROB655809 RXX655809 SHT655809 SRP655809 TBL655809 TLH655809 TVD655809 UEZ655809 UOV655809 UYR655809 VIN655809 VSJ655809 WCF655809 WMB655809 WVX655809 P721345 JL721345 TH721345 ADD721345 AMZ721345 AWV721345 BGR721345 BQN721345 CAJ721345 CKF721345 CUB721345 DDX721345 DNT721345 DXP721345 EHL721345 ERH721345 FBD721345 FKZ721345 FUV721345 GER721345 GON721345 GYJ721345 HIF721345 HSB721345 IBX721345 ILT721345 IVP721345 JFL721345 JPH721345 JZD721345 KIZ721345 KSV721345 LCR721345 LMN721345 LWJ721345 MGF721345 MQB721345 MZX721345 NJT721345 NTP721345 ODL721345 ONH721345 OXD721345 PGZ721345 PQV721345 QAR721345 QKN721345 QUJ721345 REF721345 ROB721345 RXX721345 SHT721345 SRP721345 TBL721345 TLH721345 TVD721345 UEZ721345 UOV721345 UYR721345 VIN721345 VSJ721345 WCF721345 WMB721345 WVX721345 P786881 JL786881 TH786881 ADD786881 AMZ786881 AWV786881 BGR786881 BQN786881 CAJ786881 CKF786881 CUB786881 DDX786881 DNT786881 DXP786881 EHL786881 ERH786881 FBD786881 FKZ786881 FUV786881 GER786881 GON786881 GYJ786881 HIF786881 HSB786881 IBX786881 ILT786881 IVP786881 JFL786881 JPH786881 JZD786881 KIZ786881 KSV786881 LCR786881 LMN786881 LWJ786881 MGF786881 MQB786881 MZX786881 NJT786881 NTP786881 ODL786881 ONH786881 OXD786881 PGZ786881 PQV786881 QAR786881 QKN786881 QUJ786881 REF786881 ROB786881 RXX786881 SHT786881 SRP786881 TBL786881 TLH786881 TVD786881 UEZ786881 UOV786881 UYR786881 VIN786881 VSJ786881 WCF786881 WMB786881 WVX786881 P852417 JL852417 TH852417 ADD852417 AMZ852417 AWV852417 BGR852417 BQN852417 CAJ852417 CKF852417 CUB852417 DDX852417 DNT852417 DXP852417 EHL852417 ERH852417 FBD852417 FKZ852417 FUV852417 GER852417 GON852417 GYJ852417 HIF852417 HSB852417 IBX852417 ILT852417 IVP852417 JFL852417 JPH852417 JZD852417 KIZ852417 KSV852417 LCR852417 LMN852417 LWJ852417 MGF852417 MQB852417 MZX852417 NJT852417 NTP852417 ODL852417 ONH852417 OXD852417 PGZ852417 PQV852417 QAR852417 QKN852417 QUJ852417 REF852417 ROB852417 RXX852417 SHT852417 SRP852417 TBL852417 TLH852417 TVD852417 UEZ852417 UOV852417 UYR852417 VIN852417 VSJ852417 WCF852417 WMB852417 WVX852417 P917953 JL917953 TH917953 ADD917953 AMZ917953 AWV917953 BGR917953 BQN917953 CAJ917953 CKF917953 CUB917953 DDX917953 DNT917953 DXP917953 EHL917953 ERH917953 FBD917953 FKZ917953 FUV917953 GER917953 GON917953 GYJ917953 HIF917953 HSB917953 IBX917953 ILT917953 IVP917953 JFL917953 JPH917953 JZD917953 KIZ917953 KSV917953 LCR917953 LMN917953 LWJ917953 MGF917953 MQB917953 MZX917953 NJT917953 NTP917953 ODL917953 ONH917953 OXD917953 PGZ917953 PQV917953 QAR917953 QKN917953 QUJ917953 REF917953 ROB917953 RXX917953 SHT917953 SRP917953 TBL917953 TLH917953 TVD917953 UEZ917953 UOV917953 UYR917953 VIN917953 VSJ917953 WCF917953 WMB917953 WVX917953 P983489 JL983489 TH983489 ADD983489 AMZ983489 AWV983489 BGR983489 BQN983489 CAJ983489 CKF983489 CUB983489 DDX983489 DNT983489 DXP983489 EHL983489 ERH983489 FBD983489 FKZ983489 FUV983489 GER983489 GON983489 GYJ983489 HIF983489 HSB983489 IBX983489 ILT983489 IVP983489 JFL983489 JPH983489 JZD983489 KIZ983489 KSV983489 LCR983489 LMN983489 LWJ983489 MGF983489 MQB983489 MZX983489 NJT983489 NTP983489 ODL983489 ONH983489 OXD983489 PGZ983489 PQV983489 QAR983489 QKN983489 QUJ983489 REF983489 ROB983489 RXX983489 SHT983489 SRP983489 TBL983489 TLH983489 TVD983489 UEZ983489 UOV983489 UYR983489 VIN983489 VSJ983489 WCF983489 WMB983489 WVX983489 P402 JL402 TH402 ADD402 AMZ402 AWV402 BGR402 BQN402 CAJ402 CKF402 CUB402 DDX402 DNT402 DXP402 EHL402 ERH402 FBD402 FKZ402 FUV402 GER402 GON402 GYJ402 HIF402 HSB402 IBX402 ILT402 IVP402 JFL402 JPH402 JZD402 KIZ402 KSV402 LCR402 LMN402 LWJ402 MGF402 MQB402 MZX402 NJT402 NTP402 ODL402 ONH402 OXD402 PGZ402 PQV402 QAR402 QKN402 QUJ402 REF402 ROB402 RXX402 SHT402 SRP402 TBL402 TLH402 TVD402 UEZ402 UOV402 UYR402 VIN402 VSJ402 WCF402 WMB402 WVX402 P65938 JL65938 TH65938 ADD65938 AMZ65938 AWV65938 BGR65938 BQN65938 CAJ65938 CKF65938 CUB65938 DDX65938 DNT65938 DXP65938 EHL65938 ERH65938 FBD65938 FKZ65938 FUV65938 GER65938 GON65938 GYJ65938 HIF65938 HSB65938 IBX65938 ILT65938 IVP65938 JFL65938 JPH65938 JZD65938 KIZ65938 KSV65938 LCR65938 LMN65938 LWJ65938 MGF65938 MQB65938 MZX65938 NJT65938 NTP65938 ODL65938 ONH65938 OXD65938 PGZ65938 PQV65938 QAR65938 QKN65938 QUJ65938 REF65938 ROB65938 RXX65938 SHT65938 SRP65938 TBL65938 TLH65938 TVD65938 UEZ65938 UOV65938 UYR65938 VIN65938 VSJ65938 WCF65938 WMB65938 WVX65938 P131474 JL131474 TH131474 ADD131474 AMZ131474 AWV131474 BGR131474 BQN131474 CAJ131474 CKF131474 CUB131474 DDX131474 DNT131474 DXP131474 EHL131474 ERH131474 FBD131474 FKZ131474 FUV131474 GER131474 GON131474 GYJ131474 HIF131474 HSB131474 IBX131474 ILT131474 IVP131474 JFL131474 JPH131474 JZD131474 KIZ131474 KSV131474 LCR131474 LMN131474 LWJ131474 MGF131474 MQB131474 MZX131474 NJT131474 NTP131474 ODL131474 ONH131474 OXD131474 PGZ131474 PQV131474 QAR131474 QKN131474 QUJ131474 REF131474 ROB131474 RXX131474 SHT131474 SRP131474 TBL131474 TLH131474 TVD131474 UEZ131474 UOV131474 UYR131474 VIN131474 VSJ131474 WCF131474 WMB131474 WVX131474 P197010 JL197010 TH197010 ADD197010 AMZ197010 AWV197010 BGR197010 BQN197010 CAJ197010 CKF197010 CUB197010 DDX197010 DNT197010 DXP197010 EHL197010 ERH197010 FBD197010 FKZ197010 FUV197010 GER197010 GON197010 GYJ197010 HIF197010 HSB197010 IBX197010 ILT197010 IVP197010 JFL197010 JPH197010 JZD197010 KIZ197010 KSV197010 LCR197010 LMN197010 LWJ197010 MGF197010 MQB197010 MZX197010 NJT197010 NTP197010 ODL197010 ONH197010 OXD197010 PGZ197010 PQV197010 QAR197010 QKN197010 QUJ197010 REF197010 ROB197010 RXX197010 SHT197010 SRP197010 TBL197010 TLH197010 TVD197010 UEZ197010 UOV197010 UYR197010 VIN197010 VSJ197010 WCF197010 WMB197010 WVX197010 P262546 JL262546 TH262546 ADD262546 AMZ262546 AWV262546 BGR262546 BQN262546 CAJ262546 CKF262546 CUB262546 DDX262546 DNT262546 DXP262546 EHL262546 ERH262546 FBD262546 FKZ262546 FUV262546 GER262546 GON262546 GYJ262546 HIF262546 HSB262546 IBX262546 ILT262546 IVP262546 JFL262546 JPH262546 JZD262546 KIZ262546 KSV262546 LCR262546 LMN262546 LWJ262546 MGF262546 MQB262546 MZX262546 NJT262546 NTP262546 ODL262546 ONH262546 OXD262546 PGZ262546 PQV262546 QAR262546 QKN262546 QUJ262546 REF262546 ROB262546 RXX262546 SHT262546 SRP262546 TBL262546 TLH262546 TVD262546 UEZ262546 UOV262546 UYR262546 VIN262546 VSJ262546 WCF262546 WMB262546 WVX262546 P328082 JL328082 TH328082 ADD328082 AMZ328082 AWV328082 BGR328082 BQN328082 CAJ328082 CKF328082 CUB328082 DDX328082 DNT328082 DXP328082 EHL328082 ERH328082 FBD328082 FKZ328082 FUV328082 GER328082 GON328082 GYJ328082 HIF328082 HSB328082 IBX328082 ILT328082 IVP328082 JFL328082 JPH328082 JZD328082 KIZ328082 KSV328082 LCR328082 LMN328082 LWJ328082 MGF328082 MQB328082 MZX328082 NJT328082 NTP328082 ODL328082 ONH328082 OXD328082 PGZ328082 PQV328082 QAR328082 QKN328082 QUJ328082 REF328082 ROB328082 RXX328082 SHT328082 SRP328082 TBL328082 TLH328082 TVD328082 UEZ328082 UOV328082 UYR328082 VIN328082 VSJ328082 WCF328082 WMB328082 WVX328082 P393618 JL393618 TH393618 ADD393618 AMZ393618 AWV393618 BGR393618 BQN393618 CAJ393618 CKF393618 CUB393618 DDX393618 DNT393618 DXP393618 EHL393618 ERH393618 FBD393618 FKZ393618 FUV393618 GER393618 GON393618 GYJ393618 HIF393618 HSB393618 IBX393618 ILT393618 IVP393618 JFL393618 JPH393618 JZD393618 KIZ393618 KSV393618 LCR393618 LMN393618 LWJ393618 MGF393618 MQB393618 MZX393618 NJT393618 NTP393618 ODL393618 ONH393618 OXD393618 PGZ393618 PQV393618 QAR393618 QKN393618 QUJ393618 REF393618 ROB393618 RXX393618 SHT393618 SRP393618 TBL393618 TLH393618 TVD393618 UEZ393618 UOV393618 UYR393618 VIN393618 VSJ393618 WCF393618 WMB393618 WVX393618 P459154 JL459154 TH459154 ADD459154 AMZ459154 AWV459154 BGR459154 BQN459154 CAJ459154 CKF459154 CUB459154 DDX459154 DNT459154 DXP459154 EHL459154 ERH459154 FBD459154 FKZ459154 FUV459154 GER459154 GON459154 GYJ459154 HIF459154 HSB459154 IBX459154 ILT459154 IVP459154 JFL459154 JPH459154 JZD459154 KIZ459154 KSV459154 LCR459154 LMN459154 LWJ459154 MGF459154 MQB459154 MZX459154 NJT459154 NTP459154 ODL459154 ONH459154 OXD459154 PGZ459154 PQV459154 QAR459154 QKN459154 QUJ459154 REF459154 ROB459154 RXX459154 SHT459154 SRP459154 TBL459154 TLH459154 TVD459154 UEZ459154 UOV459154 UYR459154 VIN459154 VSJ459154 WCF459154 WMB459154 WVX459154 P524690 JL524690 TH524690 ADD524690 AMZ524690 AWV524690 BGR524690 BQN524690 CAJ524690 CKF524690 CUB524690 DDX524690 DNT524690 DXP524690 EHL524690 ERH524690 FBD524690 FKZ524690 FUV524690 GER524690 GON524690 GYJ524690 HIF524690 HSB524690 IBX524690 ILT524690 IVP524690 JFL524690 JPH524690 JZD524690 KIZ524690 KSV524690 LCR524690 LMN524690 LWJ524690 MGF524690 MQB524690 MZX524690 NJT524690 NTP524690 ODL524690 ONH524690 OXD524690 PGZ524690 PQV524690 QAR524690 QKN524690 QUJ524690 REF524690 ROB524690 RXX524690 SHT524690 SRP524690 TBL524690 TLH524690 TVD524690 UEZ524690 UOV524690 UYR524690 VIN524690 VSJ524690 WCF524690 WMB524690 WVX524690 P590226 JL590226 TH590226 ADD590226 AMZ590226 AWV590226 BGR590226 BQN590226 CAJ590226 CKF590226 CUB590226 DDX590226 DNT590226 DXP590226 EHL590226 ERH590226 FBD590226 FKZ590226 FUV590226 GER590226 GON590226 GYJ590226 HIF590226 HSB590226 IBX590226 ILT590226 IVP590226 JFL590226 JPH590226 JZD590226 KIZ590226 KSV590226 LCR590226 LMN590226 LWJ590226 MGF590226 MQB590226 MZX590226 NJT590226 NTP590226 ODL590226 ONH590226 OXD590226 PGZ590226 PQV590226 QAR590226 QKN590226 QUJ590226 REF590226 ROB590226 RXX590226 SHT590226 SRP590226 TBL590226 TLH590226 TVD590226 UEZ590226 UOV590226 UYR590226 VIN590226 VSJ590226 WCF590226 WMB590226 WVX590226 P655762 JL655762 TH655762 ADD655762 AMZ655762 AWV655762 BGR655762 BQN655762 CAJ655762 CKF655762 CUB655762 DDX655762 DNT655762 DXP655762 EHL655762 ERH655762 FBD655762 FKZ655762 FUV655762 GER655762 GON655762 GYJ655762 HIF655762 HSB655762 IBX655762 ILT655762 IVP655762 JFL655762 JPH655762 JZD655762 KIZ655762 KSV655762 LCR655762 LMN655762 LWJ655762 MGF655762 MQB655762 MZX655762 NJT655762 NTP655762 ODL655762 ONH655762 OXD655762 PGZ655762 PQV655762 QAR655762 QKN655762 QUJ655762 REF655762 ROB655762 RXX655762 SHT655762 SRP655762 TBL655762 TLH655762 TVD655762 UEZ655762 UOV655762 UYR655762 VIN655762 VSJ655762 WCF655762 WMB655762 WVX655762 P721298 JL721298 TH721298 ADD721298 AMZ721298 AWV721298 BGR721298 BQN721298 CAJ721298 CKF721298 CUB721298 DDX721298 DNT721298 DXP721298 EHL721298 ERH721298 FBD721298 FKZ721298 FUV721298 GER721298 GON721298 GYJ721298 HIF721298 HSB721298 IBX721298 ILT721298 IVP721298 JFL721298 JPH721298 JZD721298 KIZ721298 KSV721298 LCR721298 LMN721298 LWJ721298 MGF721298 MQB721298 MZX721298 NJT721298 NTP721298 ODL721298 ONH721298 OXD721298 PGZ721298 PQV721298 QAR721298 QKN721298 QUJ721298 REF721298 ROB721298 RXX721298 SHT721298 SRP721298 TBL721298 TLH721298 TVD721298 UEZ721298 UOV721298 UYR721298 VIN721298 VSJ721298 WCF721298 WMB721298 WVX721298 P786834 JL786834 TH786834 ADD786834 AMZ786834 AWV786834 BGR786834 BQN786834 CAJ786834 CKF786834 CUB786834 DDX786834 DNT786834 DXP786834 EHL786834 ERH786834 FBD786834 FKZ786834 FUV786834 GER786834 GON786834 GYJ786834 HIF786834 HSB786834 IBX786834 ILT786834 IVP786834 JFL786834 JPH786834 JZD786834 KIZ786834 KSV786834 LCR786834 LMN786834 LWJ786834 MGF786834 MQB786834 MZX786834 NJT786834 NTP786834 ODL786834 ONH786834 OXD786834 PGZ786834 PQV786834 QAR786834 QKN786834 QUJ786834 REF786834 ROB786834 RXX786834 SHT786834 SRP786834 TBL786834 TLH786834 TVD786834 UEZ786834 UOV786834 UYR786834 VIN786834 VSJ786834 WCF786834 WMB786834 WVX786834 P852370 JL852370 TH852370 ADD852370 AMZ852370 AWV852370 BGR852370 BQN852370 CAJ852370 CKF852370 CUB852370 DDX852370 DNT852370 DXP852370 EHL852370 ERH852370 FBD852370 FKZ852370 FUV852370 GER852370 GON852370 GYJ852370 HIF852370 HSB852370 IBX852370 ILT852370 IVP852370 JFL852370 JPH852370 JZD852370 KIZ852370 KSV852370 LCR852370 LMN852370 LWJ852370 MGF852370 MQB852370 MZX852370 NJT852370 NTP852370 ODL852370 ONH852370 OXD852370 PGZ852370 PQV852370 QAR852370 QKN852370 QUJ852370 REF852370 ROB852370 RXX852370 SHT852370 SRP852370 TBL852370 TLH852370 TVD852370 UEZ852370 UOV852370 UYR852370 VIN852370 VSJ852370 WCF852370 WMB852370 WVX852370 P917906 JL917906 TH917906 ADD917906 AMZ917906 AWV917906 BGR917906 BQN917906 CAJ917906 CKF917906 CUB917906 DDX917906 DNT917906 DXP917906 EHL917906 ERH917906 FBD917906 FKZ917906 FUV917906 GER917906 GON917906 GYJ917906 HIF917906 HSB917906 IBX917906 ILT917906 IVP917906 JFL917906 JPH917906 JZD917906 KIZ917906 KSV917906 LCR917906 LMN917906 LWJ917906 MGF917906 MQB917906 MZX917906 NJT917906 NTP917906 ODL917906 ONH917906 OXD917906 PGZ917906 PQV917906 QAR917906 QKN917906 QUJ917906 REF917906 ROB917906 RXX917906 SHT917906 SRP917906 TBL917906 TLH917906 TVD917906 UEZ917906 UOV917906 UYR917906 VIN917906 VSJ917906 WCF917906 WMB917906 WVX917906 P983442 JL983442 TH983442 ADD983442 AMZ983442 AWV983442 BGR983442 BQN983442 CAJ983442 CKF983442 CUB983442 DDX983442 DNT983442 DXP983442 EHL983442 ERH983442 FBD983442 FKZ983442 FUV983442 GER983442 GON983442 GYJ983442 HIF983442 HSB983442 IBX983442 ILT983442 IVP983442 JFL983442 JPH983442 JZD983442 KIZ983442 KSV983442 LCR983442 LMN983442 LWJ983442 MGF983442 MQB983442 MZX983442 NJT983442 NTP983442 ODL983442 ONH983442 OXD983442 PGZ983442 PQV983442 QAR983442 QKN983442 QUJ983442 REF983442 ROB983442 RXX983442 SHT983442 SRP983442 TBL983442 TLH983442 TVD983442 UEZ983442 UOV983442 UYR983442 VIN983442 VSJ983442 WCF983442 WMB983442 WVX983442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04.02 - 10.02</vt:lpstr>
      <vt:lpstr>COL_STAV_SKLADU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Do Bao</dc:creator>
  <cp:lastModifiedBy>Vuong Do Bao</cp:lastModifiedBy>
  <dcterms:created xsi:type="dcterms:W3CDTF">2026-01-22T22:35:19Z</dcterms:created>
  <dcterms:modified xsi:type="dcterms:W3CDTF">2026-01-22T22:35:21Z</dcterms:modified>
</cp:coreProperties>
</file>